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297554\PycharmProjects\project\data\rst_files_repo\"/>
    </mc:Choice>
  </mc:AlternateContent>
  <xr:revisionPtr revIDLastSave="0" documentId="13_ncr:1_{3D56A542-2C9C-496F-B3A8-582D92FDBB11}" xr6:coauthVersionLast="47" xr6:coauthVersionMax="47" xr10:uidLastSave="{00000000-0000-0000-0000-000000000000}"/>
  <bookViews>
    <workbookView minimized="1" xWindow="44085" yWindow="3570" windowWidth="5670" windowHeight="2940" activeTab="1" xr2:uid="{00000000-000D-0000-FFFF-FFFF00000000}"/>
  </bookViews>
  <sheets>
    <sheet name="Data" sheetId="2" r:id="rId1"/>
    <sheet name="TIR SUMMARY" sheetId="6" r:id="rId2"/>
    <sheet name="Summary CMN" sheetId="1" state="hidden" r:id="rId3"/>
    <sheet name="KPI" sheetId="7" r:id="rId4"/>
    <sheet name="KPIx" sheetId="5" r:id="rId5"/>
  </sheets>
  <definedNames>
    <definedName name="_xlnm._FilterDatabase" localSheetId="1" hidden="1">'TIR SUMMARY'!$A$2:$W$5298</definedName>
  </definedNames>
  <calcPr calcId="191029"/>
  <pivotCaches>
    <pivotCache cacheId="24" r:id="rId6"/>
    <pivotCache cacheId="25" r:id="rId7"/>
    <pivotCache cacheId="26" r:id="rId8"/>
    <pivotCache cacheId="27"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36" i="6" l="1"/>
  <c r="V1136" i="6"/>
  <c r="U1136" i="6"/>
  <c r="K1136" i="6"/>
  <c r="W1135" i="6"/>
  <c r="V1135" i="6"/>
  <c r="U1135" i="6"/>
  <c r="K1135" i="6"/>
  <c r="W1134" i="6"/>
  <c r="V1134" i="6"/>
  <c r="U1134" i="6"/>
  <c r="K1134" i="6"/>
  <c r="W1133" i="6"/>
  <c r="V1133" i="6"/>
  <c r="U1133" i="6"/>
  <c r="K1133" i="6"/>
  <c r="W1132" i="6"/>
  <c r="V1132" i="6"/>
  <c r="U1132" i="6"/>
  <c r="K1132" i="6"/>
  <c r="W1131" i="6"/>
  <c r="V1131" i="6"/>
  <c r="U1131" i="6"/>
  <c r="K1131" i="6"/>
  <c r="W1130" i="6"/>
  <c r="V1130" i="6"/>
  <c r="U1130" i="6"/>
  <c r="K1130" i="6"/>
  <c r="W1129" i="6"/>
  <c r="V1129" i="6"/>
  <c r="U1129" i="6"/>
  <c r="K1129" i="6"/>
  <c r="W1128" i="6"/>
  <c r="V1128" i="6"/>
  <c r="U1128" i="6"/>
  <c r="K1128" i="6"/>
  <c r="W1127" i="6"/>
  <c r="V1127" i="6"/>
  <c r="U1127" i="6"/>
  <c r="K1127" i="6"/>
  <c r="W1126" i="6"/>
  <c r="V1126" i="6"/>
  <c r="U1126" i="6"/>
  <c r="K1126" i="6"/>
  <c r="W1125" i="6"/>
  <c r="V1125" i="6"/>
  <c r="U1125" i="6"/>
  <c r="K1125" i="6"/>
  <c r="W1124" i="6"/>
  <c r="V1124" i="6"/>
  <c r="U1124" i="6"/>
  <c r="K1124" i="6"/>
  <c r="W1123" i="6"/>
  <c r="V1123" i="6"/>
  <c r="U1123" i="6"/>
  <c r="W1122" i="6"/>
  <c r="V1122" i="6"/>
  <c r="U1122" i="6"/>
  <c r="K1122" i="6"/>
  <c r="W1121" i="6"/>
  <c r="V1121" i="6"/>
  <c r="U1121" i="6"/>
  <c r="K1121" i="6"/>
  <c r="W1120" i="6"/>
  <c r="V1120" i="6"/>
  <c r="U1120" i="6"/>
  <c r="K1120" i="6"/>
  <c r="W1119" i="6"/>
  <c r="V1119" i="6"/>
  <c r="U1119" i="6"/>
  <c r="K1119" i="6"/>
  <c r="W1118" i="6"/>
  <c r="V1118" i="6"/>
  <c r="U1118" i="6"/>
  <c r="K1118" i="6"/>
  <c r="W1117" i="6"/>
  <c r="V1117" i="6"/>
  <c r="U1117" i="6"/>
  <c r="K1117" i="6"/>
  <c r="W1116" i="6"/>
  <c r="V1116" i="6"/>
  <c r="U1116" i="6"/>
  <c r="K1116" i="6"/>
  <c r="W1115" i="6"/>
  <c r="V1115" i="6"/>
  <c r="U1115" i="6"/>
  <c r="K1115" i="6"/>
  <c r="W1114" i="6"/>
  <c r="V1114" i="6"/>
  <c r="U1114" i="6"/>
  <c r="K1114" i="6"/>
  <c r="W1113" i="6"/>
  <c r="V1113" i="6"/>
  <c r="U1113" i="6"/>
  <c r="K1113" i="6"/>
  <c r="W1112" i="6"/>
  <c r="V1112" i="6"/>
  <c r="U1112" i="6"/>
  <c r="K1112" i="6"/>
  <c r="V1111" i="6"/>
  <c r="U1111" i="6"/>
  <c r="K1111" i="6"/>
  <c r="W1110" i="6"/>
  <c r="V1110" i="6"/>
  <c r="U1110" i="6"/>
  <c r="K1110" i="6"/>
  <c r="W1109" i="6"/>
  <c r="V1109" i="6"/>
  <c r="U1109" i="6"/>
  <c r="K1109" i="6"/>
  <c r="V1108" i="6"/>
  <c r="U1108" i="6"/>
  <c r="K1108" i="6"/>
  <c r="W1107" i="6"/>
  <c r="V1107" i="6"/>
  <c r="U1107" i="6"/>
  <c r="K1107" i="6"/>
  <c r="W1106" i="6"/>
  <c r="V1106" i="6"/>
  <c r="U1106" i="6"/>
  <c r="K1106" i="6"/>
  <c r="W1105" i="6"/>
  <c r="V1105" i="6"/>
  <c r="U1105" i="6"/>
  <c r="K1105" i="6"/>
  <c r="W1104" i="6"/>
  <c r="V1104" i="6"/>
  <c r="U1104" i="6"/>
  <c r="K1104" i="6"/>
  <c r="W1103" i="6"/>
  <c r="V1103" i="6"/>
  <c r="U1103" i="6"/>
  <c r="K1103" i="6"/>
  <c r="W1102" i="6"/>
  <c r="V1102" i="6"/>
  <c r="U1102" i="6"/>
  <c r="K1102" i="6"/>
  <c r="W1101" i="6"/>
  <c r="V1101" i="6"/>
  <c r="U1101" i="6"/>
  <c r="K1101" i="6"/>
  <c r="W1100" i="6"/>
  <c r="V1100" i="6"/>
  <c r="U1100" i="6"/>
  <c r="K1100" i="6"/>
  <c r="W1099" i="6"/>
  <c r="V1099" i="6"/>
  <c r="U1099" i="6"/>
  <c r="K1099" i="6"/>
  <c r="W1098" i="6"/>
  <c r="V1098" i="6"/>
  <c r="U1098" i="6"/>
  <c r="K1098" i="6"/>
  <c r="W1097" i="6"/>
  <c r="V1097" i="6"/>
  <c r="U1097" i="6"/>
  <c r="K1097" i="6"/>
  <c r="V1096" i="6"/>
  <c r="U1096" i="6"/>
  <c r="K1096" i="6"/>
  <c r="W1095" i="6"/>
  <c r="V1095" i="6"/>
  <c r="U1095" i="6"/>
  <c r="K1095" i="6"/>
  <c r="W1094" i="6"/>
  <c r="V1094" i="6"/>
  <c r="U1094" i="6"/>
  <c r="K1094" i="6"/>
  <c r="W1093" i="6"/>
  <c r="V1093" i="6"/>
  <c r="U1093" i="6"/>
  <c r="K1093" i="6"/>
  <c r="W1092" i="6"/>
  <c r="V1092" i="6"/>
  <c r="U1092" i="6"/>
  <c r="K1092" i="6"/>
  <c r="W1091" i="6"/>
  <c r="V1091" i="6"/>
  <c r="U1091" i="6"/>
  <c r="K1091" i="6"/>
  <c r="W1090" i="6"/>
  <c r="V1090" i="6"/>
  <c r="U1090" i="6"/>
  <c r="K1090" i="6"/>
  <c r="W1089" i="6"/>
  <c r="V1089" i="6"/>
  <c r="U1089" i="6"/>
  <c r="K1089" i="6"/>
  <c r="W1088" i="6"/>
  <c r="V1088" i="6"/>
  <c r="U1088" i="6"/>
  <c r="K1088" i="6"/>
  <c r="W1087" i="6"/>
  <c r="V1087" i="6"/>
  <c r="U1087" i="6"/>
  <c r="K1087" i="6"/>
  <c r="W1086" i="6"/>
  <c r="V1086" i="6"/>
  <c r="U1086" i="6"/>
  <c r="K1086" i="6"/>
  <c r="W1085" i="6"/>
  <c r="V1085" i="6"/>
  <c r="U1085" i="6"/>
  <c r="K1085" i="6"/>
  <c r="W1084" i="6"/>
  <c r="V1084" i="6"/>
  <c r="U1084" i="6"/>
  <c r="K1084" i="6"/>
  <c r="W1083" i="6"/>
  <c r="V1083" i="6"/>
  <c r="U1083" i="6"/>
  <c r="K1083" i="6"/>
  <c r="W1082" i="6"/>
  <c r="V1082" i="6"/>
  <c r="U1082" i="6"/>
  <c r="K1082" i="6"/>
  <c r="W1081" i="6"/>
  <c r="V1081" i="6"/>
  <c r="U1081" i="6"/>
  <c r="K1081" i="6"/>
  <c r="W1080" i="6"/>
  <c r="V1080" i="6"/>
  <c r="U1080" i="6"/>
  <c r="K1080" i="6"/>
  <c r="W1079" i="6"/>
  <c r="V1079" i="6"/>
  <c r="U1079" i="6"/>
  <c r="K1079" i="6"/>
  <c r="W1078" i="6"/>
  <c r="V1078" i="6"/>
  <c r="U1078" i="6"/>
  <c r="K1078" i="6"/>
  <c r="W1077" i="6"/>
  <c r="V1077" i="6"/>
  <c r="U1077" i="6"/>
  <c r="K1077" i="6"/>
  <c r="W1076" i="6"/>
  <c r="V1076" i="6"/>
  <c r="U1076" i="6"/>
  <c r="K1076" i="6"/>
  <c r="W1075" i="6"/>
  <c r="V1075" i="6"/>
  <c r="U1075" i="6"/>
  <c r="K1075" i="6"/>
  <c r="W1074" i="6"/>
  <c r="V1074" i="6"/>
  <c r="U1074" i="6"/>
  <c r="K1074" i="6"/>
  <c r="W1073" i="6"/>
  <c r="V1073" i="6"/>
  <c r="U1073" i="6"/>
  <c r="K1073" i="6"/>
  <c r="W1072" i="6"/>
  <c r="V1072" i="6"/>
  <c r="U1072" i="6"/>
  <c r="K1072" i="6"/>
  <c r="W1071" i="6"/>
  <c r="V1071" i="6"/>
  <c r="U1071" i="6"/>
  <c r="K1071" i="6"/>
  <c r="W1070" i="6"/>
  <c r="V1070" i="6"/>
  <c r="U1070" i="6"/>
  <c r="K1070" i="6"/>
  <c r="W1069" i="6"/>
  <c r="V1069" i="6"/>
  <c r="U1069" i="6"/>
  <c r="K1069" i="6"/>
  <c r="W1068" i="6"/>
  <c r="V1068" i="6"/>
  <c r="U1068" i="6"/>
  <c r="K1068" i="6"/>
  <c r="W1067" i="6"/>
  <c r="V1067" i="6"/>
  <c r="U1067" i="6"/>
  <c r="K1067" i="6"/>
  <c r="W1066" i="6"/>
  <c r="V1066" i="6"/>
  <c r="U1066" i="6"/>
  <c r="K1066" i="6"/>
  <c r="W1065" i="6"/>
  <c r="U1065" i="6"/>
  <c r="K1065" i="6"/>
  <c r="W1064" i="6"/>
  <c r="V1064" i="6"/>
  <c r="U1064" i="6"/>
  <c r="K1064" i="6"/>
  <c r="W1063" i="6"/>
  <c r="V1063" i="6"/>
  <c r="U1063" i="6"/>
  <c r="K1063" i="6"/>
  <c r="W1062" i="6"/>
  <c r="V1062" i="6"/>
  <c r="U1062" i="6"/>
  <c r="K1062" i="6"/>
  <c r="W1061" i="6"/>
  <c r="V1061" i="6"/>
  <c r="U1061" i="6"/>
  <c r="K1061" i="6"/>
  <c r="W1060" i="6"/>
  <c r="V1060" i="6"/>
  <c r="U1060" i="6"/>
  <c r="K1060" i="6"/>
  <c r="W1059" i="6"/>
  <c r="V1059" i="6"/>
  <c r="U1059" i="6"/>
  <c r="K1059" i="6"/>
  <c r="W1058" i="6"/>
  <c r="V1058" i="6"/>
  <c r="U1058" i="6"/>
  <c r="K1058" i="6"/>
  <c r="W1057" i="6"/>
  <c r="V1057" i="6"/>
  <c r="U1057" i="6"/>
  <c r="K1057" i="6"/>
  <c r="W1056" i="6"/>
  <c r="V1056" i="6"/>
  <c r="U1056" i="6"/>
  <c r="K1056" i="6"/>
  <c r="W1055" i="6"/>
  <c r="V1055" i="6"/>
  <c r="U1055" i="6"/>
  <c r="K1055" i="6"/>
  <c r="W1054" i="6"/>
  <c r="V1054" i="6"/>
  <c r="U1054" i="6"/>
  <c r="K1054" i="6"/>
  <c r="W1053" i="6"/>
  <c r="V1053" i="6"/>
  <c r="U1053" i="6"/>
  <c r="K1053" i="6"/>
  <c r="W1052" i="6"/>
  <c r="V1052" i="6"/>
  <c r="U1052" i="6"/>
  <c r="K1052" i="6"/>
  <c r="W1051" i="6"/>
  <c r="V1051" i="6"/>
  <c r="U1051" i="6"/>
  <c r="K1051" i="6"/>
  <c r="W1050" i="6"/>
  <c r="V1050" i="6"/>
  <c r="U1050" i="6"/>
  <c r="K1050" i="6"/>
  <c r="W1049" i="6"/>
  <c r="V1049" i="6"/>
  <c r="U1049" i="6"/>
  <c r="K1049" i="6"/>
  <c r="W1048" i="6"/>
  <c r="V1048" i="6"/>
  <c r="U1048" i="6"/>
  <c r="K1048" i="6"/>
  <c r="W1047" i="6"/>
  <c r="V1047" i="6"/>
  <c r="U1047" i="6"/>
  <c r="K1047" i="6"/>
  <c r="W1046" i="6"/>
  <c r="V1046" i="6"/>
  <c r="U1046" i="6"/>
  <c r="K1046" i="6"/>
  <c r="W1045" i="6"/>
  <c r="V1045" i="6"/>
  <c r="U1045" i="6"/>
  <c r="K1045" i="6"/>
  <c r="W1044" i="6"/>
  <c r="V1044" i="6"/>
  <c r="U1044" i="6"/>
  <c r="K1044" i="6"/>
  <c r="V1043" i="6"/>
  <c r="U1043" i="6"/>
  <c r="K1043" i="6"/>
  <c r="W1042" i="6"/>
  <c r="V1042" i="6"/>
  <c r="U1042" i="6"/>
  <c r="K1042" i="6"/>
  <c r="W1041" i="6"/>
  <c r="V1041" i="6"/>
  <c r="U1041" i="6"/>
  <c r="K1041" i="6"/>
  <c r="W1040" i="6"/>
  <c r="V1040" i="6"/>
  <c r="U1040" i="6"/>
  <c r="K1040" i="6"/>
  <c r="W1039" i="6"/>
  <c r="V1039" i="6"/>
  <c r="U1039" i="6"/>
  <c r="K1039" i="6"/>
  <c r="W1038" i="6"/>
  <c r="V1038" i="6"/>
  <c r="U1038" i="6"/>
  <c r="K1038" i="6"/>
  <c r="W1037" i="6"/>
  <c r="V1037" i="6"/>
  <c r="U1037" i="6"/>
  <c r="K1037" i="6"/>
  <c r="W1036" i="6"/>
  <c r="V1036" i="6"/>
  <c r="U1036" i="6"/>
  <c r="K1036" i="6"/>
  <c r="W1035" i="6"/>
  <c r="V1035" i="6"/>
  <c r="U1035" i="6"/>
  <c r="K1035" i="6"/>
  <c r="W1034" i="6"/>
  <c r="V1034" i="6"/>
  <c r="U1034" i="6"/>
  <c r="K1034" i="6"/>
  <c r="W1033" i="6"/>
  <c r="V1033" i="6"/>
  <c r="U1033" i="6"/>
  <c r="K1033" i="6"/>
  <c r="V1032" i="6"/>
  <c r="U1032" i="6"/>
  <c r="K1032" i="6"/>
  <c r="W1031" i="6"/>
  <c r="V1031" i="6"/>
  <c r="U1031" i="6"/>
  <c r="K1031" i="6"/>
  <c r="W1030" i="6"/>
  <c r="V1030" i="6"/>
  <c r="U1030" i="6"/>
  <c r="K1030" i="6"/>
  <c r="W1029" i="6"/>
  <c r="V1029" i="6"/>
  <c r="U1029" i="6"/>
  <c r="K1029" i="6"/>
  <c r="V1028" i="6"/>
  <c r="U1028" i="6"/>
  <c r="K1028" i="6"/>
  <c r="W1027" i="6"/>
  <c r="V1027" i="6"/>
  <c r="U1027" i="6"/>
  <c r="K1027" i="6"/>
  <c r="W1026" i="6"/>
  <c r="V1026" i="6"/>
  <c r="U1026" i="6"/>
  <c r="K1026" i="6"/>
  <c r="W1025" i="6"/>
  <c r="V1025" i="6"/>
  <c r="U1025" i="6"/>
  <c r="K1025" i="6"/>
  <c r="W1024" i="6"/>
  <c r="V1024" i="6"/>
  <c r="U1024" i="6"/>
  <c r="K1024" i="6"/>
  <c r="W1023" i="6"/>
  <c r="V1023" i="6"/>
  <c r="U1023" i="6"/>
  <c r="K1023" i="6"/>
  <c r="W1022" i="6"/>
  <c r="V1022" i="6"/>
  <c r="U1022" i="6"/>
  <c r="K1022" i="6"/>
  <c r="W1021" i="6"/>
  <c r="V1021" i="6"/>
  <c r="U1021" i="6"/>
  <c r="K1021" i="6"/>
  <c r="W1020" i="6"/>
  <c r="V1020" i="6"/>
  <c r="U1020" i="6"/>
  <c r="K1020" i="6"/>
  <c r="W1019" i="6"/>
  <c r="V1019" i="6"/>
  <c r="U1019" i="6"/>
  <c r="K1019" i="6"/>
  <c r="W1018" i="6"/>
  <c r="V1018" i="6"/>
  <c r="U1018" i="6"/>
  <c r="K1018" i="6"/>
  <c r="W1017" i="6"/>
  <c r="V1017" i="6"/>
  <c r="U1017" i="6"/>
  <c r="K1017" i="6"/>
  <c r="W1016" i="6"/>
  <c r="V1016" i="6"/>
  <c r="U1016" i="6"/>
  <c r="K1016" i="6"/>
  <c r="V1015" i="6"/>
  <c r="U1015" i="6"/>
  <c r="K1015" i="6"/>
  <c r="W1014" i="6"/>
  <c r="V1014" i="6"/>
  <c r="U1014" i="6"/>
  <c r="K1014" i="6"/>
  <c r="W1013" i="6"/>
  <c r="V1013" i="6"/>
  <c r="U1013" i="6"/>
  <c r="K1013" i="6"/>
  <c r="W1012" i="6"/>
  <c r="V1012" i="6"/>
  <c r="U1012" i="6"/>
  <c r="K1012" i="6"/>
  <c r="W1011" i="6"/>
  <c r="V1011" i="6"/>
  <c r="U1011" i="6"/>
  <c r="K1011" i="6"/>
  <c r="W1010" i="6"/>
  <c r="V1010" i="6"/>
  <c r="U1010" i="6"/>
  <c r="K1010" i="6"/>
  <c r="W1009" i="6"/>
  <c r="V1009" i="6"/>
  <c r="U1009" i="6"/>
  <c r="K1009" i="6"/>
  <c r="W1008" i="6"/>
  <c r="V1008" i="6"/>
  <c r="U1008" i="6"/>
  <c r="K1008" i="6"/>
  <c r="W1007" i="6"/>
  <c r="V1007" i="6"/>
  <c r="U1007" i="6"/>
  <c r="K1007" i="6"/>
  <c r="W1006" i="6"/>
  <c r="V1006" i="6"/>
  <c r="U1006" i="6"/>
  <c r="K1006" i="6"/>
  <c r="W1005" i="6"/>
  <c r="V1005" i="6"/>
  <c r="U1005" i="6"/>
  <c r="K1005" i="6"/>
  <c r="W1004" i="6"/>
  <c r="V1004" i="6"/>
  <c r="U1004" i="6"/>
  <c r="K1004" i="6"/>
  <c r="W1003" i="6"/>
  <c r="V1003" i="6"/>
  <c r="U1003" i="6"/>
  <c r="K1003" i="6"/>
  <c r="W1002" i="6"/>
  <c r="V1002" i="6"/>
  <c r="U1002" i="6"/>
  <c r="K1002" i="6"/>
  <c r="W1001" i="6"/>
  <c r="V1001" i="6"/>
  <c r="U1001" i="6"/>
  <c r="K1001" i="6"/>
  <c r="W1000" i="6"/>
  <c r="V1000" i="6"/>
  <c r="U1000" i="6"/>
  <c r="K1000" i="6"/>
  <c r="W999" i="6"/>
  <c r="V999" i="6"/>
  <c r="U999" i="6"/>
  <c r="K999" i="6"/>
  <c r="W998" i="6"/>
  <c r="V998" i="6"/>
  <c r="U998" i="6"/>
  <c r="K998" i="6"/>
  <c r="W997" i="6"/>
  <c r="V997" i="6"/>
  <c r="U997" i="6"/>
  <c r="K997" i="6"/>
  <c r="W996" i="6"/>
  <c r="V996" i="6"/>
  <c r="U996" i="6"/>
  <c r="K996" i="6"/>
  <c r="W995" i="6"/>
  <c r="V995" i="6"/>
  <c r="U995" i="6"/>
  <c r="K995" i="6"/>
  <c r="W994" i="6"/>
  <c r="V994" i="6"/>
  <c r="U994" i="6"/>
  <c r="K994" i="6"/>
  <c r="W993" i="6"/>
  <c r="V993" i="6"/>
  <c r="U993" i="6"/>
  <c r="K993" i="6"/>
  <c r="V992" i="6"/>
  <c r="U992" i="6"/>
  <c r="K992" i="6"/>
  <c r="W991" i="6"/>
  <c r="V991" i="6"/>
  <c r="U991" i="6"/>
  <c r="K991" i="6"/>
  <c r="W990" i="6"/>
  <c r="V990" i="6"/>
  <c r="U990" i="6"/>
  <c r="K990" i="6"/>
  <c r="W989" i="6"/>
  <c r="V989" i="6"/>
  <c r="U989" i="6"/>
  <c r="K989" i="6"/>
  <c r="W988" i="6"/>
  <c r="V988" i="6"/>
  <c r="U988" i="6"/>
  <c r="K988" i="6"/>
  <c r="W987" i="6"/>
  <c r="V987" i="6"/>
  <c r="U987" i="6"/>
  <c r="K987" i="6"/>
  <c r="W986" i="6"/>
  <c r="V986" i="6"/>
  <c r="U986" i="6"/>
  <c r="K986" i="6"/>
  <c r="W985" i="6"/>
  <c r="V985" i="6"/>
  <c r="U985" i="6"/>
  <c r="K985" i="6"/>
  <c r="W984" i="6"/>
  <c r="V984" i="6"/>
  <c r="U984" i="6"/>
  <c r="K984" i="6"/>
  <c r="W983" i="6"/>
  <c r="V983" i="6"/>
  <c r="U983" i="6"/>
  <c r="K983" i="6"/>
  <c r="W982" i="6"/>
  <c r="V982" i="6"/>
  <c r="U982" i="6"/>
  <c r="K982" i="6"/>
  <c r="W981" i="6"/>
  <c r="V981" i="6"/>
  <c r="U981" i="6"/>
  <c r="K981" i="6"/>
  <c r="W980" i="6"/>
  <c r="V980" i="6"/>
  <c r="U980" i="6"/>
  <c r="K980" i="6"/>
  <c r="W979" i="6"/>
  <c r="V979" i="6"/>
  <c r="U979" i="6"/>
  <c r="K979" i="6"/>
  <c r="W978" i="6"/>
  <c r="V978" i="6"/>
  <c r="U978" i="6"/>
  <c r="K978" i="6"/>
  <c r="W977" i="6"/>
  <c r="V977" i="6"/>
  <c r="U977" i="6"/>
  <c r="K977" i="6"/>
  <c r="W976" i="6"/>
  <c r="V976" i="6"/>
  <c r="U976" i="6"/>
  <c r="K976" i="6"/>
  <c r="W975" i="6"/>
  <c r="V975" i="6"/>
  <c r="U975" i="6"/>
  <c r="K975" i="6"/>
  <c r="V974" i="6"/>
  <c r="U974" i="6"/>
  <c r="K974" i="6"/>
  <c r="W973" i="6"/>
  <c r="V973" i="6"/>
  <c r="U973" i="6"/>
  <c r="K973" i="6"/>
  <c r="W972" i="6"/>
  <c r="V972" i="6"/>
  <c r="U972" i="6"/>
  <c r="K972" i="6"/>
  <c r="W971" i="6"/>
  <c r="V971" i="6"/>
  <c r="U971" i="6"/>
  <c r="K971" i="6"/>
  <c r="W970" i="6"/>
  <c r="V970" i="6"/>
  <c r="U970" i="6"/>
  <c r="K970" i="6"/>
  <c r="W969" i="6"/>
  <c r="V969" i="6"/>
  <c r="U969" i="6"/>
  <c r="K969" i="6"/>
  <c r="W968" i="6"/>
  <c r="V968" i="6"/>
  <c r="U968" i="6"/>
  <c r="K968" i="6"/>
  <c r="W967" i="6"/>
  <c r="V967" i="6"/>
  <c r="U967" i="6"/>
  <c r="K967" i="6"/>
  <c r="W966" i="6"/>
  <c r="V966" i="6"/>
  <c r="U966" i="6"/>
  <c r="K966" i="6"/>
  <c r="W965" i="6"/>
  <c r="V965" i="6"/>
  <c r="U965" i="6"/>
  <c r="K965" i="6"/>
  <c r="W964" i="6"/>
  <c r="V964" i="6"/>
  <c r="U964" i="6"/>
  <c r="K964" i="6"/>
  <c r="W963" i="6"/>
  <c r="V963" i="6"/>
  <c r="U963" i="6"/>
  <c r="K963" i="6"/>
  <c r="W962" i="6"/>
  <c r="V962" i="6"/>
  <c r="U962" i="6"/>
  <c r="K962" i="6"/>
  <c r="W961" i="6"/>
  <c r="V961" i="6"/>
  <c r="U961" i="6"/>
  <c r="K961" i="6"/>
  <c r="W960" i="6"/>
  <c r="V960" i="6"/>
  <c r="U960" i="6"/>
  <c r="K960" i="6"/>
  <c r="W959" i="6"/>
  <c r="V959" i="6"/>
  <c r="U959" i="6"/>
  <c r="K959" i="6"/>
  <c r="W958" i="6"/>
  <c r="V958" i="6"/>
  <c r="U958" i="6"/>
  <c r="K958" i="6"/>
  <c r="W957" i="6"/>
  <c r="V957" i="6"/>
  <c r="U957" i="6"/>
  <c r="K957" i="6"/>
  <c r="W956" i="6"/>
  <c r="V956" i="6"/>
  <c r="U956" i="6"/>
  <c r="K956" i="6"/>
  <c r="W955" i="6"/>
  <c r="V955" i="6"/>
  <c r="U955" i="6"/>
  <c r="K955" i="6"/>
  <c r="W954" i="6"/>
  <c r="V954" i="6"/>
  <c r="U954" i="6"/>
  <c r="K954" i="6"/>
  <c r="W953" i="6"/>
  <c r="V953" i="6"/>
  <c r="U953" i="6"/>
  <c r="K953" i="6"/>
  <c r="W952" i="6"/>
  <c r="V952" i="6"/>
  <c r="U952" i="6"/>
  <c r="K952" i="6"/>
  <c r="W951" i="6"/>
  <c r="V951" i="6"/>
  <c r="U951" i="6"/>
  <c r="K951" i="6"/>
  <c r="W950" i="6"/>
  <c r="V950" i="6"/>
  <c r="U950" i="6"/>
  <c r="K950" i="6"/>
  <c r="W949" i="6"/>
  <c r="V949" i="6"/>
  <c r="U949" i="6"/>
  <c r="K949" i="6"/>
  <c r="W948" i="6"/>
  <c r="V948" i="6"/>
  <c r="U948" i="6"/>
  <c r="K948" i="6"/>
  <c r="W947" i="6"/>
  <c r="V947" i="6"/>
  <c r="U947" i="6"/>
  <c r="K947" i="6"/>
  <c r="W946" i="6"/>
  <c r="V946" i="6"/>
  <c r="U946" i="6"/>
  <c r="K946" i="6"/>
  <c r="W945" i="6"/>
  <c r="V945" i="6"/>
  <c r="U945" i="6"/>
  <c r="K945" i="6"/>
  <c r="W944" i="6"/>
  <c r="V944" i="6"/>
  <c r="U944" i="6"/>
  <c r="K944" i="6"/>
  <c r="W943" i="6"/>
  <c r="V943" i="6"/>
  <c r="U943" i="6"/>
  <c r="K943" i="6"/>
  <c r="W942" i="6"/>
  <c r="V942" i="6"/>
  <c r="U942" i="6"/>
  <c r="K942" i="6"/>
  <c r="W941" i="6"/>
  <c r="V941" i="6"/>
  <c r="U941" i="6"/>
  <c r="K941" i="6"/>
  <c r="W940" i="6"/>
  <c r="V940" i="6"/>
  <c r="U940" i="6"/>
  <c r="K940" i="6"/>
  <c r="W939" i="6"/>
  <c r="V939" i="6"/>
  <c r="U939" i="6"/>
  <c r="K939" i="6"/>
  <c r="W938" i="6"/>
  <c r="V938" i="6"/>
  <c r="U938" i="6"/>
  <c r="K938" i="6"/>
  <c r="W937" i="6"/>
  <c r="V937" i="6"/>
  <c r="U937" i="6"/>
  <c r="K937" i="6"/>
  <c r="W936" i="6"/>
  <c r="V936" i="6"/>
  <c r="U936" i="6"/>
  <c r="K936" i="6"/>
  <c r="W935" i="6"/>
  <c r="V935" i="6"/>
  <c r="U935" i="6"/>
  <c r="K935" i="6"/>
  <c r="W934" i="6"/>
  <c r="V934" i="6"/>
  <c r="U934" i="6"/>
  <c r="K934" i="6"/>
  <c r="W933" i="6"/>
  <c r="V933" i="6"/>
  <c r="U933" i="6"/>
  <c r="K933" i="6"/>
  <c r="W932" i="6"/>
  <c r="V932" i="6"/>
  <c r="U932" i="6"/>
  <c r="K932" i="6"/>
  <c r="W931" i="6"/>
  <c r="V931" i="6"/>
  <c r="U931" i="6"/>
  <c r="K931" i="6"/>
  <c r="W930" i="6"/>
  <c r="V930" i="6"/>
  <c r="U930" i="6"/>
  <c r="K930" i="6"/>
  <c r="W929" i="6"/>
  <c r="V929" i="6"/>
  <c r="U929" i="6"/>
  <c r="K929" i="6"/>
  <c r="W928" i="6"/>
  <c r="V928" i="6"/>
  <c r="U928" i="6"/>
  <c r="K928" i="6"/>
  <c r="W927" i="6"/>
  <c r="V927" i="6"/>
  <c r="U927" i="6"/>
  <c r="K927" i="6"/>
  <c r="W926" i="6"/>
  <c r="V926" i="6"/>
  <c r="U926" i="6"/>
  <c r="K926" i="6"/>
  <c r="W925" i="6"/>
  <c r="V925" i="6"/>
  <c r="U925" i="6"/>
  <c r="K925" i="6"/>
  <c r="W924" i="6"/>
  <c r="V924" i="6"/>
  <c r="U924" i="6"/>
  <c r="K924" i="6"/>
  <c r="W923" i="6"/>
  <c r="V923" i="6"/>
  <c r="U923" i="6"/>
  <c r="K923" i="6"/>
  <c r="W922" i="6"/>
  <c r="V922" i="6"/>
  <c r="U922" i="6"/>
  <c r="K922" i="6"/>
  <c r="W921" i="6"/>
  <c r="V921" i="6"/>
  <c r="U921" i="6"/>
  <c r="K921" i="6"/>
  <c r="W920" i="6"/>
  <c r="V920" i="6"/>
  <c r="U920" i="6"/>
  <c r="K920" i="6"/>
  <c r="W919" i="6"/>
  <c r="V919" i="6"/>
  <c r="U919" i="6"/>
  <c r="K919" i="6"/>
  <c r="W918" i="6"/>
  <c r="V918" i="6"/>
  <c r="U918" i="6"/>
  <c r="K918" i="6"/>
  <c r="W917" i="6"/>
  <c r="V917" i="6"/>
  <c r="U917" i="6"/>
  <c r="K917" i="6"/>
  <c r="W916" i="6"/>
  <c r="V916" i="6"/>
  <c r="U916" i="6"/>
  <c r="K916" i="6"/>
  <c r="U915" i="6"/>
  <c r="K915" i="6"/>
  <c r="W914" i="6"/>
  <c r="V914" i="6"/>
  <c r="U914" i="6"/>
  <c r="K914" i="6"/>
  <c r="W913" i="6"/>
  <c r="V913" i="6"/>
  <c r="U913" i="6"/>
  <c r="K913" i="6"/>
  <c r="V912" i="6"/>
  <c r="U912" i="6"/>
  <c r="K912" i="6"/>
  <c r="W911" i="6"/>
  <c r="V911" i="6"/>
  <c r="U911" i="6"/>
  <c r="K911" i="6"/>
  <c r="W910" i="6"/>
  <c r="V910" i="6"/>
  <c r="U910" i="6"/>
  <c r="K910" i="6"/>
  <c r="W909" i="6"/>
  <c r="V909" i="6"/>
  <c r="U909" i="6"/>
  <c r="K909" i="6"/>
  <c r="W908" i="6"/>
  <c r="V908" i="6"/>
  <c r="U908" i="6"/>
  <c r="K908" i="6"/>
  <c r="W907" i="6"/>
  <c r="V907" i="6"/>
  <c r="U907" i="6"/>
  <c r="K907" i="6"/>
  <c r="W906" i="6"/>
  <c r="V906" i="6"/>
  <c r="U906" i="6"/>
  <c r="K906" i="6"/>
  <c r="W905" i="6"/>
  <c r="V905" i="6"/>
  <c r="U905" i="6"/>
  <c r="K905" i="6"/>
  <c r="W904" i="6"/>
  <c r="V904" i="6"/>
  <c r="U904" i="6"/>
  <c r="K904" i="6"/>
  <c r="W903" i="6"/>
  <c r="V903" i="6"/>
  <c r="U903" i="6"/>
  <c r="K903" i="6"/>
  <c r="W902" i="6"/>
  <c r="V902" i="6"/>
  <c r="U902" i="6"/>
  <c r="K902" i="6"/>
  <c r="W901" i="6"/>
  <c r="V901" i="6"/>
  <c r="U901" i="6"/>
  <c r="K901" i="6"/>
  <c r="W900" i="6"/>
  <c r="V900" i="6"/>
  <c r="U900" i="6"/>
  <c r="K900" i="6"/>
  <c r="W899" i="6"/>
  <c r="V899" i="6"/>
  <c r="U899" i="6"/>
  <c r="K899" i="6"/>
  <c r="W898" i="6"/>
  <c r="V898" i="6"/>
  <c r="U898" i="6"/>
  <c r="K898" i="6"/>
  <c r="W897" i="6"/>
  <c r="V897" i="6"/>
  <c r="U897" i="6"/>
  <c r="K897" i="6"/>
  <c r="W896" i="6"/>
  <c r="V896" i="6"/>
  <c r="U896" i="6"/>
  <c r="K896" i="6"/>
  <c r="W895" i="6"/>
  <c r="V895" i="6"/>
  <c r="U895" i="6"/>
  <c r="K895" i="6"/>
  <c r="W894" i="6"/>
  <c r="V894" i="6"/>
  <c r="U894" i="6"/>
  <c r="K894" i="6"/>
  <c r="W893" i="6"/>
  <c r="V893" i="6"/>
  <c r="U893" i="6"/>
  <c r="K893" i="6"/>
  <c r="W892" i="6"/>
  <c r="V892" i="6"/>
  <c r="U892" i="6"/>
  <c r="K892" i="6"/>
  <c r="W891" i="6"/>
  <c r="V891" i="6"/>
  <c r="U891" i="6"/>
  <c r="K891" i="6"/>
  <c r="W890" i="6"/>
  <c r="V890" i="6"/>
  <c r="U890" i="6"/>
  <c r="K890" i="6"/>
  <c r="W889" i="6"/>
  <c r="V889" i="6"/>
  <c r="U889" i="6"/>
  <c r="K889" i="6"/>
  <c r="W888" i="6"/>
  <c r="V888" i="6"/>
  <c r="U888" i="6"/>
  <c r="K888" i="6"/>
  <c r="W887" i="6"/>
  <c r="V887" i="6"/>
  <c r="U887" i="6"/>
  <c r="K887" i="6"/>
  <c r="W886" i="6"/>
  <c r="V886" i="6"/>
  <c r="U886" i="6"/>
  <c r="K886" i="6"/>
  <c r="W885" i="6"/>
  <c r="V885" i="6"/>
  <c r="U885" i="6"/>
  <c r="K885" i="6"/>
  <c r="W884" i="6"/>
  <c r="V884" i="6"/>
  <c r="U884" i="6"/>
  <c r="K884" i="6"/>
  <c r="W883" i="6"/>
  <c r="V883" i="6"/>
  <c r="U883" i="6"/>
  <c r="K883" i="6"/>
  <c r="V882" i="6"/>
  <c r="U882" i="6"/>
  <c r="K882" i="6"/>
  <c r="W881" i="6"/>
  <c r="V881" i="6"/>
  <c r="U881" i="6"/>
  <c r="K881" i="6"/>
  <c r="W880" i="6"/>
  <c r="V880" i="6"/>
  <c r="U880" i="6"/>
  <c r="K880" i="6"/>
  <c r="W879" i="6"/>
  <c r="V879" i="6"/>
  <c r="U879" i="6"/>
  <c r="K879" i="6"/>
  <c r="W878" i="6"/>
  <c r="V878" i="6"/>
  <c r="U878" i="6"/>
  <c r="K878" i="6"/>
  <c r="W877" i="6"/>
  <c r="V877" i="6"/>
  <c r="U877" i="6"/>
  <c r="K877" i="6"/>
  <c r="W876" i="6"/>
  <c r="V876" i="6"/>
  <c r="U876" i="6"/>
  <c r="K876" i="6"/>
  <c r="W875" i="6"/>
  <c r="V875" i="6"/>
  <c r="U875" i="6"/>
  <c r="K875" i="6"/>
  <c r="W874" i="6"/>
  <c r="V874" i="6"/>
  <c r="U874" i="6"/>
  <c r="K874" i="6"/>
  <c r="W873" i="6"/>
  <c r="V873" i="6"/>
  <c r="U873" i="6"/>
  <c r="K873" i="6"/>
  <c r="W872" i="6"/>
  <c r="V872" i="6"/>
  <c r="U872" i="6"/>
  <c r="K872" i="6"/>
  <c r="W871" i="6"/>
  <c r="V871" i="6"/>
  <c r="U871" i="6"/>
  <c r="K871" i="6"/>
  <c r="V870" i="6"/>
  <c r="U870" i="6"/>
  <c r="K870" i="6"/>
  <c r="W869" i="6"/>
  <c r="V869" i="6"/>
  <c r="U869" i="6"/>
  <c r="K869" i="6"/>
  <c r="W868" i="6"/>
  <c r="V868" i="6"/>
  <c r="U868" i="6"/>
  <c r="K868" i="6"/>
  <c r="W867" i="6"/>
  <c r="V867" i="6"/>
  <c r="U867" i="6"/>
  <c r="K867" i="6"/>
  <c r="W866" i="6"/>
  <c r="V866" i="6"/>
  <c r="U866" i="6"/>
  <c r="K866" i="6"/>
  <c r="W865" i="6"/>
  <c r="V865" i="6"/>
  <c r="U865" i="6"/>
  <c r="K865" i="6"/>
  <c r="W864" i="6"/>
  <c r="V864" i="6"/>
  <c r="U864" i="6"/>
  <c r="K864" i="6"/>
  <c r="W863" i="6"/>
  <c r="V863" i="6"/>
  <c r="U863" i="6"/>
  <c r="K863" i="6"/>
  <c r="W862" i="6"/>
  <c r="V862" i="6"/>
  <c r="U862" i="6"/>
  <c r="K862" i="6"/>
  <c r="W861" i="6"/>
  <c r="V861" i="6"/>
  <c r="U861" i="6"/>
  <c r="K861" i="6"/>
  <c r="W860" i="6"/>
  <c r="V860" i="6"/>
  <c r="U860" i="6"/>
  <c r="K860" i="6"/>
  <c r="W859" i="6"/>
  <c r="V859" i="6"/>
  <c r="U859" i="6"/>
  <c r="K859" i="6"/>
  <c r="W858" i="6"/>
  <c r="V858" i="6"/>
  <c r="U858" i="6"/>
  <c r="K858" i="6"/>
  <c r="W857" i="6"/>
  <c r="V857" i="6"/>
  <c r="U857" i="6"/>
  <c r="K857" i="6"/>
  <c r="W856" i="6"/>
  <c r="V856" i="6"/>
  <c r="U856" i="6"/>
  <c r="K856" i="6"/>
  <c r="W855" i="6"/>
  <c r="V855" i="6"/>
  <c r="U855" i="6"/>
  <c r="K855" i="6"/>
  <c r="W854" i="6"/>
  <c r="V854" i="6"/>
  <c r="U854" i="6"/>
  <c r="K854" i="6"/>
  <c r="W853" i="6"/>
  <c r="V853" i="6"/>
  <c r="U853" i="6"/>
  <c r="K853" i="6"/>
  <c r="W852" i="6"/>
  <c r="V852" i="6"/>
  <c r="U852" i="6"/>
  <c r="K852" i="6"/>
  <c r="W851" i="6"/>
  <c r="V851" i="6"/>
  <c r="U851" i="6"/>
  <c r="K851" i="6"/>
  <c r="W850" i="6"/>
  <c r="V850" i="6"/>
  <c r="U850" i="6"/>
  <c r="K850" i="6"/>
  <c r="W849" i="6"/>
  <c r="V849" i="6"/>
  <c r="U849" i="6"/>
  <c r="K849" i="6"/>
  <c r="W848" i="6"/>
  <c r="V848" i="6"/>
  <c r="U848" i="6"/>
  <c r="K848" i="6"/>
  <c r="W847" i="6"/>
  <c r="V847" i="6"/>
  <c r="U847" i="6"/>
  <c r="K847" i="6"/>
  <c r="W846" i="6"/>
  <c r="V846" i="6"/>
  <c r="U846" i="6"/>
  <c r="K846" i="6"/>
  <c r="W845" i="6"/>
  <c r="V845" i="6"/>
  <c r="U845" i="6"/>
  <c r="K845" i="6"/>
  <c r="W844" i="6"/>
  <c r="V844" i="6"/>
  <c r="U844" i="6"/>
  <c r="K844" i="6"/>
  <c r="W843" i="6"/>
  <c r="V843" i="6"/>
  <c r="U843" i="6"/>
  <c r="K843" i="6"/>
  <c r="W842" i="6"/>
  <c r="V842" i="6"/>
  <c r="U842" i="6"/>
  <c r="K842" i="6"/>
  <c r="W841" i="6"/>
  <c r="V841" i="6"/>
  <c r="U841" i="6"/>
  <c r="K841" i="6"/>
  <c r="W840" i="6"/>
  <c r="V840" i="6"/>
  <c r="U840" i="6"/>
  <c r="K840" i="6"/>
  <c r="W839" i="6"/>
  <c r="V839" i="6"/>
  <c r="U839" i="6"/>
  <c r="K839" i="6"/>
  <c r="W838" i="6"/>
  <c r="V838" i="6"/>
  <c r="U838" i="6"/>
  <c r="K838" i="6"/>
  <c r="W837" i="6"/>
  <c r="V837" i="6"/>
  <c r="U837" i="6"/>
  <c r="K837" i="6"/>
  <c r="W836" i="6"/>
  <c r="V836" i="6"/>
  <c r="U836" i="6"/>
  <c r="K836" i="6"/>
  <c r="W835" i="6"/>
  <c r="V835" i="6"/>
  <c r="U835" i="6"/>
  <c r="K835" i="6"/>
  <c r="W834" i="6"/>
  <c r="V834" i="6"/>
  <c r="U834" i="6"/>
  <c r="K834" i="6"/>
  <c r="W833" i="6"/>
  <c r="V833" i="6"/>
  <c r="U833" i="6"/>
  <c r="K833" i="6"/>
  <c r="W832" i="6"/>
  <c r="V832" i="6"/>
  <c r="U832" i="6"/>
  <c r="K832" i="6"/>
  <c r="W831" i="6"/>
  <c r="V831" i="6"/>
  <c r="U831" i="6"/>
  <c r="K831" i="6"/>
  <c r="W830" i="6"/>
  <c r="V830" i="6"/>
  <c r="U830" i="6"/>
  <c r="K830" i="6"/>
  <c r="W829" i="6"/>
  <c r="V829" i="6"/>
  <c r="U829" i="6"/>
  <c r="K829" i="6"/>
  <c r="W828" i="6"/>
  <c r="V828" i="6"/>
  <c r="U828" i="6"/>
  <c r="K828" i="6"/>
  <c r="W827" i="6"/>
  <c r="V827" i="6"/>
  <c r="U827" i="6"/>
  <c r="K827" i="6"/>
  <c r="W826" i="6"/>
  <c r="V826" i="6"/>
  <c r="U826" i="6"/>
  <c r="K826" i="6"/>
  <c r="W825" i="6"/>
  <c r="V825" i="6"/>
  <c r="U825" i="6"/>
  <c r="K825" i="6"/>
  <c r="W824" i="6"/>
  <c r="V824" i="6"/>
  <c r="U824" i="6"/>
  <c r="K824" i="6"/>
  <c r="W823" i="6"/>
  <c r="V823" i="6"/>
  <c r="U823" i="6"/>
  <c r="K823" i="6"/>
  <c r="W822" i="6"/>
  <c r="V822" i="6"/>
  <c r="U822" i="6"/>
  <c r="K822" i="6"/>
  <c r="W821" i="6"/>
  <c r="V821" i="6"/>
  <c r="U821" i="6"/>
  <c r="K821" i="6"/>
  <c r="W820" i="6"/>
  <c r="V820" i="6"/>
  <c r="U820" i="6"/>
  <c r="K820" i="6"/>
  <c r="W819" i="6"/>
  <c r="V819" i="6"/>
  <c r="U819" i="6"/>
  <c r="K819" i="6"/>
  <c r="W818" i="6"/>
  <c r="V818" i="6"/>
  <c r="U818" i="6"/>
  <c r="K818" i="6"/>
  <c r="W817" i="6"/>
  <c r="V817" i="6"/>
  <c r="U817" i="6"/>
  <c r="K817" i="6"/>
  <c r="W816" i="6"/>
  <c r="V816" i="6"/>
  <c r="U816" i="6"/>
  <c r="K816" i="6"/>
  <c r="W815" i="6"/>
  <c r="V815" i="6"/>
  <c r="U815" i="6"/>
  <c r="K815" i="6"/>
  <c r="W814" i="6"/>
  <c r="V814" i="6"/>
  <c r="U814" i="6"/>
  <c r="K814" i="6"/>
  <c r="W813" i="6"/>
  <c r="V813" i="6"/>
  <c r="U813" i="6"/>
  <c r="K813" i="6"/>
  <c r="W812" i="6"/>
  <c r="V812" i="6"/>
  <c r="U812" i="6"/>
  <c r="K812" i="6"/>
  <c r="W811" i="6"/>
  <c r="V811" i="6"/>
  <c r="U811" i="6"/>
  <c r="K811" i="6"/>
  <c r="W810" i="6"/>
  <c r="V810" i="6"/>
  <c r="U810" i="6"/>
  <c r="K810" i="6"/>
  <c r="W809" i="6"/>
  <c r="V809" i="6"/>
  <c r="U809" i="6"/>
  <c r="K809" i="6"/>
  <c r="W808" i="6"/>
  <c r="V808" i="6"/>
  <c r="U808" i="6"/>
  <c r="K808" i="6"/>
  <c r="W807" i="6"/>
  <c r="V807" i="6"/>
  <c r="U807" i="6"/>
  <c r="K807" i="6"/>
  <c r="W806" i="6"/>
  <c r="V806" i="6"/>
  <c r="U806" i="6"/>
  <c r="K806" i="6"/>
  <c r="W805" i="6"/>
  <c r="V805" i="6"/>
  <c r="U805" i="6"/>
  <c r="K805" i="6"/>
  <c r="W804" i="6"/>
  <c r="V804" i="6"/>
  <c r="U804" i="6"/>
  <c r="K804" i="6"/>
  <c r="W803" i="6"/>
  <c r="V803" i="6"/>
  <c r="U803" i="6"/>
  <c r="K803" i="6"/>
  <c r="W802" i="6"/>
  <c r="V802" i="6"/>
  <c r="U802" i="6"/>
  <c r="K802" i="6"/>
  <c r="W801" i="6"/>
  <c r="V801" i="6"/>
  <c r="U801" i="6"/>
  <c r="K801" i="6"/>
  <c r="W800" i="6"/>
  <c r="V800" i="6"/>
  <c r="U800" i="6"/>
  <c r="K800" i="6"/>
  <c r="W799" i="6"/>
  <c r="V799" i="6"/>
  <c r="U799" i="6"/>
  <c r="K799" i="6"/>
  <c r="W798" i="6"/>
  <c r="V798" i="6"/>
  <c r="U798" i="6"/>
  <c r="K798" i="6"/>
  <c r="W797" i="6"/>
  <c r="V797" i="6"/>
  <c r="U797" i="6"/>
  <c r="K797" i="6"/>
  <c r="W796" i="6"/>
  <c r="V796" i="6"/>
  <c r="U796" i="6"/>
  <c r="K796" i="6"/>
  <c r="W795" i="6"/>
  <c r="V795" i="6"/>
  <c r="U795" i="6"/>
  <c r="K795" i="6"/>
  <c r="W794" i="6"/>
  <c r="V794" i="6"/>
  <c r="U794" i="6"/>
  <c r="K794" i="6"/>
  <c r="W793" i="6"/>
  <c r="V793" i="6"/>
  <c r="U793" i="6"/>
  <c r="K793" i="6"/>
  <c r="W792" i="6"/>
  <c r="V792" i="6"/>
  <c r="U792" i="6"/>
  <c r="K792" i="6"/>
  <c r="V791" i="6"/>
  <c r="U791" i="6"/>
  <c r="K791" i="6"/>
  <c r="W790" i="6"/>
  <c r="V790" i="6"/>
  <c r="U790" i="6"/>
  <c r="K790" i="6"/>
  <c r="W789" i="6"/>
  <c r="V789" i="6"/>
  <c r="U789" i="6"/>
  <c r="K789" i="6"/>
  <c r="W788" i="6"/>
  <c r="V788" i="6"/>
  <c r="U788" i="6"/>
  <c r="K788" i="6"/>
  <c r="W787" i="6"/>
  <c r="V787" i="6"/>
  <c r="U787" i="6"/>
  <c r="K787" i="6"/>
  <c r="W786" i="6"/>
  <c r="V786" i="6"/>
  <c r="U786" i="6"/>
  <c r="K786" i="6"/>
  <c r="W785" i="6"/>
  <c r="V785" i="6"/>
  <c r="U785" i="6"/>
  <c r="K785" i="6"/>
  <c r="V784" i="6"/>
  <c r="U784" i="6"/>
  <c r="K784" i="6"/>
  <c r="W783" i="6"/>
  <c r="V783" i="6"/>
  <c r="U783" i="6"/>
  <c r="K783" i="6"/>
  <c r="W782" i="6"/>
  <c r="V782" i="6"/>
  <c r="U782" i="6"/>
  <c r="K782" i="6"/>
  <c r="W781" i="6"/>
  <c r="V781" i="6"/>
  <c r="U781" i="6"/>
  <c r="K781" i="6"/>
  <c r="W780" i="6"/>
  <c r="V780" i="6"/>
  <c r="U780" i="6"/>
  <c r="K780" i="6"/>
  <c r="W779" i="6"/>
  <c r="V779" i="6"/>
  <c r="U779" i="6"/>
  <c r="K779" i="6"/>
  <c r="W778" i="6"/>
  <c r="V778" i="6"/>
  <c r="U778" i="6"/>
  <c r="K778" i="6"/>
  <c r="W777" i="6"/>
  <c r="V777" i="6"/>
  <c r="U777" i="6"/>
  <c r="K777" i="6"/>
  <c r="W776" i="6"/>
  <c r="V776" i="6"/>
  <c r="U776" i="6"/>
  <c r="K776" i="6"/>
  <c r="W775" i="6"/>
  <c r="V775" i="6"/>
  <c r="U775" i="6"/>
  <c r="K775" i="6"/>
  <c r="W774" i="6"/>
  <c r="V774" i="6"/>
  <c r="U774" i="6"/>
  <c r="K774" i="6"/>
  <c r="W773" i="6"/>
  <c r="V773" i="6"/>
  <c r="U773" i="6"/>
  <c r="K773" i="6"/>
  <c r="W772" i="6"/>
  <c r="V772" i="6"/>
  <c r="U772" i="6"/>
  <c r="K772" i="6"/>
  <c r="W771" i="6"/>
  <c r="V771" i="6"/>
  <c r="U771" i="6"/>
  <c r="K771" i="6"/>
  <c r="W770" i="6"/>
  <c r="V770" i="6"/>
  <c r="U770" i="6"/>
  <c r="K770" i="6"/>
  <c r="W769" i="6"/>
  <c r="V769" i="6"/>
  <c r="U769" i="6"/>
  <c r="K769" i="6"/>
  <c r="W768" i="6"/>
  <c r="V768" i="6"/>
  <c r="U768" i="6"/>
  <c r="K768" i="6"/>
  <c r="W767" i="6"/>
  <c r="V767" i="6"/>
  <c r="U767" i="6"/>
  <c r="K767" i="6"/>
  <c r="W766" i="6"/>
  <c r="V766" i="6"/>
  <c r="U766" i="6"/>
  <c r="K766" i="6"/>
  <c r="W765" i="6"/>
  <c r="V765" i="6"/>
  <c r="U765" i="6"/>
  <c r="K765" i="6"/>
  <c r="W764" i="6"/>
  <c r="V764" i="6"/>
  <c r="U764" i="6"/>
  <c r="K764" i="6"/>
  <c r="W763" i="6"/>
  <c r="V763" i="6"/>
  <c r="U763" i="6"/>
  <c r="K763" i="6"/>
  <c r="W762" i="6"/>
  <c r="V762" i="6"/>
  <c r="U762" i="6"/>
  <c r="K762" i="6"/>
  <c r="W761" i="6"/>
  <c r="V761" i="6"/>
  <c r="U761" i="6"/>
  <c r="K761" i="6"/>
  <c r="W760" i="6"/>
  <c r="V760" i="6"/>
  <c r="U760" i="6"/>
  <c r="K760" i="6"/>
  <c r="W759" i="6"/>
  <c r="V759" i="6"/>
  <c r="U759" i="6"/>
  <c r="K759" i="6"/>
  <c r="W758" i="6"/>
  <c r="V758" i="6"/>
  <c r="U758" i="6"/>
  <c r="K758" i="6"/>
  <c r="W757" i="6"/>
  <c r="V757" i="6"/>
  <c r="U757" i="6"/>
  <c r="K757" i="6"/>
  <c r="W756" i="6"/>
  <c r="V756" i="6"/>
  <c r="U756" i="6"/>
  <c r="K756" i="6"/>
  <c r="W755" i="6"/>
  <c r="V755" i="6"/>
  <c r="U755" i="6"/>
  <c r="K755" i="6"/>
  <c r="W754" i="6"/>
  <c r="V754" i="6"/>
  <c r="U754" i="6"/>
  <c r="K754" i="6"/>
  <c r="W753" i="6"/>
  <c r="V753" i="6"/>
  <c r="U753" i="6"/>
  <c r="K753" i="6"/>
  <c r="W752" i="6"/>
  <c r="V752" i="6"/>
  <c r="U752" i="6"/>
  <c r="K752" i="6"/>
  <c r="W751" i="6"/>
  <c r="V751" i="6"/>
  <c r="U751" i="6"/>
  <c r="K751" i="6"/>
  <c r="W750" i="6"/>
  <c r="V750" i="6"/>
  <c r="U750" i="6"/>
  <c r="K750" i="6"/>
  <c r="W749" i="6"/>
  <c r="V749" i="6"/>
  <c r="U749" i="6"/>
  <c r="K749" i="6"/>
  <c r="W748" i="6"/>
  <c r="V748" i="6"/>
  <c r="U748" i="6"/>
  <c r="K748" i="6"/>
  <c r="W747" i="6"/>
  <c r="V747" i="6"/>
  <c r="U747" i="6"/>
  <c r="K747" i="6"/>
  <c r="W746" i="6"/>
  <c r="V746" i="6"/>
  <c r="U746" i="6"/>
  <c r="K746" i="6"/>
  <c r="W745" i="6"/>
  <c r="V745" i="6"/>
  <c r="U745" i="6"/>
  <c r="K745" i="6"/>
  <c r="W744" i="6"/>
  <c r="V744" i="6"/>
  <c r="U744" i="6"/>
  <c r="K744" i="6"/>
  <c r="V743" i="6"/>
  <c r="U743" i="6"/>
  <c r="K743" i="6"/>
  <c r="W742" i="6"/>
  <c r="V742" i="6"/>
  <c r="U742" i="6"/>
  <c r="K742" i="6"/>
  <c r="W741" i="6"/>
  <c r="V741" i="6"/>
  <c r="U741" i="6"/>
  <c r="K741" i="6"/>
  <c r="W740" i="6"/>
  <c r="V740" i="6"/>
  <c r="U740" i="6"/>
  <c r="K740" i="6"/>
  <c r="W739" i="6"/>
  <c r="V739" i="6"/>
  <c r="U739" i="6"/>
  <c r="K739" i="6"/>
  <c r="W738" i="6"/>
  <c r="V738" i="6"/>
  <c r="U738" i="6"/>
  <c r="K738" i="6"/>
  <c r="W737" i="6"/>
  <c r="V737" i="6"/>
  <c r="U737" i="6"/>
  <c r="K737" i="6"/>
  <c r="W736" i="6"/>
  <c r="V736" i="6"/>
  <c r="U736" i="6"/>
  <c r="K736" i="6"/>
  <c r="W735" i="6"/>
  <c r="V735" i="6"/>
  <c r="U735" i="6"/>
  <c r="K735" i="6"/>
  <c r="W734" i="6"/>
  <c r="V734" i="6"/>
  <c r="U734" i="6"/>
  <c r="K734" i="6"/>
  <c r="W733" i="6"/>
  <c r="V733" i="6"/>
  <c r="U733" i="6"/>
  <c r="K733" i="6"/>
  <c r="W732" i="6"/>
  <c r="V732" i="6"/>
  <c r="U732" i="6"/>
  <c r="K732" i="6"/>
  <c r="V731" i="6"/>
  <c r="U731" i="6"/>
  <c r="K731" i="6"/>
  <c r="V730" i="6"/>
  <c r="U730" i="6"/>
  <c r="K730" i="6"/>
  <c r="W729" i="6"/>
  <c r="V729" i="6"/>
  <c r="U729" i="6"/>
  <c r="K729" i="6"/>
  <c r="W728" i="6"/>
  <c r="V728" i="6"/>
  <c r="U728" i="6"/>
  <c r="K728" i="6"/>
  <c r="W727" i="6"/>
  <c r="V727" i="6"/>
  <c r="U727" i="6"/>
  <c r="K727" i="6"/>
  <c r="W726" i="6"/>
  <c r="V726" i="6"/>
  <c r="U726" i="6"/>
  <c r="K726" i="6"/>
  <c r="W725" i="6"/>
  <c r="V725" i="6"/>
  <c r="U725" i="6"/>
  <c r="K725" i="6"/>
  <c r="W724" i="6"/>
  <c r="V724" i="6"/>
  <c r="U724" i="6"/>
  <c r="K724" i="6"/>
  <c r="W723" i="6"/>
  <c r="V723" i="6"/>
  <c r="U723" i="6"/>
  <c r="K723" i="6"/>
  <c r="W722" i="6"/>
  <c r="V722" i="6"/>
  <c r="U722" i="6"/>
  <c r="K722" i="6"/>
  <c r="W721" i="6"/>
  <c r="V721" i="6"/>
  <c r="U721" i="6"/>
  <c r="K721" i="6"/>
  <c r="W720" i="6"/>
  <c r="V720" i="6"/>
  <c r="U720" i="6"/>
  <c r="K720" i="6"/>
  <c r="W719" i="6"/>
  <c r="V719" i="6"/>
  <c r="U719" i="6"/>
  <c r="K719" i="6"/>
  <c r="W718" i="6"/>
  <c r="V718" i="6"/>
  <c r="U718" i="6"/>
  <c r="K718" i="6"/>
  <c r="W717" i="6"/>
  <c r="V717" i="6"/>
  <c r="U717" i="6"/>
  <c r="K717" i="6"/>
  <c r="W716" i="6"/>
  <c r="V716" i="6"/>
  <c r="U716" i="6"/>
  <c r="K716" i="6"/>
  <c r="W715" i="6"/>
  <c r="V715" i="6"/>
  <c r="U715" i="6"/>
  <c r="K715" i="6"/>
  <c r="W714" i="6"/>
  <c r="V714" i="6"/>
  <c r="U714" i="6"/>
  <c r="K714" i="6"/>
  <c r="W713" i="6"/>
  <c r="V713" i="6"/>
  <c r="U713" i="6"/>
  <c r="K713" i="6"/>
  <c r="W712" i="6"/>
  <c r="V712" i="6"/>
  <c r="U712" i="6"/>
  <c r="K712" i="6"/>
  <c r="W711" i="6"/>
  <c r="V711" i="6"/>
  <c r="U711" i="6"/>
  <c r="K711" i="6"/>
  <c r="W710" i="6"/>
  <c r="V710" i="6"/>
  <c r="U710" i="6"/>
  <c r="K710" i="6"/>
  <c r="W709" i="6"/>
  <c r="V709" i="6"/>
  <c r="U709" i="6"/>
  <c r="K709" i="6"/>
  <c r="W708" i="6"/>
  <c r="V708" i="6"/>
  <c r="U708" i="6"/>
  <c r="K708" i="6"/>
  <c r="W707" i="6"/>
  <c r="V707" i="6"/>
  <c r="U707" i="6"/>
  <c r="K707" i="6"/>
  <c r="W706" i="6"/>
  <c r="V706" i="6"/>
  <c r="U706" i="6"/>
  <c r="K706" i="6"/>
  <c r="W705" i="6"/>
  <c r="V705" i="6"/>
  <c r="U705" i="6"/>
  <c r="K705" i="6"/>
  <c r="W704" i="6"/>
  <c r="V704" i="6"/>
  <c r="U704" i="6"/>
  <c r="K704" i="6"/>
  <c r="W703" i="6"/>
  <c r="V703" i="6"/>
  <c r="U703" i="6"/>
  <c r="K703" i="6"/>
  <c r="W702" i="6"/>
  <c r="V702" i="6"/>
  <c r="U702" i="6"/>
  <c r="K702" i="6"/>
  <c r="W701" i="6"/>
  <c r="V701" i="6"/>
  <c r="U701" i="6"/>
  <c r="K701" i="6"/>
  <c r="W700" i="6"/>
  <c r="V700" i="6"/>
  <c r="U700" i="6"/>
  <c r="K700" i="6"/>
  <c r="W699" i="6"/>
  <c r="V699" i="6"/>
  <c r="U699" i="6"/>
  <c r="K699" i="6"/>
  <c r="W698" i="6"/>
  <c r="V698" i="6"/>
  <c r="U698" i="6"/>
  <c r="K698" i="6"/>
  <c r="W697" i="6"/>
  <c r="V697" i="6"/>
  <c r="U697" i="6"/>
  <c r="K697" i="6"/>
  <c r="W696" i="6"/>
  <c r="V696" i="6"/>
  <c r="U696" i="6"/>
  <c r="K696" i="6"/>
  <c r="W695" i="6"/>
  <c r="V695" i="6"/>
  <c r="U695" i="6"/>
  <c r="K695" i="6"/>
  <c r="W694" i="6"/>
  <c r="V694" i="6"/>
  <c r="U694" i="6"/>
  <c r="K694" i="6"/>
  <c r="W693" i="6"/>
  <c r="V693" i="6"/>
  <c r="U693" i="6"/>
  <c r="K693" i="6"/>
  <c r="W692" i="6"/>
  <c r="V692" i="6"/>
  <c r="U692" i="6"/>
  <c r="K692" i="6"/>
  <c r="W691" i="6"/>
  <c r="V691" i="6"/>
  <c r="U691" i="6"/>
  <c r="K691" i="6"/>
  <c r="W690" i="6"/>
  <c r="V690" i="6"/>
  <c r="U690" i="6"/>
  <c r="K690" i="6"/>
  <c r="W689" i="6"/>
  <c r="V689" i="6"/>
  <c r="U689" i="6"/>
  <c r="K689" i="6"/>
  <c r="W688" i="6"/>
  <c r="V688" i="6"/>
  <c r="U688" i="6"/>
  <c r="K688" i="6"/>
  <c r="W687" i="6"/>
  <c r="V687" i="6"/>
  <c r="U687" i="6"/>
  <c r="K687" i="6"/>
  <c r="W686" i="6"/>
  <c r="V686" i="6"/>
  <c r="U686" i="6"/>
  <c r="K686" i="6"/>
  <c r="W685" i="6"/>
  <c r="V685" i="6"/>
  <c r="U685" i="6"/>
  <c r="K685" i="6"/>
  <c r="W684" i="6"/>
  <c r="V684" i="6"/>
  <c r="U684" i="6"/>
  <c r="K684" i="6"/>
  <c r="W683" i="6"/>
  <c r="V683" i="6"/>
  <c r="U683" i="6"/>
  <c r="K683" i="6"/>
  <c r="W682" i="6"/>
  <c r="V682" i="6"/>
  <c r="U682" i="6"/>
  <c r="K682" i="6"/>
  <c r="W681" i="6"/>
  <c r="V681" i="6"/>
  <c r="U681" i="6"/>
  <c r="K681" i="6"/>
  <c r="W680" i="6"/>
  <c r="V680" i="6"/>
  <c r="U680" i="6"/>
  <c r="K680" i="6"/>
  <c r="W679" i="6"/>
  <c r="V679" i="6"/>
  <c r="U679" i="6"/>
  <c r="K679" i="6"/>
  <c r="W678" i="6"/>
  <c r="V678" i="6"/>
  <c r="U678" i="6"/>
  <c r="K678" i="6"/>
  <c r="W677" i="6"/>
  <c r="V677" i="6"/>
  <c r="U677" i="6"/>
  <c r="K677" i="6"/>
  <c r="W676" i="6"/>
  <c r="V676" i="6"/>
  <c r="U676" i="6"/>
  <c r="K676" i="6"/>
  <c r="W675" i="6"/>
  <c r="V675" i="6"/>
  <c r="U675" i="6"/>
  <c r="K675" i="6"/>
  <c r="W674" i="6"/>
  <c r="V674" i="6"/>
  <c r="U674" i="6"/>
  <c r="K674" i="6"/>
  <c r="W673" i="6"/>
  <c r="V673" i="6"/>
  <c r="U673" i="6"/>
  <c r="K673" i="6"/>
  <c r="W672" i="6"/>
  <c r="V672" i="6"/>
  <c r="U672" i="6"/>
  <c r="K672" i="6"/>
  <c r="W671" i="6"/>
  <c r="V671" i="6"/>
  <c r="U671" i="6"/>
  <c r="K671" i="6"/>
  <c r="W670" i="6"/>
  <c r="V670" i="6"/>
  <c r="U670" i="6"/>
  <c r="K670" i="6"/>
  <c r="W669" i="6"/>
  <c r="V669" i="6"/>
  <c r="U669" i="6"/>
  <c r="K669" i="6"/>
  <c r="W668" i="6"/>
  <c r="V668" i="6"/>
  <c r="U668" i="6"/>
  <c r="K668" i="6"/>
  <c r="W667" i="6"/>
  <c r="V667" i="6"/>
  <c r="U667" i="6"/>
  <c r="K667" i="6"/>
  <c r="W666" i="6"/>
  <c r="V666" i="6"/>
  <c r="U666" i="6"/>
  <c r="K666" i="6"/>
  <c r="W665" i="6"/>
  <c r="V665" i="6"/>
  <c r="U665" i="6"/>
  <c r="K665" i="6"/>
  <c r="W664" i="6"/>
  <c r="V664" i="6"/>
  <c r="U664" i="6"/>
  <c r="K664" i="6"/>
  <c r="W663" i="6"/>
  <c r="V663" i="6"/>
  <c r="U663" i="6"/>
  <c r="K663" i="6"/>
  <c r="W662" i="6"/>
  <c r="V662" i="6"/>
  <c r="U662" i="6"/>
  <c r="K662" i="6"/>
  <c r="W661" i="6"/>
  <c r="V661" i="6"/>
  <c r="U661" i="6"/>
  <c r="K661" i="6"/>
  <c r="W660" i="6"/>
  <c r="V660" i="6"/>
  <c r="U660" i="6"/>
  <c r="K660" i="6"/>
  <c r="W659" i="6"/>
  <c r="V659" i="6"/>
  <c r="U659" i="6"/>
  <c r="K659" i="6"/>
  <c r="W658" i="6"/>
  <c r="V658" i="6"/>
  <c r="U658" i="6"/>
  <c r="K658" i="6"/>
  <c r="W657" i="6"/>
  <c r="V657" i="6"/>
  <c r="U657" i="6"/>
  <c r="K657" i="6"/>
  <c r="W656" i="6"/>
  <c r="V656" i="6"/>
  <c r="U656" i="6"/>
  <c r="K656" i="6"/>
  <c r="W655" i="6"/>
  <c r="V655" i="6"/>
  <c r="U655" i="6"/>
  <c r="K655" i="6"/>
  <c r="W654" i="6"/>
  <c r="V654" i="6"/>
  <c r="U654" i="6"/>
  <c r="K654" i="6"/>
  <c r="W653" i="6"/>
  <c r="V653" i="6"/>
  <c r="U653" i="6"/>
  <c r="K653" i="6"/>
  <c r="W652" i="6"/>
  <c r="V652" i="6"/>
  <c r="U652" i="6"/>
  <c r="K652" i="6"/>
  <c r="W651" i="6"/>
  <c r="V651" i="6"/>
  <c r="U651" i="6"/>
  <c r="K651" i="6"/>
  <c r="W650" i="6"/>
  <c r="V650" i="6"/>
  <c r="U650" i="6"/>
  <c r="K650" i="6"/>
  <c r="W649" i="6"/>
  <c r="V649" i="6"/>
  <c r="U649" i="6"/>
  <c r="K649" i="6"/>
  <c r="W648" i="6"/>
  <c r="V648" i="6"/>
  <c r="U648" i="6"/>
  <c r="K648" i="6"/>
  <c r="W647" i="6"/>
  <c r="V647" i="6"/>
  <c r="U647" i="6"/>
  <c r="K647" i="6"/>
  <c r="W646" i="6"/>
  <c r="V646" i="6"/>
  <c r="U646" i="6"/>
  <c r="K646" i="6"/>
  <c r="W645" i="6"/>
  <c r="V645" i="6"/>
  <c r="U645" i="6"/>
  <c r="K645" i="6"/>
  <c r="W644" i="6"/>
  <c r="V644" i="6"/>
  <c r="U644" i="6"/>
  <c r="K644" i="6"/>
  <c r="W643" i="6"/>
  <c r="V643" i="6"/>
  <c r="U643" i="6"/>
  <c r="K643" i="6"/>
  <c r="W642" i="6"/>
  <c r="V642" i="6"/>
  <c r="U642" i="6"/>
  <c r="K642" i="6"/>
  <c r="W641" i="6"/>
  <c r="V641" i="6"/>
  <c r="U641" i="6"/>
  <c r="K641" i="6"/>
  <c r="W640" i="6"/>
  <c r="V640" i="6"/>
  <c r="U640" i="6"/>
  <c r="K640" i="6"/>
  <c r="W639" i="6"/>
  <c r="V639" i="6"/>
  <c r="U639" i="6"/>
  <c r="K639" i="6"/>
  <c r="W638" i="6"/>
  <c r="V638" i="6"/>
  <c r="U638" i="6"/>
  <c r="K638" i="6"/>
  <c r="W637" i="6"/>
  <c r="V637" i="6"/>
  <c r="U637" i="6"/>
  <c r="K637" i="6"/>
  <c r="W636" i="6"/>
  <c r="V636" i="6"/>
  <c r="U636" i="6"/>
  <c r="K636" i="6"/>
  <c r="W635" i="6"/>
  <c r="V635" i="6"/>
  <c r="U635" i="6"/>
  <c r="K635" i="6"/>
  <c r="W634" i="6"/>
  <c r="V634" i="6"/>
  <c r="U634" i="6"/>
  <c r="K634" i="6"/>
  <c r="W633" i="6"/>
  <c r="V633" i="6"/>
  <c r="U633" i="6"/>
  <c r="K633" i="6"/>
  <c r="W632" i="6"/>
  <c r="V632" i="6"/>
  <c r="U632" i="6"/>
  <c r="K632" i="6"/>
  <c r="W631" i="6"/>
  <c r="V631" i="6"/>
  <c r="U631" i="6"/>
  <c r="K631" i="6"/>
  <c r="W630" i="6"/>
  <c r="V630" i="6"/>
  <c r="U630" i="6"/>
  <c r="K630" i="6"/>
  <c r="W629" i="6"/>
  <c r="V629" i="6"/>
  <c r="U629" i="6"/>
  <c r="K629" i="6"/>
  <c r="W628" i="6"/>
  <c r="V628" i="6"/>
  <c r="U628" i="6"/>
  <c r="K628" i="6"/>
  <c r="W627" i="6"/>
  <c r="V627" i="6"/>
  <c r="U627" i="6"/>
  <c r="K627" i="6"/>
  <c r="W626" i="6"/>
  <c r="V626" i="6"/>
  <c r="U626" i="6"/>
  <c r="K626" i="6"/>
  <c r="W625" i="6"/>
  <c r="V625" i="6"/>
  <c r="U625" i="6"/>
  <c r="K625" i="6"/>
  <c r="W624" i="6"/>
  <c r="V624" i="6"/>
  <c r="U624" i="6"/>
  <c r="K624" i="6"/>
  <c r="W623" i="6"/>
  <c r="V623" i="6"/>
  <c r="U623" i="6"/>
  <c r="K623" i="6"/>
  <c r="W622" i="6"/>
  <c r="V622" i="6"/>
  <c r="U622" i="6"/>
  <c r="K622" i="6"/>
  <c r="W621" i="6"/>
  <c r="V621" i="6"/>
  <c r="U621" i="6"/>
  <c r="K621" i="6"/>
  <c r="W620" i="6"/>
  <c r="V620" i="6"/>
  <c r="U620" i="6"/>
  <c r="K620" i="6"/>
  <c r="W619" i="6"/>
  <c r="V619" i="6"/>
  <c r="U619" i="6"/>
  <c r="K619" i="6"/>
  <c r="W618" i="6"/>
  <c r="V618" i="6"/>
  <c r="U618" i="6"/>
  <c r="K618" i="6"/>
  <c r="W617" i="6"/>
  <c r="V617" i="6"/>
  <c r="U617" i="6"/>
  <c r="K617" i="6"/>
  <c r="W616" i="6"/>
  <c r="V616" i="6"/>
  <c r="U616" i="6"/>
  <c r="K616" i="6"/>
  <c r="W615" i="6"/>
  <c r="V615" i="6"/>
  <c r="U615" i="6"/>
  <c r="K615" i="6"/>
  <c r="W614" i="6"/>
  <c r="V614" i="6"/>
  <c r="U614" i="6"/>
  <c r="K614" i="6"/>
  <c r="W613" i="6"/>
  <c r="V613" i="6"/>
  <c r="U613" i="6"/>
  <c r="K613" i="6"/>
  <c r="W612" i="6"/>
  <c r="V612" i="6"/>
  <c r="U612" i="6"/>
  <c r="K612" i="6"/>
  <c r="W611" i="6"/>
  <c r="V611" i="6"/>
  <c r="U611" i="6"/>
  <c r="K611" i="6"/>
  <c r="W610" i="6"/>
  <c r="V610" i="6"/>
  <c r="U610" i="6"/>
  <c r="K610" i="6"/>
  <c r="W609" i="6"/>
  <c r="V609" i="6"/>
  <c r="U609" i="6"/>
  <c r="K609" i="6"/>
  <c r="W608" i="6"/>
  <c r="V608" i="6"/>
  <c r="U608" i="6"/>
  <c r="K608" i="6"/>
  <c r="W607" i="6"/>
  <c r="V607" i="6"/>
  <c r="U607" i="6"/>
  <c r="K607" i="6"/>
  <c r="W606" i="6"/>
  <c r="V606" i="6"/>
  <c r="U606" i="6"/>
  <c r="K606" i="6"/>
  <c r="W605" i="6"/>
  <c r="V605" i="6"/>
  <c r="U605" i="6"/>
  <c r="K605" i="6"/>
  <c r="W604" i="6"/>
  <c r="V604" i="6"/>
  <c r="U604" i="6"/>
  <c r="K604" i="6"/>
  <c r="V603" i="6"/>
  <c r="U603" i="6"/>
  <c r="K603" i="6"/>
  <c r="W602" i="6"/>
  <c r="V602" i="6"/>
  <c r="U602" i="6"/>
  <c r="K602" i="6"/>
  <c r="W601" i="6"/>
  <c r="V601" i="6"/>
  <c r="U601" i="6"/>
  <c r="K601" i="6"/>
  <c r="W600" i="6"/>
  <c r="V600" i="6"/>
  <c r="U600" i="6"/>
  <c r="K600" i="6"/>
  <c r="W599" i="6"/>
  <c r="V599" i="6"/>
  <c r="U599" i="6"/>
  <c r="K599" i="6"/>
  <c r="W598" i="6"/>
  <c r="V598" i="6"/>
  <c r="U598" i="6"/>
  <c r="K598" i="6"/>
  <c r="W597" i="6"/>
  <c r="V597" i="6"/>
  <c r="U597" i="6"/>
  <c r="K597" i="6"/>
  <c r="W596" i="6"/>
  <c r="V596" i="6"/>
  <c r="U596" i="6"/>
  <c r="K596" i="6"/>
  <c r="W595" i="6"/>
  <c r="V595" i="6"/>
  <c r="U595" i="6"/>
  <c r="K595" i="6"/>
  <c r="W594" i="6"/>
  <c r="V594" i="6"/>
  <c r="U594" i="6"/>
  <c r="K594" i="6"/>
  <c r="W593" i="6"/>
  <c r="V593" i="6"/>
  <c r="U593" i="6"/>
  <c r="K593" i="6"/>
  <c r="W592" i="6"/>
  <c r="V592" i="6"/>
  <c r="U592" i="6"/>
  <c r="K592" i="6"/>
  <c r="W591" i="6"/>
  <c r="V591" i="6"/>
  <c r="U591" i="6"/>
  <c r="K591" i="6"/>
  <c r="W590" i="6"/>
  <c r="V590" i="6"/>
  <c r="U590" i="6"/>
  <c r="K590" i="6"/>
  <c r="W589" i="6"/>
  <c r="V589" i="6"/>
  <c r="U589" i="6"/>
  <c r="K589" i="6"/>
  <c r="W588" i="6"/>
  <c r="V588" i="6"/>
  <c r="U588" i="6"/>
  <c r="K588" i="6"/>
  <c r="W587" i="6"/>
  <c r="V587" i="6"/>
  <c r="U587" i="6"/>
  <c r="K587" i="6"/>
  <c r="W586" i="6"/>
  <c r="V586" i="6"/>
  <c r="U586" i="6"/>
  <c r="K586" i="6"/>
  <c r="W585" i="6"/>
  <c r="V585" i="6"/>
  <c r="U585" i="6"/>
  <c r="K585" i="6"/>
  <c r="W584" i="6"/>
  <c r="V584" i="6"/>
  <c r="U584" i="6"/>
  <c r="K584" i="6"/>
  <c r="W583" i="6"/>
  <c r="V583" i="6"/>
  <c r="U583" i="6"/>
  <c r="K583" i="6"/>
  <c r="W582" i="6"/>
  <c r="V582" i="6"/>
  <c r="U582" i="6"/>
  <c r="K582" i="6"/>
  <c r="W581" i="6"/>
  <c r="V581" i="6"/>
  <c r="U581" i="6"/>
  <c r="K581" i="6"/>
  <c r="W580" i="6"/>
  <c r="V580" i="6"/>
  <c r="U580" i="6"/>
  <c r="K580" i="6"/>
  <c r="W579" i="6"/>
  <c r="V579" i="6"/>
  <c r="U579" i="6"/>
  <c r="K579" i="6"/>
  <c r="W578" i="6"/>
  <c r="V578" i="6"/>
  <c r="U578" i="6"/>
  <c r="K578" i="6"/>
  <c r="W577" i="6"/>
  <c r="V577" i="6"/>
  <c r="U577" i="6"/>
  <c r="K577" i="6"/>
  <c r="W576" i="6"/>
  <c r="V576" i="6"/>
  <c r="U576" i="6"/>
  <c r="K576" i="6"/>
  <c r="W575" i="6"/>
  <c r="V575" i="6"/>
  <c r="U575" i="6"/>
  <c r="K575" i="6"/>
  <c r="W574" i="6"/>
  <c r="V574" i="6"/>
  <c r="U574" i="6"/>
  <c r="K574" i="6"/>
  <c r="W573" i="6"/>
  <c r="V573" i="6"/>
  <c r="U573" i="6"/>
  <c r="K573" i="6"/>
  <c r="W572" i="6"/>
  <c r="V572" i="6"/>
  <c r="U572" i="6"/>
  <c r="K572" i="6"/>
  <c r="W571" i="6"/>
  <c r="V571" i="6"/>
  <c r="U571" i="6"/>
  <c r="K571" i="6"/>
  <c r="W570" i="6"/>
  <c r="V570" i="6"/>
  <c r="U570" i="6"/>
  <c r="K570" i="6"/>
  <c r="W569" i="6"/>
  <c r="V569" i="6"/>
  <c r="U569" i="6"/>
  <c r="K569" i="6"/>
  <c r="W568" i="6"/>
  <c r="V568" i="6"/>
  <c r="U568" i="6"/>
  <c r="K568" i="6"/>
  <c r="W567" i="6"/>
  <c r="V567" i="6"/>
  <c r="U567" i="6"/>
  <c r="K567" i="6"/>
  <c r="W566" i="6"/>
  <c r="V566" i="6"/>
  <c r="U566" i="6"/>
  <c r="K566" i="6"/>
  <c r="W565" i="6"/>
  <c r="V565" i="6"/>
  <c r="U565" i="6"/>
  <c r="K565" i="6"/>
  <c r="W564" i="6"/>
  <c r="V564" i="6"/>
  <c r="U564" i="6"/>
  <c r="K564" i="6"/>
  <c r="W563" i="6"/>
  <c r="V563" i="6"/>
  <c r="U563" i="6"/>
  <c r="K563" i="6"/>
  <c r="W562" i="6"/>
  <c r="V562" i="6"/>
  <c r="U562" i="6"/>
  <c r="K562" i="6"/>
  <c r="W561" i="6"/>
  <c r="V561" i="6"/>
  <c r="U561" i="6"/>
  <c r="K561" i="6"/>
  <c r="W560" i="6"/>
  <c r="V560" i="6"/>
  <c r="U560" i="6"/>
  <c r="K560" i="6"/>
  <c r="W559" i="6"/>
  <c r="V559" i="6"/>
  <c r="U559" i="6"/>
  <c r="K559" i="6"/>
  <c r="W558" i="6"/>
  <c r="V558" i="6"/>
  <c r="U558" i="6"/>
  <c r="K558" i="6"/>
  <c r="W557" i="6"/>
  <c r="V557" i="6"/>
  <c r="U557" i="6"/>
  <c r="K557" i="6"/>
  <c r="W556" i="6"/>
  <c r="V556" i="6"/>
  <c r="U556" i="6"/>
  <c r="K556" i="6"/>
  <c r="W555" i="6"/>
  <c r="V555" i="6"/>
  <c r="U555" i="6"/>
  <c r="K555" i="6"/>
  <c r="W554" i="6"/>
  <c r="V554" i="6"/>
  <c r="U554" i="6"/>
  <c r="K554" i="6"/>
  <c r="W553" i="6"/>
  <c r="V553" i="6"/>
  <c r="U553" i="6"/>
  <c r="K553" i="6"/>
  <c r="W552" i="6"/>
  <c r="V552" i="6"/>
  <c r="U552" i="6"/>
  <c r="K552" i="6"/>
  <c r="W551" i="6"/>
  <c r="V551" i="6"/>
  <c r="U551" i="6"/>
  <c r="K551" i="6"/>
  <c r="W550" i="6"/>
  <c r="V550" i="6"/>
  <c r="U550" i="6"/>
  <c r="K550" i="6"/>
  <c r="W549" i="6"/>
  <c r="V549" i="6"/>
  <c r="U549" i="6"/>
  <c r="K549" i="6"/>
  <c r="W548" i="6"/>
  <c r="V548" i="6"/>
  <c r="U548" i="6"/>
  <c r="K548" i="6"/>
  <c r="W547" i="6"/>
  <c r="V547" i="6"/>
  <c r="U547" i="6"/>
  <c r="K547" i="6"/>
  <c r="W546" i="6"/>
  <c r="V546" i="6"/>
  <c r="U546" i="6"/>
  <c r="K546" i="6"/>
  <c r="W545" i="6"/>
  <c r="V545" i="6"/>
  <c r="U545" i="6"/>
  <c r="K545" i="6"/>
  <c r="W544" i="6"/>
  <c r="V544" i="6"/>
  <c r="U544" i="6"/>
  <c r="K544" i="6"/>
  <c r="W543" i="6"/>
  <c r="V543" i="6"/>
  <c r="U543" i="6"/>
  <c r="K543" i="6"/>
  <c r="W542" i="6"/>
  <c r="V542" i="6"/>
  <c r="U542" i="6"/>
  <c r="K542" i="6"/>
  <c r="W541" i="6"/>
  <c r="V541" i="6"/>
  <c r="U541" i="6"/>
  <c r="K541" i="6"/>
  <c r="W540" i="6"/>
  <c r="V540" i="6"/>
  <c r="U540" i="6"/>
  <c r="K540" i="6"/>
  <c r="W539" i="6"/>
  <c r="V539" i="6"/>
  <c r="U539" i="6"/>
  <c r="K539" i="6"/>
  <c r="W538" i="6"/>
  <c r="V538" i="6"/>
  <c r="U538" i="6"/>
  <c r="K538" i="6"/>
  <c r="W537" i="6"/>
  <c r="V537" i="6"/>
  <c r="U537" i="6"/>
  <c r="K537" i="6"/>
  <c r="W536" i="6"/>
  <c r="V536" i="6"/>
  <c r="U536" i="6"/>
  <c r="K536" i="6"/>
  <c r="W535" i="6"/>
  <c r="V535" i="6"/>
  <c r="U535" i="6"/>
  <c r="K535" i="6"/>
  <c r="W534" i="6"/>
  <c r="V534" i="6"/>
  <c r="U534" i="6"/>
  <c r="K534" i="6"/>
  <c r="W533" i="6"/>
  <c r="V533" i="6"/>
  <c r="U533" i="6"/>
  <c r="K533" i="6"/>
  <c r="W532" i="6"/>
  <c r="V532" i="6"/>
  <c r="U532" i="6"/>
  <c r="K532" i="6"/>
  <c r="W531" i="6"/>
  <c r="V531" i="6"/>
  <c r="U531" i="6"/>
  <c r="K531" i="6"/>
  <c r="W530" i="6"/>
  <c r="V530" i="6"/>
  <c r="U530" i="6"/>
  <c r="K530" i="6"/>
  <c r="W529" i="6"/>
  <c r="V529" i="6"/>
  <c r="U529" i="6"/>
  <c r="K529" i="6"/>
  <c r="W528" i="6"/>
  <c r="V528" i="6"/>
  <c r="U528" i="6"/>
  <c r="K528" i="6"/>
  <c r="W527" i="6"/>
  <c r="V527" i="6"/>
  <c r="U527" i="6"/>
  <c r="K527" i="6"/>
  <c r="W526" i="6"/>
  <c r="V526" i="6"/>
  <c r="U526" i="6"/>
  <c r="K526" i="6"/>
  <c r="W525" i="6"/>
  <c r="V525" i="6"/>
  <c r="U525" i="6"/>
  <c r="K525" i="6"/>
  <c r="W524" i="6"/>
  <c r="V524" i="6"/>
  <c r="U524" i="6"/>
  <c r="K524" i="6"/>
  <c r="W523" i="6"/>
  <c r="V523" i="6"/>
  <c r="U523" i="6"/>
  <c r="K523" i="6"/>
  <c r="W522" i="6"/>
  <c r="V522" i="6"/>
  <c r="U522" i="6"/>
  <c r="K522" i="6"/>
  <c r="W521" i="6"/>
  <c r="V521" i="6"/>
  <c r="U521" i="6"/>
  <c r="K521" i="6"/>
  <c r="W520" i="6"/>
  <c r="V520" i="6"/>
  <c r="U520" i="6"/>
  <c r="K520" i="6"/>
  <c r="W519" i="6"/>
  <c r="V519" i="6"/>
  <c r="U519" i="6"/>
  <c r="K519" i="6"/>
  <c r="W518" i="6"/>
  <c r="V518" i="6"/>
  <c r="U518" i="6"/>
  <c r="K518" i="6"/>
  <c r="W517" i="6"/>
  <c r="V517" i="6"/>
  <c r="U517" i="6"/>
  <c r="K517" i="6"/>
  <c r="W516" i="6"/>
  <c r="V516" i="6"/>
  <c r="U516" i="6"/>
  <c r="K516" i="6"/>
  <c r="W515" i="6"/>
  <c r="V515" i="6"/>
  <c r="U515" i="6"/>
  <c r="K515" i="6"/>
  <c r="W514" i="6"/>
  <c r="V514" i="6"/>
  <c r="U514" i="6"/>
  <c r="K514" i="6"/>
  <c r="W513" i="6"/>
  <c r="V513" i="6"/>
  <c r="U513" i="6"/>
  <c r="K513" i="6"/>
  <c r="W512" i="6"/>
  <c r="V512" i="6"/>
  <c r="U512" i="6"/>
  <c r="K512" i="6"/>
  <c r="W511" i="6"/>
  <c r="V511" i="6"/>
  <c r="U511" i="6"/>
  <c r="K511" i="6"/>
  <c r="W510" i="6"/>
  <c r="V510" i="6"/>
  <c r="U510" i="6"/>
  <c r="K510" i="6"/>
  <c r="W509" i="6"/>
  <c r="V509" i="6"/>
  <c r="U509" i="6"/>
  <c r="K509" i="6"/>
  <c r="W508" i="6"/>
  <c r="V508" i="6"/>
  <c r="U508" i="6"/>
  <c r="K508" i="6"/>
  <c r="W507" i="6"/>
  <c r="V507" i="6"/>
  <c r="U507" i="6"/>
  <c r="K507" i="6"/>
  <c r="W506" i="6"/>
  <c r="V506" i="6"/>
  <c r="U506" i="6"/>
  <c r="K506" i="6"/>
  <c r="W505" i="6"/>
  <c r="V505" i="6"/>
  <c r="U505" i="6"/>
  <c r="K505" i="6"/>
  <c r="W504" i="6"/>
  <c r="V504" i="6"/>
  <c r="U504" i="6"/>
  <c r="K504" i="6"/>
  <c r="W503" i="6"/>
  <c r="V503" i="6"/>
  <c r="U503" i="6"/>
  <c r="K503" i="6"/>
  <c r="W502" i="6"/>
  <c r="V502" i="6"/>
  <c r="U502" i="6"/>
  <c r="K502" i="6"/>
  <c r="W501" i="6"/>
  <c r="V501" i="6"/>
  <c r="U501" i="6"/>
  <c r="K501" i="6"/>
  <c r="W500" i="6"/>
  <c r="V500" i="6"/>
  <c r="U500" i="6"/>
  <c r="K500" i="6"/>
  <c r="W499" i="6"/>
  <c r="V499" i="6"/>
  <c r="U499" i="6"/>
  <c r="K499" i="6"/>
  <c r="W498" i="6"/>
  <c r="V498" i="6"/>
  <c r="U498" i="6"/>
  <c r="K498" i="6"/>
  <c r="W497" i="6"/>
  <c r="V497" i="6"/>
  <c r="U497" i="6"/>
  <c r="K497" i="6"/>
  <c r="W496" i="6"/>
  <c r="V496" i="6"/>
  <c r="U496" i="6"/>
  <c r="K496" i="6"/>
  <c r="W495" i="6"/>
  <c r="V495" i="6"/>
  <c r="U495" i="6"/>
  <c r="K495" i="6"/>
  <c r="W494" i="6"/>
  <c r="V494" i="6"/>
  <c r="U494" i="6"/>
  <c r="K494" i="6"/>
  <c r="W493" i="6"/>
  <c r="V493" i="6"/>
  <c r="U493" i="6"/>
  <c r="K493" i="6"/>
  <c r="W492" i="6"/>
  <c r="V492" i="6"/>
  <c r="U492" i="6"/>
  <c r="K492" i="6"/>
  <c r="W491" i="6"/>
  <c r="V491" i="6"/>
  <c r="U491" i="6"/>
  <c r="K491" i="6"/>
  <c r="W490" i="6"/>
  <c r="V490" i="6"/>
  <c r="U490" i="6"/>
  <c r="K490" i="6"/>
  <c r="W489" i="6"/>
  <c r="V489" i="6"/>
  <c r="U489" i="6"/>
  <c r="K489" i="6"/>
  <c r="V488" i="6"/>
  <c r="U488" i="6"/>
  <c r="K488" i="6"/>
  <c r="W487" i="6"/>
  <c r="V487" i="6"/>
  <c r="U487" i="6"/>
  <c r="K487" i="6"/>
  <c r="W486" i="6"/>
  <c r="V486" i="6"/>
  <c r="U486" i="6"/>
  <c r="K486" i="6"/>
  <c r="W485" i="6"/>
  <c r="V485" i="6"/>
  <c r="U485" i="6"/>
  <c r="K485" i="6"/>
  <c r="W484" i="6"/>
  <c r="V484" i="6"/>
  <c r="U484" i="6"/>
  <c r="K484" i="6"/>
  <c r="W483" i="6"/>
  <c r="V483" i="6"/>
  <c r="U483" i="6"/>
  <c r="K483" i="6"/>
  <c r="W482" i="6"/>
  <c r="V482" i="6"/>
  <c r="U482" i="6"/>
  <c r="K482" i="6"/>
  <c r="W481" i="6"/>
  <c r="V481" i="6"/>
  <c r="U481" i="6"/>
  <c r="K481" i="6"/>
  <c r="W480" i="6"/>
  <c r="V480" i="6"/>
  <c r="U480" i="6"/>
  <c r="K480" i="6"/>
  <c r="W479" i="6"/>
  <c r="V479" i="6"/>
  <c r="U479" i="6"/>
  <c r="K479" i="6"/>
  <c r="W478" i="6"/>
  <c r="V478" i="6"/>
  <c r="U478" i="6"/>
  <c r="K478" i="6"/>
  <c r="W477" i="6"/>
  <c r="V477" i="6"/>
  <c r="U477" i="6"/>
  <c r="K477" i="6"/>
  <c r="W476" i="6"/>
  <c r="V476" i="6"/>
  <c r="U476" i="6"/>
  <c r="K476" i="6"/>
  <c r="W475" i="6"/>
  <c r="V475" i="6"/>
  <c r="U475" i="6"/>
  <c r="K475" i="6"/>
  <c r="W474" i="6"/>
  <c r="V474" i="6"/>
  <c r="U474" i="6"/>
  <c r="K474" i="6"/>
  <c r="W473" i="6"/>
  <c r="V473" i="6"/>
  <c r="U473" i="6"/>
  <c r="K473" i="6"/>
  <c r="W472" i="6"/>
  <c r="V472" i="6"/>
  <c r="U472" i="6"/>
  <c r="K472" i="6"/>
  <c r="W471" i="6"/>
  <c r="V471" i="6"/>
  <c r="U471" i="6"/>
  <c r="K471" i="6"/>
  <c r="W470" i="6"/>
  <c r="V470" i="6"/>
  <c r="U470" i="6"/>
  <c r="K470" i="6"/>
  <c r="W469" i="6"/>
  <c r="V469" i="6"/>
  <c r="U469" i="6"/>
  <c r="K469" i="6"/>
  <c r="W468" i="6"/>
  <c r="V468" i="6"/>
  <c r="U468" i="6"/>
  <c r="K468" i="6"/>
  <c r="W467" i="6"/>
  <c r="V467" i="6"/>
  <c r="U467" i="6"/>
  <c r="K467" i="6"/>
  <c r="W466" i="6"/>
  <c r="V466" i="6"/>
  <c r="U466" i="6"/>
  <c r="K466" i="6"/>
  <c r="W465" i="6"/>
  <c r="V465" i="6"/>
  <c r="U465" i="6"/>
  <c r="K465" i="6"/>
  <c r="W464" i="6"/>
  <c r="V464" i="6"/>
  <c r="U464" i="6"/>
  <c r="K464" i="6"/>
  <c r="W463" i="6"/>
  <c r="V463" i="6"/>
  <c r="U463" i="6"/>
  <c r="K463" i="6"/>
  <c r="W462" i="6"/>
  <c r="V462" i="6"/>
  <c r="U462" i="6"/>
  <c r="K462" i="6"/>
  <c r="W461" i="6"/>
  <c r="V461" i="6"/>
  <c r="U461" i="6"/>
  <c r="K461" i="6"/>
  <c r="W460" i="6"/>
  <c r="V460" i="6"/>
  <c r="U460" i="6"/>
  <c r="K460" i="6"/>
  <c r="W459" i="6"/>
  <c r="V459" i="6"/>
  <c r="U459" i="6"/>
  <c r="K459" i="6"/>
  <c r="W458" i="6"/>
  <c r="V458" i="6"/>
  <c r="U458" i="6"/>
  <c r="K458" i="6"/>
  <c r="W457" i="6"/>
  <c r="V457" i="6"/>
  <c r="U457" i="6"/>
  <c r="K457" i="6"/>
  <c r="W456" i="6"/>
  <c r="V456" i="6"/>
  <c r="U456" i="6"/>
  <c r="K456" i="6"/>
  <c r="W455" i="6"/>
  <c r="V455" i="6"/>
  <c r="U455" i="6"/>
  <c r="K455" i="6"/>
  <c r="W454" i="6"/>
  <c r="V454" i="6"/>
  <c r="U454" i="6"/>
  <c r="K454" i="6"/>
  <c r="W453" i="6"/>
  <c r="V453" i="6"/>
  <c r="U453" i="6"/>
  <c r="K453" i="6"/>
  <c r="W452" i="6"/>
  <c r="V452" i="6"/>
  <c r="U452" i="6"/>
  <c r="K452" i="6"/>
  <c r="W451" i="6"/>
  <c r="V451" i="6"/>
  <c r="U451" i="6"/>
  <c r="K451" i="6"/>
  <c r="W450" i="6"/>
  <c r="V450" i="6"/>
  <c r="U450" i="6"/>
  <c r="K450" i="6"/>
  <c r="W449" i="6"/>
  <c r="V449" i="6"/>
  <c r="U449" i="6"/>
  <c r="K449" i="6"/>
  <c r="W448" i="6"/>
  <c r="V448" i="6"/>
  <c r="U448" i="6"/>
  <c r="K448" i="6"/>
  <c r="W447" i="6"/>
  <c r="V447" i="6"/>
  <c r="U447" i="6"/>
  <c r="K447" i="6"/>
  <c r="W446" i="6"/>
  <c r="V446" i="6"/>
  <c r="U446" i="6"/>
  <c r="K446" i="6"/>
  <c r="W445" i="6"/>
  <c r="V445" i="6"/>
  <c r="U445" i="6"/>
  <c r="K445" i="6"/>
  <c r="W444" i="6"/>
  <c r="V444" i="6"/>
  <c r="U444" i="6"/>
  <c r="K444" i="6"/>
  <c r="W443" i="6"/>
  <c r="V443" i="6"/>
  <c r="U443" i="6"/>
  <c r="K443" i="6"/>
  <c r="W442" i="6"/>
  <c r="V442" i="6"/>
  <c r="U442" i="6"/>
  <c r="K442" i="6"/>
  <c r="W441" i="6"/>
  <c r="V441" i="6"/>
  <c r="U441" i="6"/>
  <c r="K441" i="6"/>
  <c r="W440" i="6"/>
  <c r="V440" i="6"/>
  <c r="U440" i="6"/>
  <c r="K440" i="6"/>
  <c r="W439" i="6"/>
  <c r="V439" i="6"/>
  <c r="U439" i="6"/>
  <c r="K439" i="6"/>
  <c r="W438" i="6"/>
  <c r="V438" i="6"/>
  <c r="U438" i="6"/>
  <c r="K438" i="6"/>
  <c r="W437" i="6"/>
  <c r="V437" i="6"/>
  <c r="U437" i="6"/>
  <c r="K437" i="6"/>
  <c r="W436" i="6"/>
  <c r="V436" i="6"/>
  <c r="U436" i="6"/>
  <c r="K436" i="6"/>
  <c r="W435" i="6"/>
  <c r="V435" i="6"/>
  <c r="U435" i="6"/>
  <c r="K435" i="6"/>
  <c r="W434" i="6"/>
  <c r="V434" i="6"/>
  <c r="U434" i="6"/>
  <c r="K434" i="6"/>
  <c r="W433" i="6"/>
  <c r="V433" i="6"/>
  <c r="U433" i="6"/>
  <c r="K433" i="6"/>
  <c r="W432" i="6"/>
  <c r="V432" i="6"/>
  <c r="U432" i="6"/>
  <c r="K432" i="6"/>
  <c r="W431" i="6"/>
  <c r="V431" i="6"/>
  <c r="U431" i="6"/>
  <c r="K431" i="6"/>
  <c r="W430" i="6"/>
  <c r="V430" i="6"/>
  <c r="U430" i="6"/>
  <c r="K430" i="6"/>
  <c r="W429" i="6"/>
  <c r="V429" i="6"/>
  <c r="U429" i="6"/>
  <c r="K429" i="6"/>
  <c r="W428" i="6"/>
  <c r="V428" i="6"/>
  <c r="U428" i="6"/>
  <c r="K428" i="6"/>
  <c r="W427" i="6"/>
  <c r="V427" i="6"/>
  <c r="U427" i="6"/>
  <c r="K427" i="6"/>
  <c r="W426" i="6"/>
  <c r="V426" i="6"/>
  <c r="U426" i="6"/>
  <c r="K426" i="6"/>
  <c r="W425" i="6"/>
  <c r="V425" i="6"/>
  <c r="U425" i="6"/>
  <c r="K425" i="6"/>
  <c r="W424" i="6"/>
  <c r="V424" i="6"/>
  <c r="U424" i="6"/>
  <c r="K424" i="6"/>
  <c r="W423" i="6"/>
  <c r="V423" i="6"/>
  <c r="U423" i="6"/>
  <c r="K423" i="6"/>
  <c r="W422" i="6"/>
  <c r="V422" i="6"/>
  <c r="U422" i="6"/>
  <c r="K422" i="6"/>
  <c r="W421" i="6"/>
  <c r="V421" i="6"/>
  <c r="U421" i="6"/>
  <c r="K421" i="6"/>
  <c r="W420" i="6"/>
  <c r="V420" i="6"/>
  <c r="U420" i="6"/>
  <c r="K420" i="6"/>
  <c r="W419" i="6"/>
  <c r="V419" i="6"/>
  <c r="U419" i="6"/>
  <c r="K419" i="6"/>
  <c r="W418" i="6"/>
  <c r="V418" i="6"/>
  <c r="U418" i="6"/>
  <c r="K418" i="6"/>
  <c r="W417" i="6"/>
  <c r="V417" i="6"/>
  <c r="U417" i="6"/>
  <c r="K417" i="6"/>
  <c r="W416" i="6"/>
  <c r="V416" i="6"/>
  <c r="U416" i="6"/>
  <c r="K416" i="6"/>
  <c r="W415" i="6"/>
  <c r="V415" i="6"/>
  <c r="U415" i="6"/>
  <c r="K415" i="6"/>
  <c r="W414" i="6"/>
  <c r="V414" i="6"/>
  <c r="U414" i="6"/>
  <c r="K414" i="6"/>
  <c r="W413" i="6"/>
  <c r="V413" i="6"/>
  <c r="U413" i="6"/>
  <c r="K413" i="6"/>
  <c r="W412" i="6"/>
  <c r="V412" i="6"/>
  <c r="U412" i="6"/>
  <c r="K412" i="6"/>
  <c r="W411" i="6"/>
  <c r="V411" i="6"/>
  <c r="U411" i="6"/>
  <c r="K411" i="6"/>
  <c r="W410" i="6"/>
  <c r="V410" i="6"/>
  <c r="U410" i="6"/>
  <c r="K410" i="6"/>
  <c r="W409" i="6"/>
  <c r="V409" i="6"/>
  <c r="U409" i="6"/>
  <c r="K409" i="6"/>
  <c r="W408" i="6"/>
  <c r="V408" i="6"/>
  <c r="U408" i="6"/>
  <c r="K408" i="6"/>
  <c r="W407" i="6"/>
  <c r="V407" i="6"/>
  <c r="U407" i="6"/>
  <c r="K407" i="6"/>
  <c r="W406" i="6"/>
  <c r="V406" i="6"/>
  <c r="U406" i="6"/>
  <c r="K406" i="6"/>
  <c r="W405" i="6"/>
  <c r="V405" i="6"/>
  <c r="U405" i="6"/>
  <c r="K405" i="6"/>
  <c r="W404" i="6"/>
  <c r="V404" i="6"/>
  <c r="U404" i="6"/>
  <c r="K404" i="6"/>
  <c r="V403" i="6"/>
  <c r="U403" i="6"/>
  <c r="K403" i="6"/>
  <c r="W402" i="6"/>
  <c r="V402" i="6"/>
  <c r="U402" i="6"/>
  <c r="K402" i="6"/>
  <c r="W401" i="6"/>
  <c r="V401" i="6"/>
  <c r="U401" i="6"/>
  <c r="K401" i="6"/>
  <c r="W400" i="6"/>
  <c r="V400" i="6"/>
  <c r="U400" i="6"/>
  <c r="K400" i="6"/>
  <c r="W399" i="6"/>
  <c r="V399" i="6"/>
  <c r="U399" i="6"/>
  <c r="K399" i="6"/>
  <c r="W398" i="6"/>
  <c r="V398" i="6"/>
  <c r="U398" i="6"/>
  <c r="K398" i="6"/>
  <c r="W397" i="6"/>
  <c r="V397" i="6"/>
  <c r="U397" i="6"/>
  <c r="K397" i="6"/>
  <c r="W396" i="6"/>
  <c r="V396" i="6"/>
  <c r="U396" i="6"/>
  <c r="K396" i="6"/>
  <c r="W395" i="6"/>
  <c r="V395" i="6"/>
  <c r="U395" i="6"/>
  <c r="K395" i="6"/>
  <c r="W394" i="6"/>
  <c r="V394" i="6"/>
  <c r="U394" i="6"/>
  <c r="K394" i="6"/>
  <c r="W393" i="6"/>
  <c r="V393" i="6"/>
  <c r="U393" i="6"/>
  <c r="K393" i="6"/>
  <c r="W392" i="6"/>
  <c r="V392" i="6"/>
  <c r="U392" i="6"/>
  <c r="K392" i="6"/>
  <c r="W391" i="6"/>
  <c r="V391" i="6"/>
  <c r="U391" i="6"/>
  <c r="K391" i="6"/>
  <c r="W390" i="6"/>
  <c r="V390" i="6"/>
  <c r="U390" i="6"/>
  <c r="K390" i="6"/>
  <c r="W389" i="6"/>
  <c r="V389" i="6"/>
  <c r="U389" i="6"/>
  <c r="K389" i="6"/>
  <c r="W388" i="6"/>
  <c r="V388" i="6"/>
  <c r="U388" i="6"/>
  <c r="K388" i="6"/>
  <c r="W387" i="6"/>
  <c r="V387" i="6"/>
  <c r="U387" i="6"/>
  <c r="K387" i="6"/>
  <c r="W386" i="6"/>
  <c r="V386" i="6"/>
  <c r="U386" i="6"/>
  <c r="K386" i="6"/>
  <c r="W385" i="6"/>
  <c r="V385" i="6"/>
  <c r="U385" i="6"/>
  <c r="K385" i="6"/>
  <c r="W384" i="6"/>
  <c r="V384" i="6"/>
  <c r="U384" i="6"/>
  <c r="K384" i="6"/>
  <c r="W383" i="6"/>
  <c r="V383" i="6"/>
  <c r="U383" i="6"/>
  <c r="K383" i="6"/>
  <c r="W382" i="6"/>
  <c r="V382" i="6"/>
  <c r="U382" i="6"/>
  <c r="K382" i="6"/>
  <c r="W381" i="6"/>
  <c r="V381" i="6"/>
  <c r="U381" i="6"/>
  <c r="K381" i="6"/>
  <c r="W380" i="6"/>
  <c r="V380" i="6"/>
  <c r="U380" i="6"/>
  <c r="K380" i="6"/>
  <c r="W379" i="6"/>
  <c r="V379" i="6"/>
  <c r="U379" i="6"/>
  <c r="K379" i="6"/>
  <c r="W378" i="6"/>
  <c r="V378" i="6"/>
  <c r="U378" i="6"/>
  <c r="K378" i="6"/>
  <c r="W377" i="6"/>
  <c r="V377" i="6"/>
  <c r="U377" i="6"/>
  <c r="K377" i="6"/>
  <c r="W376" i="6"/>
  <c r="V376" i="6"/>
  <c r="U376" i="6"/>
  <c r="K376" i="6"/>
  <c r="W375" i="6"/>
  <c r="V375" i="6"/>
  <c r="U375" i="6"/>
  <c r="K375" i="6"/>
  <c r="V374" i="6"/>
  <c r="U374" i="6"/>
  <c r="K374" i="6"/>
  <c r="W373" i="6"/>
  <c r="V373" i="6"/>
  <c r="U373" i="6"/>
  <c r="K373" i="6"/>
  <c r="W372" i="6"/>
  <c r="V372" i="6"/>
  <c r="U372" i="6"/>
  <c r="K372" i="6"/>
  <c r="V371" i="6"/>
  <c r="U371" i="6"/>
  <c r="K371" i="6"/>
  <c r="W370" i="6"/>
  <c r="V370" i="6"/>
  <c r="U370" i="6"/>
  <c r="K370" i="6"/>
  <c r="W369" i="6"/>
  <c r="V369" i="6"/>
  <c r="U369" i="6"/>
  <c r="K369" i="6"/>
  <c r="W368" i="6"/>
  <c r="V368" i="6"/>
  <c r="U368" i="6"/>
  <c r="K368" i="6"/>
  <c r="W367" i="6"/>
  <c r="V367" i="6"/>
  <c r="U367" i="6"/>
  <c r="K367" i="6"/>
  <c r="W366" i="6"/>
  <c r="V366" i="6"/>
  <c r="U366" i="6"/>
  <c r="K366" i="6"/>
  <c r="W365" i="6"/>
  <c r="V365" i="6"/>
  <c r="U365" i="6"/>
  <c r="K365" i="6"/>
  <c r="W364" i="6"/>
  <c r="V364" i="6"/>
  <c r="U364" i="6"/>
  <c r="K364" i="6"/>
  <c r="W363" i="6"/>
  <c r="V363" i="6"/>
  <c r="U363" i="6"/>
  <c r="K363" i="6"/>
  <c r="W362" i="6"/>
  <c r="V362" i="6"/>
  <c r="U362" i="6"/>
  <c r="K362" i="6"/>
  <c r="W361" i="6"/>
  <c r="V361" i="6"/>
  <c r="U361" i="6"/>
  <c r="K361" i="6"/>
  <c r="W360" i="6"/>
  <c r="V360" i="6"/>
  <c r="U360" i="6"/>
  <c r="K360" i="6"/>
  <c r="W359" i="6"/>
  <c r="V359" i="6"/>
  <c r="U359" i="6"/>
  <c r="K359" i="6"/>
  <c r="W358" i="6"/>
  <c r="V358" i="6"/>
  <c r="U358" i="6"/>
  <c r="K358" i="6"/>
  <c r="W357" i="6"/>
  <c r="V357" i="6"/>
  <c r="U357" i="6"/>
  <c r="K357" i="6"/>
  <c r="W356" i="6"/>
  <c r="V356" i="6"/>
  <c r="U356" i="6"/>
  <c r="K356" i="6"/>
  <c r="W355" i="6"/>
  <c r="V355" i="6"/>
  <c r="U355" i="6"/>
  <c r="K355" i="6"/>
  <c r="W354" i="6"/>
  <c r="V354" i="6"/>
  <c r="U354" i="6"/>
  <c r="K354" i="6"/>
  <c r="W353" i="6"/>
  <c r="V353" i="6"/>
  <c r="U353" i="6"/>
  <c r="K353" i="6"/>
  <c r="W352" i="6"/>
  <c r="V352" i="6"/>
  <c r="U352" i="6"/>
  <c r="K352" i="6"/>
  <c r="W351" i="6"/>
  <c r="V351" i="6"/>
  <c r="U351" i="6"/>
  <c r="K351" i="6"/>
  <c r="W350" i="6"/>
  <c r="V350" i="6"/>
  <c r="U350" i="6"/>
  <c r="K350" i="6"/>
  <c r="W349" i="6"/>
  <c r="V349" i="6"/>
  <c r="U349" i="6"/>
  <c r="K349" i="6"/>
  <c r="W348" i="6"/>
  <c r="V348" i="6"/>
  <c r="U348" i="6"/>
  <c r="K348" i="6"/>
  <c r="W347" i="6"/>
  <c r="V347" i="6"/>
  <c r="U347" i="6"/>
  <c r="K347" i="6"/>
  <c r="W346" i="6"/>
  <c r="V346" i="6"/>
  <c r="U346" i="6"/>
  <c r="K346" i="6"/>
  <c r="W345" i="6"/>
  <c r="V345" i="6"/>
  <c r="U345" i="6"/>
  <c r="K345" i="6"/>
  <c r="W344" i="6"/>
  <c r="V344" i="6"/>
  <c r="U344" i="6"/>
  <c r="K344" i="6"/>
  <c r="W343" i="6"/>
  <c r="V343" i="6"/>
  <c r="U343" i="6"/>
  <c r="K343" i="6"/>
  <c r="W342" i="6"/>
  <c r="V342" i="6"/>
  <c r="U342" i="6"/>
  <c r="K342" i="6"/>
  <c r="W341" i="6"/>
  <c r="V341" i="6"/>
  <c r="U341" i="6"/>
  <c r="K341" i="6"/>
  <c r="W340" i="6"/>
  <c r="V340" i="6"/>
  <c r="U340" i="6"/>
  <c r="K340" i="6"/>
  <c r="W339" i="6"/>
  <c r="V339" i="6"/>
  <c r="U339" i="6"/>
  <c r="K339" i="6"/>
  <c r="W338" i="6"/>
  <c r="V338" i="6"/>
  <c r="U338" i="6"/>
  <c r="K338" i="6"/>
  <c r="W337" i="6"/>
  <c r="V337" i="6"/>
  <c r="U337" i="6"/>
  <c r="K337" i="6"/>
  <c r="W336" i="6"/>
  <c r="V336" i="6"/>
  <c r="U336" i="6"/>
  <c r="K336" i="6"/>
  <c r="W335" i="6"/>
  <c r="V335" i="6"/>
  <c r="U335" i="6"/>
  <c r="K335" i="6"/>
  <c r="W334" i="6"/>
  <c r="V334" i="6"/>
  <c r="U334" i="6"/>
  <c r="K334" i="6"/>
  <c r="W333" i="6"/>
  <c r="V333" i="6"/>
  <c r="U333" i="6"/>
  <c r="K333" i="6"/>
  <c r="W332" i="6"/>
  <c r="V332" i="6"/>
  <c r="U332" i="6"/>
  <c r="K332" i="6"/>
  <c r="W331" i="6"/>
  <c r="V331" i="6"/>
  <c r="U331" i="6"/>
  <c r="K331" i="6"/>
  <c r="W330" i="6"/>
  <c r="V330" i="6"/>
  <c r="U330" i="6"/>
  <c r="K330" i="6"/>
  <c r="W329" i="6"/>
  <c r="V329" i="6"/>
  <c r="U329" i="6"/>
  <c r="K329" i="6"/>
  <c r="W328" i="6"/>
  <c r="V328" i="6"/>
  <c r="U328" i="6"/>
  <c r="K328" i="6"/>
  <c r="W327" i="6"/>
  <c r="V327" i="6"/>
  <c r="U327" i="6"/>
  <c r="K327" i="6"/>
  <c r="W326" i="6"/>
  <c r="V326" i="6"/>
  <c r="U326" i="6"/>
  <c r="K326" i="6"/>
  <c r="W325" i="6"/>
  <c r="V325" i="6"/>
  <c r="U325" i="6"/>
  <c r="K325" i="6"/>
  <c r="W324" i="6"/>
  <c r="V324" i="6"/>
  <c r="U324" i="6"/>
  <c r="K324" i="6"/>
  <c r="W323" i="6"/>
  <c r="V323" i="6"/>
  <c r="U323" i="6"/>
  <c r="K323" i="6"/>
  <c r="W322" i="6"/>
  <c r="V322" i="6"/>
  <c r="U322" i="6"/>
  <c r="K322" i="6"/>
  <c r="W321" i="6"/>
  <c r="V321" i="6"/>
  <c r="U321" i="6"/>
  <c r="K321" i="6"/>
  <c r="W320" i="6"/>
  <c r="V320" i="6"/>
  <c r="U320" i="6"/>
  <c r="K320" i="6"/>
  <c r="W319" i="6"/>
  <c r="V319" i="6"/>
  <c r="U319" i="6"/>
  <c r="K319" i="6"/>
  <c r="W318" i="6"/>
  <c r="V318" i="6"/>
  <c r="U318" i="6"/>
  <c r="K318" i="6"/>
  <c r="W317" i="6"/>
  <c r="V317" i="6"/>
  <c r="U317" i="6"/>
  <c r="K317" i="6"/>
  <c r="W316" i="6"/>
  <c r="V316" i="6"/>
  <c r="U316" i="6"/>
  <c r="K316" i="6"/>
  <c r="W315" i="6"/>
  <c r="V315" i="6"/>
  <c r="U315" i="6"/>
  <c r="K315" i="6"/>
  <c r="W314" i="6"/>
  <c r="V314" i="6"/>
  <c r="U314" i="6"/>
  <c r="K314" i="6"/>
  <c r="W313" i="6"/>
  <c r="V313" i="6"/>
  <c r="U313" i="6"/>
  <c r="K313" i="6"/>
  <c r="W312" i="6"/>
  <c r="V312" i="6"/>
  <c r="U312" i="6"/>
  <c r="K312" i="6"/>
  <c r="W311" i="6"/>
  <c r="V311" i="6"/>
  <c r="U311" i="6"/>
  <c r="K311" i="6"/>
  <c r="W310" i="6"/>
  <c r="V310" i="6"/>
  <c r="U310" i="6"/>
  <c r="K310" i="6"/>
  <c r="W309" i="6"/>
  <c r="V309" i="6"/>
  <c r="U309" i="6"/>
  <c r="K309" i="6"/>
  <c r="W308" i="6"/>
  <c r="V308" i="6"/>
  <c r="U308" i="6"/>
  <c r="K308" i="6"/>
  <c r="W307" i="6"/>
  <c r="V307" i="6"/>
  <c r="U307" i="6"/>
  <c r="K307" i="6"/>
  <c r="W306" i="6"/>
  <c r="V306" i="6"/>
  <c r="U306" i="6"/>
  <c r="K306" i="6"/>
  <c r="W305" i="6"/>
  <c r="V305" i="6"/>
  <c r="U305" i="6"/>
  <c r="K305" i="6"/>
  <c r="W304" i="6"/>
  <c r="V304" i="6"/>
  <c r="U304" i="6"/>
  <c r="K304" i="6"/>
  <c r="W303" i="6"/>
  <c r="V303" i="6"/>
  <c r="U303" i="6"/>
  <c r="K303" i="6"/>
  <c r="W302" i="6"/>
  <c r="V302" i="6"/>
  <c r="U302" i="6"/>
  <c r="K302" i="6"/>
  <c r="W301" i="6"/>
  <c r="V301" i="6"/>
  <c r="U301" i="6"/>
  <c r="K301" i="6"/>
  <c r="W300" i="6"/>
  <c r="V300" i="6"/>
  <c r="U300" i="6"/>
  <c r="K300" i="6"/>
  <c r="W299" i="6"/>
  <c r="V299" i="6"/>
  <c r="U299" i="6"/>
  <c r="K299" i="6"/>
  <c r="W298" i="6"/>
  <c r="V298" i="6"/>
  <c r="U298" i="6"/>
  <c r="K298" i="6"/>
  <c r="W297" i="6"/>
  <c r="V297" i="6"/>
  <c r="U297" i="6"/>
  <c r="K297" i="6"/>
  <c r="W296" i="6"/>
  <c r="V296" i="6"/>
  <c r="U296" i="6"/>
  <c r="K296" i="6"/>
  <c r="W295" i="6"/>
  <c r="V295" i="6"/>
  <c r="U295" i="6"/>
  <c r="K295" i="6"/>
  <c r="W294" i="6"/>
  <c r="V294" i="6"/>
  <c r="U294" i="6"/>
  <c r="K294" i="6"/>
  <c r="W293" i="6"/>
  <c r="V293" i="6"/>
  <c r="U293" i="6"/>
  <c r="K293" i="6"/>
  <c r="W292" i="6"/>
  <c r="V292" i="6"/>
  <c r="U292" i="6"/>
  <c r="K292" i="6"/>
  <c r="W291" i="6"/>
  <c r="V291" i="6"/>
  <c r="U291" i="6"/>
  <c r="K291" i="6"/>
  <c r="W290" i="6"/>
  <c r="V290" i="6"/>
  <c r="U290" i="6"/>
  <c r="K290" i="6"/>
  <c r="W289" i="6"/>
  <c r="V289" i="6"/>
  <c r="U289" i="6"/>
  <c r="K289" i="6"/>
  <c r="W288" i="6"/>
  <c r="V288" i="6"/>
  <c r="U288" i="6"/>
  <c r="K288" i="6"/>
  <c r="W287" i="6"/>
  <c r="V287" i="6"/>
  <c r="U287" i="6"/>
  <c r="K287" i="6"/>
  <c r="W286" i="6"/>
  <c r="V286" i="6"/>
  <c r="U286" i="6"/>
  <c r="K286" i="6"/>
  <c r="W285" i="6"/>
  <c r="V285" i="6"/>
  <c r="U285" i="6"/>
  <c r="K285" i="6"/>
  <c r="W284" i="6"/>
  <c r="V284" i="6"/>
  <c r="U284" i="6"/>
  <c r="K284" i="6"/>
  <c r="W283" i="6"/>
  <c r="V283" i="6"/>
  <c r="U283" i="6"/>
  <c r="K283" i="6"/>
  <c r="W282" i="6"/>
  <c r="V282" i="6"/>
  <c r="U282" i="6"/>
  <c r="K282" i="6"/>
  <c r="W281" i="6"/>
  <c r="V281" i="6"/>
  <c r="U281" i="6"/>
  <c r="K281" i="6"/>
  <c r="W280" i="6"/>
  <c r="V280" i="6"/>
  <c r="U280" i="6"/>
  <c r="K280" i="6"/>
  <c r="W279" i="6"/>
  <c r="V279" i="6"/>
  <c r="U279" i="6"/>
  <c r="K279" i="6"/>
  <c r="W278" i="6"/>
  <c r="V278" i="6"/>
  <c r="U278" i="6"/>
  <c r="K278" i="6"/>
  <c r="W277" i="6"/>
  <c r="V277" i="6"/>
  <c r="U277" i="6"/>
  <c r="K277" i="6"/>
  <c r="W276" i="6"/>
  <c r="V276" i="6"/>
  <c r="U276" i="6"/>
  <c r="K276" i="6"/>
  <c r="W275" i="6"/>
  <c r="V275" i="6"/>
  <c r="U275" i="6"/>
  <c r="K275" i="6"/>
  <c r="W274" i="6"/>
  <c r="V274" i="6"/>
  <c r="U274" i="6"/>
  <c r="K274" i="6"/>
  <c r="W273" i="6"/>
  <c r="V273" i="6"/>
  <c r="U273" i="6"/>
  <c r="K273" i="6"/>
  <c r="W272" i="6"/>
  <c r="V272" i="6"/>
  <c r="U272" i="6"/>
  <c r="K272" i="6"/>
  <c r="W271" i="6"/>
  <c r="V271" i="6"/>
  <c r="U271" i="6"/>
  <c r="K271" i="6"/>
  <c r="W270" i="6"/>
  <c r="V270" i="6"/>
  <c r="U270" i="6"/>
  <c r="K270" i="6"/>
  <c r="W269" i="6"/>
  <c r="V269" i="6"/>
  <c r="U269" i="6"/>
  <c r="K269" i="6"/>
  <c r="W268" i="6"/>
  <c r="V268" i="6"/>
  <c r="U268" i="6"/>
  <c r="K268" i="6"/>
  <c r="W267" i="6"/>
  <c r="V267" i="6"/>
  <c r="U267" i="6"/>
  <c r="K267" i="6"/>
  <c r="W266" i="6"/>
  <c r="V266" i="6"/>
  <c r="U266" i="6"/>
  <c r="K266" i="6"/>
  <c r="W265" i="6"/>
  <c r="V265" i="6"/>
  <c r="U265" i="6"/>
  <c r="K265" i="6"/>
  <c r="W264" i="6"/>
  <c r="V264" i="6"/>
  <c r="U264" i="6"/>
  <c r="K264" i="6"/>
  <c r="W263" i="6"/>
  <c r="V263" i="6"/>
  <c r="U263" i="6"/>
  <c r="K263" i="6"/>
  <c r="W262" i="6"/>
  <c r="V262" i="6"/>
  <c r="U262" i="6"/>
  <c r="K262" i="6"/>
  <c r="W261" i="6"/>
  <c r="V261" i="6"/>
  <c r="U261" i="6"/>
  <c r="K261" i="6"/>
  <c r="W260" i="6"/>
  <c r="V260" i="6"/>
  <c r="U260" i="6"/>
  <c r="K260" i="6"/>
  <c r="W259" i="6"/>
  <c r="V259" i="6"/>
  <c r="U259" i="6"/>
  <c r="K259" i="6"/>
  <c r="W258" i="6"/>
  <c r="V258" i="6"/>
  <c r="U258" i="6"/>
  <c r="K258" i="6"/>
  <c r="W257" i="6"/>
  <c r="V257" i="6"/>
  <c r="U257" i="6"/>
  <c r="K257" i="6"/>
  <c r="W256" i="6"/>
  <c r="V256" i="6"/>
  <c r="U256" i="6"/>
  <c r="K256" i="6"/>
  <c r="W255" i="6"/>
  <c r="V255" i="6"/>
  <c r="U255" i="6"/>
  <c r="K255" i="6"/>
  <c r="U254" i="6" l="1"/>
  <c r="U253" i="6"/>
  <c r="U252" i="6"/>
  <c r="U251" i="6"/>
  <c r="U250" i="6"/>
  <c r="U249" i="6"/>
  <c r="U248" i="6"/>
  <c r="U247" i="6"/>
  <c r="U246" i="6"/>
  <c r="U245" i="6"/>
  <c r="U244" i="6"/>
  <c r="U243" i="6"/>
  <c r="U242" i="6"/>
  <c r="U241" i="6"/>
  <c r="U240" i="6"/>
  <c r="K240" i="6"/>
  <c r="U239" i="6"/>
  <c r="K239" i="6"/>
  <c r="U238" i="6"/>
  <c r="K238" i="6"/>
  <c r="U237" i="6"/>
  <c r="K237" i="6"/>
  <c r="U236" i="6"/>
  <c r="K236" i="6"/>
  <c r="U235" i="6"/>
  <c r="K235" i="6"/>
  <c r="U234" i="6"/>
  <c r="K234" i="6"/>
  <c r="U233" i="6"/>
  <c r="K233" i="6"/>
  <c r="U232" i="6"/>
  <c r="K232" i="6"/>
  <c r="U231" i="6"/>
  <c r="K231" i="6"/>
  <c r="U230" i="6"/>
  <c r="K230" i="6"/>
  <c r="U229" i="6"/>
  <c r="K229" i="6"/>
  <c r="W228" i="6"/>
  <c r="V228" i="6"/>
  <c r="U228" i="6"/>
  <c r="K228" i="6"/>
  <c r="W227" i="6"/>
  <c r="V227" i="6"/>
  <c r="U227" i="6"/>
  <c r="K227" i="6"/>
  <c r="W226" i="6"/>
  <c r="V226" i="6"/>
  <c r="U226" i="6"/>
  <c r="K226" i="6"/>
  <c r="W225" i="6"/>
  <c r="V225" i="6"/>
  <c r="U225" i="6"/>
  <c r="K225" i="6"/>
  <c r="W224" i="6"/>
  <c r="V224" i="6"/>
  <c r="U224" i="6"/>
  <c r="K224" i="6"/>
  <c r="W223" i="6"/>
  <c r="V223" i="6"/>
  <c r="U223" i="6"/>
  <c r="K223" i="6"/>
  <c r="W222" i="6"/>
  <c r="V222" i="6"/>
  <c r="U222" i="6"/>
  <c r="K222" i="6"/>
  <c r="W221" i="6"/>
  <c r="V221" i="6"/>
  <c r="U221" i="6"/>
  <c r="K221" i="6"/>
  <c r="W220" i="6"/>
  <c r="V220" i="6"/>
  <c r="U220" i="6"/>
  <c r="K220" i="6"/>
  <c r="W219" i="6"/>
  <c r="V219" i="6"/>
  <c r="U219" i="6"/>
  <c r="K219" i="6"/>
  <c r="W218" i="6"/>
  <c r="V218" i="6"/>
  <c r="U218" i="6"/>
  <c r="K218" i="6"/>
  <c r="W217" i="6"/>
  <c r="V217" i="6"/>
  <c r="U217" i="6"/>
  <c r="K217" i="6"/>
  <c r="W216" i="6"/>
  <c r="V216" i="6"/>
  <c r="U216" i="6"/>
  <c r="K216" i="6"/>
  <c r="W215" i="6"/>
  <c r="V215" i="6"/>
  <c r="U215" i="6"/>
  <c r="K215" i="6"/>
  <c r="W214" i="6"/>
  <c r="V214" i="6"/>
  <c r="U214" i="6"/>
  <c r="K214" i="6"/>
  <c r="W213" i="6"/>
  <c r="V213" i="6"/>
  <c r="U213" i="6"/>
  <c r="K213" i="6"/>
  <c r="W212" i="6"/>
  <c r="V212" i="6"/>
  <c r="U212" i="6"/>
  <c r="K212" i="6"/>
  <c r="W211" i="6"/>
  <c r="V211" i="6"/>
  <c r="U211" i="6"/>
  <c r="K211" i="6"/>
  <c r="W210" i="6"/>
  <c r="V210" i="6"/>
  <c r="U210" i="6"/>
  <c r="K210" i="6"/>
  <c r="W209" i="6"/>
  <c r="V209" i="6"/>
  <c r="U209" i="6"/>
  <c r="K209" i="6"/>
  <c r="W208" i="6"/>
  <c r="V208" i="6"/>
  <c r="U208" i="6"/>
  <c r="K208" i="6"/>
  <c r="W207" i="6"/>
  <c r="V207" i="6"/>
  <c r="U207" i="6"/>
  <c r="K207" i="6"/>
  <c r="W206" i="6"/>
  <c r="V206" i="6"/>
  <c r="U206" i="6"/>
  <c r="K206" i="6"/>
  <c r="W205" i="6"/>
  <c r="V205" i="6"/>
  <c r="U205" i="6"/>
  <c r="K205" i="6"/>
  <c r="W204" i="6"/>
  <c r="V204" i="6"/>
  <c r="U204" i="6"/>
  <c r="K204" i="6"/>
  <c r="W203" i="6"/>
  <c r="V203" i="6"/>
  <c r="U203" i="6"/>
  <c r="K203" i="6"/>
  <c r="W202" i="6"/>
  <c r="V202" i="6"/>
  <c r="U202" i="6"/>
  <c r="K202" i="6"/>
  <c r="W201" i="6"/>
  <c r="V201" i="6"/>
  <c r="U201" i="6"/>
  <c r="K201" i="6"/>
  <c r="W200" i="6"/>
  <c r="V200" i="6"/>
  <c r="U200" i="6"/>
  <c r="K200" i="6"/>
  <c r="W199" i="6"/>
  <c r="V199" i="6"/>
  <c r="U199" i="6"/>
  <c r="K199" i="6"/>
  <c r="W198" i="6"/>
  <c r="V198" i="6"/>
  <c r="U198" i="6"/>
  <c r="K198" i="6"/>
  <c r="W197" i="6"/>
  <c r="V197" i="6"/>
  <c r="U197" i="6"/>
  <c r="K197" i="6"/>
  <c r="W196" i="6"/>
  <c r="V196" i="6"/>
  <c r="U196" i="6"/>
  <c r="K196" i="6"/>
  <c r="W195" i="6"/>
  <c r="V195" i="6"/>
  <c r="U195" i="6"/>
  <c r="K195" i="6"/>
  <c r="W194" i="6"/>
  <c r="V194" i="6"/>
  <c r="U194" i="6"/>
  <c r="K194" i="6"/>
  <c r="W193" i="6"/>
  <c r="V193" i="6"/>
  <c r="U193" i="6"/>
  <c r="K193" i="6"/>
  <c r="W192" i="6"/>
  <c r="V192" i="6"/>
  <c r="U192" i="6"/>
  <c r="K192" i="6"/>
  <c r="W191" i="6"/>
  <c r="V191" i="6"/>
  <c r="U191" i="6"/>
  <c r="K191" i="6"/>
  <c r="W190" i="6"/>
  <c r="V190" i="6"/>
  <c r="U190" i="6"/>
  <c r="K190" i="6"/>
  <c r="W189" i="6"/>
  <c r="V189" i="6"/>
  <c r="U189" i="6"/>
  <c r="K189" i="6"/>
  <c r="W188" i="6"/>
  <c r="V188" i="6"/>
  <c r="U188" i="6"/>
  <c r="K188" i="6"/>
  <c r="W187" i="6"/>
  <c r="V187" i="6"/>
  <c r="U187" i="6"/>
  <c r="K187" i="6"/>
  <c r="W186" i="6"/>
  <c r="V186" i="6"/>
  <c r="U186" i="6"/>
  <c r="K186" i="6"/>
  <c r="W185" i="6"/>
  <c r="V185" i="6"/>
  <c r="U185" i="6"/>
  <c r="K185" i="6"/>
  <c r="W184" i="6"/>
  <c r="V184" i="6"/>
  <c r="U184" i="6"/>
  <c r="K184" i="6"/>
  <c r="W183" i="6"/>
  <c r="V183" i="6"/>
  <c r="U183" i="6"/>
  <c r="K183" i="6"/>
  <c r="W182" i="6"/>
  <c r="V182" i="6"/>
  <c r="U182" i="6"/>
  <c r="K182" i="6"/>
  <c r="W181" i="6"/>
  <c r="V181" i="6"/>
  <c r="U181" i="6"/>
  <c r="K181" i="6"/>
  <c r="W180" i="6"/>
  <c r="V180" i="6"/>
  <c r="U180" i="6"/>
  <c r="K180" i="6"/>
  <c r="W179" i="6"/>
  <c r="V179" i="6"/>
  <c r="U179" i="6"/>
  <c r="K179" i="6"/>
  <c r="W178" i="6"/>
  <c r="V178" i="6"/>
  <c r="U178" i="6"/>
  <c r="K178" i="6"/>
  <c r="W177" i="6"/>
  <c r="V177" i="6"/>
  <c r="U177" i="6"/>
  <c r="K177" i="6"/>
  <c r="W176" i="6"/>
  <c r="V176" i="6"/>
  <c r="U176" i="6"/>
  <c r="K176" i="6"/>
  <c r="W175" i="6"/>
  <c r="V175" i="6"/>
  <c r="U175" i="6"/>
  <c r="K175" i="6"/>
  <c r="W174" i="6"/>
  <c r="V174" i="6"/>
  <c r="U174" i="6"/>
  <c r="K174" i="6"/>
  <c r="W173" i="6"/>
  <c r="V173" i="6"/>
  <c r="U173" i="6"/>
  <c r="K173" i="6"/>
  <c r="W172" i="6"/>
  <c r="V172" i="6"/>
  <c r="U172" i="6"/>
  <c r="K172" i="6"/>
  <c r="W171" i="6"/>
  <c r="V171" i="6"/>
  <c r="U171" i="6"/>
  <c r="K171" i="6"/>
  <c r="W170" i="6"/>
  <c r="V170" i="6"/>
  <c r="U170" i="6"/>
  <c r="K170" i="6"/>
  <c r="W169" i="6"/>
  <c r="V169" i="6"/>
  <c r="U169" i="6"/>
  <c r="K169" i="6"/>
  <c r="W168" i="6"/>
  <c r="V168" i="6"/>
  <c r="U168" i="6"/>
  <c r="K168" i="6"/>
  <c r="W167" i="6"/>
  <c r="V167" i="6"/>
  <c r="U167" i="6"/>
  <c r="K167" i="6"/>
  <c r="W166" i="6"/>
  <c r="V166" i="6"/>
  <c r="U166" i="6"/>
  <c r="K166" i="6"/>
  <c r="W165" i="6"/>
  <c r="V165" i="6"/>
  <c r="U165" i="6"/>
  <c r="K165" i="6"/>
  <c r="W164" i="6"/>
  <c r="V164" i="6"/>
  <c r="U164" i="6"/>
  <c r="K164" i="6"/>
  <c r="W163" i="6"/>
  <c r="V163" i="6"/>
  <c r="U163" i="6"/>
  <c r="K163" i="6"/>
  <c r="W162" i="6"/>
  <c r="V162" i="6"/>
  <c r="U162" i="6"/>
  <c r="K162" i="6"/>
  <c r="W161" i="6"/>
  <c r="V161" i="6"/>
  <c r="U161" i="6"/>
  <c r="K161" i="6"/>
  <c r="W160" i="6"/>
  <c r="V160" i="6"/>
  <c r="U160" i="6"/>
  <c r="K160" i="6"/>
  <c r="W159" i="6"/>
  <c r="V159" i="6"/>
  <c r="U159" i="6"/>
  <c r="K159" i="6"/>
  <c r="W158" i="6"/>
  <c r="V158" i="6"/>
  <c r="U158" i="6"/>
  <c r="K158" i="6"/>
  <c r="W157" i="6"/>
  <c r="V157" i="6"/>
  <c r="U157" i="6"/>
  <c r="K157" i="6"/>
  <c r="W156" i="6"/>
  <c r="V156" i="6"/>
  <c r="U156" i="6"/>
  <c r="K156" i="6"/>
  <c r="W155" i="6"/>
  <c r="V155" i="6"/>
  <c r="U155" i="6"/>
  <c r="K155" i="6"/>
  <c r="W154" i="6"/>
  <c r="V154" i="6"/>
  <c r="U154" i="6"/>
  <c r="K154" i="6"/>
  <c r="W153" i="6"/>
  <c r="V153" i="6"/>
  <c r="U153" i="6"/>
  <c r="K153" i="6"/>
  <c r="W152" i="6"/>
  <c r="V152" i="6"/>
  <c r="U152" i="6"/>
  <c r="K152" i="6"/>
  <c r="W151" i="6"/>
  <c r="V151" i="6"/>
  <c r="U151" i="6"/>
  <c r="K151" i="6"/>
  <c r="W150" i="6"/>
  <c r="V150" i="6"/>
  <c r="U150" i="6"/>
  <c r="K150" i="6"/>
  <c r="W149" i="6"/>
  <c r="V149" i="6"/>
  <c r="U149" i="6"/>
  <c r="K149" i="6"/>
  <c r="W148" i="6"/>
  <c r="V148" i="6"/>
  <c r="U148" i="6"/>
  <c r="K148" i="6"/>
  <c r="W147" i="6"/>
  <c r="V147" i="6"/>
  <c r="U147" i="6"/>
  <c r="K147" i="6"/>
  <c r="W146" i="6"/>
  <c r="V146" i="6"/>
  <c r="U146" i="6"/>
  <c r="K146" i="6"/>
  <c r="W145" i="6"/>
  <c r="V145" i="6"/>
  <c r="U145" i="6"/>
  <c r="K145" i="6"/>
  <c r="W144" i="6"/>
  <c r="V144" i="6"/>
  <c r="U144" i="6"/>
  <c r="K144" i="6"/>
  <c r="W143" i="6"/>
  <c r="V143" i="6"/>
  <c r="U143" i="6"/>
  <c r="K143" i="6"/>
  <c r="W142" i="6"/>
  <c r="V142" i="6"/>
  <c r="U142" i="6"/>
  <c r="K142" i="6"/>
  <c r="W141" i="6"/>
  <c r="V141" i="6"/>
  <c r="U141" i="6"/>
  <c r="K141" i="6"/>
  <c r="W140" i="6"/>
  <c r="V140" i="6"/>
  <c r="U140" i="6"/>
  <c r="K140" i="6"/>
  <c r="W139" i="6"/>
  <c r="V139" i="6"/>
  <c r="U139" i="6"/>
  <c r="K139" i="6"/>
  <c r="W138" i="6"/>
  <c r="V138" i="6"/>
  <c r="U138" i="6"/>
  <c r="K138" i="6"/>
  <c r="W137" i="6"/>
  <c r="V137" i="6"/>
  <c r="U137" i="6"/>
  <c r="K137" i="6"/>
  <c r="W136" i="6"/>
  <c r="V136" i="6"/>
  <c r="U136" i="6"/>
  <c r="K136" i="6"/>
  <c r="V135" i="6"/>
  <c r="U135" i="6"/>
  <c r="K135" i="6"/>
  <c r="W134" i="6"/>
  <c r="V134" i="6"/>
  <c r="U134" i="6"/>
  <c r="K134" i="6"/>
  <c r="W133" i="6"/>
  <c r="V133" i="6"/>
  <c r="U133" i="6"/>
  <c r="K133" i="6"/>
  <c r="W132" i="6"/>
  <c r="V132" i="6"/>
  <c r="U132" i="6"/>
  <c r="K132" i="6"/>
  <c r="W131" i="6"/>
  <c r="V131" i="6"/>
  <c r="U131" i="6"/>
  <c r="K131" i="6"/>
  <c r="W130" i="6"/>
  <c r="V130" i="6"/>
  <c r="U130" i="6"/>
  <c r="K130" i="6"/>
  <c r="W129" i="6"/>
  <c r="V129" i="6"/>
  <c r="U129" i="6"/>
  <c r="K129" i="6"/>
  <c r="W128" i="6"/>
  <c r="V128" i="6"/>
  <c r="U128" i="6"/>
  <c r="K128" i="6"/>
  <c r="W127" i="6"/>
  <c r="V127" i="6"/>
  <c r="U127" i="6"/>
  <c r="K127" i="6"/>
  <c r="W126" i="6"/>
  <c r="V126" i="6"/>
  <c r="U126" i="6"/>
  <c r="K126" i="6"/>
  <c r="W125" i="6"/>
  <c r="V125" i="6"/>
  <c r="U125" i="6"/>
  <c r="K125" i="6"/>
  <c r="W124" i="6"/>
  <c r="V124" i="6"/>
  <c r="U124" i="6"/>
  <c r="K124" i="6"/>
  <c r="W123" i="6"/>
  <c r="V123" i="6"/>
  <c r="U123" i="6"/>
  <c r="K123" i="6"/>
  <c r="W122" i="6"/>
  <c r="V122" i="6"/>
  <c r="U122" i="6"/>
  <c r="K122" i="6"/>
  <c r="W121" i="6"/>
  <c r="V121" i="6"/>
  <c r="U121" i="6"/>
  <c r="K121" i="6"/>
  <c r="W120" i="6"/>
  <c r="V120" i="6"/>
  <c r="U120" i="6"/>
  <c r="K120" i="6"/>
  <c r="W119" i="6"/>
  <c r="V119" i="6"/>
  <c r="U119" i="6"/>
  <c r="K119" i="6"/>
  <c r="W118" i="6"/>
  <c r="V118" i="6"/>
  <c r="U118" i="6"/>
  <c r="K118" i="6"/>
  <c r="W117" i="6"/>
  <c r="V117" i="6"/>
  <c r="U117" i="6"/>
  <c r="K117" i="6"/>
  <c r="W116" i="6"/>
  <c r="V116" i="6"/>
  <c r="U116" i="6"/>
  <c r="K116" i="6"/>
  <c r="W115" i="6"/>
  <c r="V115" i="6"/>
  <c r="U115" i="6"/>
  <c r="K115" i="6"/>
  <c r="W114" i="6"/>
  <c r="V114" i="6"/>
  <c r="U114" i="6"/>
  <c r="K114" i="6"/>
  <c r="W113" i="6"/>
  <c r="V113" i="6"/>
  <c r="U113" i="6"/>
  <c r="K113" i="6"/>
  <c r="W112" i="6"/>
  <c r="V112" i="6"/>
  <c r="U112" i="6"/>
  <c r="K112" i="6"/>
  <c r="W111" i="6"/>
  <c r="V111" i="6"/>
  <c r="U111" i="6"/>
  <c r="K111" i="6"/>
  <c r="W110" i="6"/>
  <c r="V110" i="6"/>
  <c r="U110" i="6"/>
  <c r="K110" i="6"/>
  <c r="W109" i="6"/>
  <c r="V109" i="6"/>
  <c r="U109" i="6"/>
  <c r="K109" i="6"/>
  <c r="W108" i="6"/>
  <c r="V108" i="6"/>
  <c r="U108" i="6"/>
  <c r="K108" i="6"/>
  <c r="W107" i="6"/>
  <c r="V107" i="6"/>
  <c r="U107" i="6"/>
  <c r="K107" i="6"/>
  <c r="W106" i="6"/>
  <c r="V106" i="6"/>
  <c r="U106" i="6"/>
  <c r="K106" i="6"/>
  <c r="W105" i="6"/>
  <c r="V105" i="6"/>
  <c r="U105" i="6"/>
  <c r="K105" i="6"/>
  <c r="W104" i="6"/>
  <c r="V104" i="6"/>
  <c r="U104" i="6"/>
  <c r="K104" i="6"/>
  <c r="W103" i="6"/>
  <c r="V103" i="6"/>
  <c r="U103" i="6"/>
  <c r="K103" i="6"/>
  <c r="W102" i="6"/>
  <c r="V102" i="6"/>
  <c r="U102" i="6"/>
  <c r="K102" i="6"/>
  <c r="W101" i="6"/>
  <c r="V101" i="6"/>
  <c r="U101" i="6"/>
  <c r="K101" i="6"/>
  <c r="W100" i="6"/>
  <c r="V100" i="6"/>
  <c r="U100" i="6"/>
  <c r="K100" i="6"/>
  <c r="W99" i="6"/>
  <c r="V99" i="6"/>
  <c r="U99" i="6"/>
  <c r="K99" i="6"/>
  <c r="W98" i="6"/>
  <c r="V98" i="6"/>
  <c r="U98" i="6"/>
  <c r="K98" i="6"/>
  <c r="W97" i="6"/>
  <c r="V97" i="6"/>
  <c r="U97" i="6"/>
  <c r="K97" i="6"/>
  <c r="W96" i="6"/>
  <c r="V96" i="6"/>
  <c r="U96" i="6"/>
  <c r="K96" i="6"/>
  <c r="W95" i="6"/>
  <c r="V95" i="6"/>
  <c r="U95" i="6"/>
  <c r="K95" i="6"/>
  <c r="W94" i="6"/>
  <c r="V94" i="6"/>
  <c r="U94" i="6"/>
  <c r="K94" i="6"/>
  <c r="W93" i="6"/>
  <c r="V93" i="6"/>
  <c r="U93" i="6"/>
  <c r="K93" i="6"/>
  <c r="W92" i="6"/>
  <c r="V92" i="6"/>
  <c r="U92" i="6"/>
  <c r="K92" i="6"/>
  <c r="W91" i="6"/>
  <c r="V91" i="6"/>
  <c r="U91" i="6"/>
  <c r="K91" i="6"/>
  <c r="W90" i="6"/>
  <c r="V90" i="6"/>
  <c r="U90" i="6"/>
  <c r="K90" i="6"/>
  <c r="W89" i="6"/>
  <c r="V89" i="6"/>
  <c r="U89" i="6"/>
  <c r="K89" i="6"/>
  <c r="W88" i="6"/>
  <c r="V88" i="6"/>
  <c r="U88" i="6"/>
  <c r="K88" i="6"/>
  <c r="W87" i="6"/>
  <c r="V87" i="6"/>
  <c r="U87" i="6"/>
  <c r="K87" i="6"/>
  <c r="W86" i="6"/>
  <c r="V86" i="6"/>
  <c r="U86" i="6"/>
  <c r="K86" i="6"/>
  <c r="W85" i="6"/>
  <c r="V85" i="6"/>
  <c r="U85" i="6"/>
  <c r="K85" i="6"/>
  <c r="W84" i="6"/>
  <c r="V84" i="6"/>
  <c r="U84" i="6"/>
  <c r="K84" i="6"/>
  <c r="W83" i="6"/>
  <c r="V83" i="6"/>
  <c r="U83" i="6"/>
  <c r="K83" i="6"/>
  <c r="W82" i="6"/>
  <c r="V82" i="6"/>
  <c r="U82" i="6"/>
  <c r="K82" i="6"/>
  <c r="W81" i="6"/>
  <c r="V81" i="6"/>
  <c r="U81" i="6"/>
  <c r="K81" i="6"/>
  <c r="W80" i="6"/>
  <c r="V80" i="6"/>
  <c r="U80" i="6"/>
  <c r="K80" i="6"/>
  <c r="W79" i="6"/>
  <c r="V79" i="6"/>
  <c r="U79" i="6"/>
  <c r="K79" i="6"/>
  <c r="W78" i="6"/>
  <c r="V78" i="6"/>
  <c r="U78" i="6"/>
  <c r="K78" i="6"/>
  <c r="W77" i="6"/>
  <c r="V77" i="6"/>
  <c r="U77" i="6"/>
  <c r="K77" i="6"/>
  <c r="W76" i="6"/>
  <c r="V76" i="6"/>
  <c r="U76" i="6"/>
  <c r="K76" i="6"/>
  <c r="W75" i="6"/>
  <c r="V75" i="6"/>
  <c r="U75" i="6"/>
  <c r="K75" i="6"/>
  <c r="W74" i="6"/>
  <c r="V74" i="6"/>
  <c r="U74" i="6"/>
  <c r="K74" i="6"/>
  <c r="W73" i="6"/>
  <c r="V73" i="6"/>
  <c r="U73" i="6"/>
  <c r="K73" i="6"/>
  <c r="W72" i="6"/>
  <c r="V72" i="6"/>
  <c r="U72" i="6"/>
  <c r="K72" i="6"/>
  <c r="W71" i="6"/>
  <c r="V71" i="6"/>
  <c r="U71" i="6"/>
  <c r="K71" i="6"/>
  <c r="W70" i="6"/>
  <c r="V70" i="6"/>
  <c r="U70" i="6"/>
  <c r="K70" i="6"/>
  <c r="W69" i="6"/>
  <c r="V69" i="6"/>
  <c r="U69" i="6"/>
  <c r="K69" i="6"/>
  <c r="W68" i="6"/>
  <c r="V68" i="6"/>
  <c r="U68" i="6"/>
  <c r="K68" i="6"/>
  <c r="W67" i="6"/>
  <c r="V67" i="6"/>
  <c r="U67" i="6"/>
  <c r="K67" i="6"/>
  <c r="W66" i="6"/>
  <c r="V66" i="6"/>
  <c r="U66" i="6"/>
  <c r="K66" i="6"/>
  <c r="W65" i="6"/>
  <c r="V65" i="6"/>
  <c r="U65" i="6"/>
  <c r="K65" i="6"/>
  <c r="W64" i="6"/>
  <c r="V64" i="6"/>
  <c r="U64" i="6"/>
  <c r="K64" i="6"/>
  <c r="W63" i="6"/>
  <c r="V63" i="6"/>
  <c r="U63" i="6"/>
  <c r="K63" i="6"/>
  <c r="W62" i="6"/>
  <c r="V62" i="6"/>
  <c r="U62" i="6"/>
  <c r="K62" i="6"/>
  <c r="W61" i="6"/>
  <c r="V61" i="6"/>
  <c r="U61" i="6"/>
  <c r="K61" i="6"/>
  <c r="W60" i="6"/>
  <c r="V60" i="6"/>
  <c r="U60" i="6"/>
  <c r="K60" i="6"/>
  <c r="W59" i="6"/>
  <c r="V59" i="6"/>
  <c r="U59" i="6"/>
  <c r="K59" i="6"/>
  <c r="W58" i="6"/>
  <c r="V58" i="6"/>
  <c r="U58" i="6"/>
  <c r="K58" i="6"/>
  <c r="W57" i="6"/>
  <c r="V57" i="6"/>
  <c r="U57" i="6"/>
  <c r="K57" i="6"/>
  <c r="W56" i="6"/>
  <c r="V56" i="6"/>
  <c r="U56" i="6"/>
  <c r="K56" i="6"/>
  <c r="W55" i="6"/>
  <c r="V55" i="6"/>
  <c r="U55" i="6"/>
  <c r="K55" i="6"/>
  <c r="W54" i="6"/>
  <c r="V54" i="6"/>
  <c r="U54" i="6"/>
  <c r="K54" i="6"/>
  <c r="W53" i="6"/>
  <c r="V53" i="6"/>
  <c r="U53" i="6"/>
  <c r="K53" i="6"/>
  <c r="W52" i="6"/>
  <c r="V52" i="6"/>
  <c r="U52" i="6"/>
  <c r="K52" i="6"/>
  <c r="W51" i="6"/>
  <c r="V51" i="6"/>
  <c r="U51" i="6"/>
  <c r="K51" i="6"/>
  <c r="W50" i="6"/>
  <c r="V50" i="6"/>
  <c r="U50" i="6"/>
  <c r="K50" i="6"/>
  <c r="W49" i="6"/>
  <c r="V49" i="6"/>
  <c r="U49" i="6"/>
  <c r="K49" i="6"/>
  <c r="W48" i="6"/>
  <c r="V48" i="6"/>
  <c r="U48" i="6"/>
  <c r="K48" i="6"/>
  <c r="W47" i="6"/>
  <c r="V47" i="6"/>
  <c r="U47" i="6"/>
  <c r="K47" i="6"/>
  <c r="W46" i="6"/>
  <c r="V46" i="6"/>
  <c r="U46" i="6"/>
  <c r="K46" i="6"/>
  <c r="W45" i="6"/>
  <c r="V45" i="6"/>
  <c r="U45" i="6"/>
  <c r="K45" i="6"/>
  <c r="W44" i="6"/>
  <c r="V44" i="6"/>
  <c r="U44" i="6"/>
  <c r="K44" i="6"/>
  <c r="W43" i="6"/>
  <c r="V43" i="6"/>
  <c r="U43" i="6"/>
  <c r="K43" i="6"/>
  <c r="W42" i="6"/>
  <c r="V42" i="6"/>
  <c r="U42" i="6"/>
  <c r="K42" i="6"/>
  <c r="W41" i="6"/>
  <c r="V41" i="6"/>
  <c r="U41" i="6"/>
  <c r="K41" i="6"/>
  <c r="W40" i="6"/>
  <c r="V40" i="6"/>
  <c r="U40" i="6"/>
  <c r="K40" i="6"/>
  <c r="W39" i="6"/>
  <c r="V39" i="6"/>
  <c r="U39" i="6"/>
  <c r="K39" i="6"/>
  <c r="W38" i="6"/>
  <c r="V38" i="6"/>
  <c r="U38" i="6"/>
  <c r="K38" i="6"/>
  <c r="W37" i="6"/>
  <c r="V37" i="6"/>
  <c r="U37" i="6"/>
  <c r="K37" i="6"/>
  <c r="W36" i="6"/>
  <c r="V36" i="6"/>
  <c r="U36" i="6"/>
  <c r="K36" i="6"/>
  <c r="W35" i="6"/>
  <c r="V35" i="6"/>
  <c r="U35" i="6"/>
  <c r="K35" i="6"/>
  <c r="W34" i="6"/>
  <c r="V34" i="6"/>
  <c r="U34" i="6"/>
  <c r="K34" i="6"/>
  <c r="W33" i="6"/>
  <c r="V33" i="6"/>
  <c r="U33" i="6"/>
  <c r="K33" i="6"/>
  <c r="W32" i="6"/>
  <c r="V32" i="6"/>
  <c r="U32" i="6"/>
  <c r="K32" i="6"/>
  <c r="W31" i="6"/>
  <c r="V31" i="6"/>
  <c r="U31" i="6"/>
  <c r="K31" i="6"/>
  <c r="W30" i="6"/>
  <c r="V30" i="6"/>
  <c r="U30" i="6"/>
  <c r="K30" i="6"/>
  <c r="W29" i="6"/>
  <c r="V29" i="6"/>
  <c r="U29" i="6"/>
  <c r="K29" i="6"/>
  <c r="W28" i="6"/>
  <c r="V28" i="6"/>
  <c r="U28" i="6"/>
  <c r="K28" i="6"/>
  <c r="W27" i="6"/>
  <c r="V27" i="6"/>
  <c r="U27" i="6"/>
  <c r="K27" i="6"/>
  <c r="W26" i="6"/>
  <c r="V26" i="6"/>
  <c r="U26" i="6"/>
  <c r="K26" i="6"/>
  <c r="W25" i="6"/>
  <c r="V25" i="6"/>
  <c r="U25" i="6"/>
  <c r="K25" i="6"/>
  <c r="W24" i="6"/>
  <c r="V24" i="6"/>
  <c r="U24" i="6"/>
  <c r="K24" i="6"/>
  <c r="W23" i="6"/>
  <c r="V23" i="6"/>
  <c r="U23" i="6"/>
  <c r="K23" i="6"/>
  <c r="W22" i="6"/>
  <c r="V22" i="6"/>
  <c r="U22" i="6"/>
  <c r="K22" i="6"/>
  <c r="W21" i="6"/>
  <c r="V21" i="6"/>
  <c r="U21" i="6"/>
  <c r="K21" i="6"/>
  <c r="W20" i="6"/>
  <c r="V20" i="6"/>
  <c r="U20" i="6"/>
  <c r="K20" i="6"/>
  <c r="W19" i="6"/>
  <c r="V19" i="6"/>
  <c r="U19" i="6"/>
  <c r="K19" i="6"/>
  <c r="W18" i="6"/>
  <c r="V18" i="6"/>
  <c r="U18" i="6"/>
  <c r="K18" i="6"/>
  <c r="W17" i="6"/>
  <c r="V17" i="6"/>
  <c r="U17" i="6"/>
  <c r="K17" i="6"/>
  <c r="W16" i="6"/>
  <c r="V16" i="6"/>
  <c r="U16" i="6"/>
  <c r="K16" i="6"/>
  <c r="W15" i="6"/>
  <c r="V15" i="6"/>
  <c r="U15" i="6"/>
  <c r="K15" i="6"/>
  <c r="W14" i="6"/>
  <c r="V14" i="6"/>
  <c r="U14" i="6"/>
  <c r="K14" i="6"/>
  <c r="W13" i="6"/>
  <c r="V13" i="6"/>
  <c r="U13" i="6"/>
  <c r="K13" i="6"/>
  <c r="W12" i="6"/>
  <c r="V12" i="6"/>
  <c r="U12" i="6"/>
  <c r="K12" i="6"/>
  <c r="W11" i="6"/>
  <c r="V11" i="6"/>
  <c r="U11" i="6"/>
  <c r="K11" i="6"/>
  <c r="W10" i="6"/>
  <c r="V10" i="6"/>
  <c r="U10" i="6"/>
  <c r="K10" i="6"/>
  <c r="W9" i="6"/>
  <c r="V9" i="6"/>
  <c r="U9" i="6"/>
  <c r="K9" i="6"/>
  <c r="W8" i="6"/>
  <c r="V8" i="6"/>
  <c r="U8" i="6"/>
  <c r="K8" i="6"/>
  <c r="W7" i="6"/>
  <c r="V7" i="6"/>
  <c r="U7" i="6"/>
  <c r="K7" i="6"/>
  <c r="W6" i="6"/>
  <c r="V6" i="6"/>
  <c r="U6" i="6"/>
  <c r="K6" i="6"/>
  <c r="W5" i="6"/>
  <c r="V5" i="6"/>
  <c r="U5" i="6"/>
  <c r="K5" i="6"/>
  <c r="W4" i="6"/>
  <c r="V4" i="6"/>
  <c r="U4" i="6"/>
  <c r="K4" i="6"/>
  <c r="W3" i="6"/>
  <c r="V3" i="6"/>
  <c r="U3" i="6"/>
  <c r="K3" i="6"/>
  <c r="W5298" i="6" l="1"/>
  <c r="V5298" i="6"/>
  <c r="U5298" i="6"/>
  <c r="B4" i="5" l="1"/>
  <c r="B5" i="5"/>
  <c r="B3" i="5"/>
  <c r="B30" i="5"/>
  <c r="B31" i="5"/>
  <c r="B29" i="5"/>
  <c r="B10" i="5"/>
  <c r="B11" i="5"/>
  <c r="B12" i="5"/>
  <c r="B13" i="5"/>
  <c r="B14" i="5"/>
  <c r="B15" i="5"/>
  <c r="B16" i="5"/>
  <c r="B9" i="5"/>
  <c r="B59" i="5"/>
  <c r="B60" i="5"/>
  <c r="B61" i="5"/>
  <c r="B62" i="5"/>
  <c r="B63" i="5"/>
  <c r="B64" i="5"/>
  <c r="B65" i="5"/>
  <c r="B66" i="5"/>
  <c r="B67" i="5"/>
  <c r="B68" i="5"/>
  <c r="B69" i="5"/>
  <c r="B70" i="5"/>
  <c r="B71" i="5"/>
  <c r="B58" i="5"/>
  <c r="B57" i="5"/>
  <c r="B23" i="5" l="1"/>
  <c r="B6" i="5"/>
  <c r="B32" i="5"/>
  <c r="B17" i="5"/>
  <c r="B72" i="5"/>
  <c r="A1" i="1"/>
  <c r="A1" i="6"/>
  <c r="B35" i="5" l="1"/>
  <c r="B36" i="5"/>
  <c r="B44" i="5"/>
  <c r="B37" i="5"/>
  <c r="B38" i="5"/>
  <c r="B46" i="5"/>
  <c r="B39" i="5"/>
  <c r="B47" i="5"/>
  <c r="B52" i="5"/>
  <c r="B40" i="5"/>
  <c r="B48" i="5"/>
  <c r="B45" i="5"/>
  <c r="B41" i="5"/>
  <c r="B49" i="5"/>
  <c r="B42" i="5"/>
  <c r="B50" i="5"/>
  <c r="B51" i="5"/>
  <c r="B43" i="5"/>
  <c r="B53" i="5"/>
  <c r="B20" i="5"/>
  <c r="B24" i="5"/>
  <c r="B21" i="5"/>
  <c r="B22" i="5"/>
  <c r="B25" i="5"/>
  <c r="B54" i="5" l="1"/>
  <c r="B26" i="5"/>
</calcChain>
</file>

<file path=xl/sharedStrings.xml><?xml version="1.0" encoding="utf-8"?>
<sst xmlns="http://schemas.openxmlformats.org/spreadsheetml/2006/main" count="13778" uniqueCount="4552">
  <si>
    <t>MUSSA Taha</t>
  </si>
  <si>
    <t>High</t>
  </si>
  <si>
    <t>Open</t>
  </si>
  <si>
    <t>SUKIMAN Zamhuri</t>
  </si>
  <si>
    <t>Medium</t>
  </si>
  <si>
    <t>No Material</t>
  </si>
  <si>
    <t>MUHAMMAD ALIF BIN ALI</t>
  </si>
  <si>
    <t>Low</t>
  </si>
  <si>
    <t>Ongoing</t>
  </si>
  <si>
    <t>KHAN Jahan</t>
  </si>
  <si>
    <t>Completed</t>
  </si>
  <si>
    <t>FIRDUS Ahmad</t>
  </si>
  <si>
    <t>ALOWAINI Shawqi</t>
  </si>
  <si>
    <t xml:space="preserve">KHAMIS Jaafar </t>
  </si>
  <si>
    <t>GUAN Jialin</t>
  </si>
  <si>
    <t>Imran Rasheed</t>
  </si>
  <si>
    <t>BRAO-DIGOR Robert</t>
  </si>
  <si>
    <t>FATHI Charafeddine</t>
  </si>
  <si>
    <t>BENAYED Elie</t>
  </si>
  <si>
    <t>DAOUDI Mohamed</t>
  </si>
  <si>
    <t>ABBAS Osama</t>
  </si>
  <si>
    <t>ALI Dawud</t>
  </si>
  <si>
    <t>ARUMAI NAYAGAM Anish</t>
  </si>
  <si>
    <t>CHIKTE Altaf</t>
  </si>
  <si>
    <t>KARTHICK Ramachandran</t>
  </si>
  <si>
    <t>Zouhair AZZABI</t>
  </si>
  <si>
    <t>CMN Corrective Maintenance Non-Conformity Rreports Summary (Zamhuri-Alif)</t>
  </si>
  <si>
    <t>Opening Date</t>
  </si>
  <si>
    <t>NCR Ref</t>
  </si>
  <si>
    <t>CMN Ref</t>
  </si>
  <si>
    <t>TS</t>
  </si>
  <si>
    <t>Description</t>
  </si>
  <si>
    <t>PIC</t>
  </si>
  <si>
    <t>Impact</t>
  </si>
  <si>
    <t>Progress</t>
  </si>
  <si>
    <t>Closure Date</t>
  </si>
  <si>
    <t>FTNCR</t>
  </si>
  <si>
    <t>CMN0001</t>
  </si>
  <si>
    <t>CMN0023</t>
  </si>
  <si>
    <t>DOOR PEED ISSUE IN UTO/ATPM/RMF/WM</t>
  </si>
  <si>
    <t>KHAMIS Jaafar</t>
  </si>
  <si>
    <t>COMPLETED</t>
  </si>
  <si>
    <t>NCR0309</t>
  </si>
  <si>
    <t>CMN0024</t>
  </si>
  <si>
    <t>NCR0310</t>
  </si>
  <si>
    <t>CMN0025</t>
  </si>
  <si>
    <t>NCR0311</t>
  </si>
  <si>
    <t>CMN0026</t>
  </si>
  <si>
    <t>CMN0027</t>
  </si>
  <si>
    <t>NCR0312</t>
  </si>
  <si>
    <t>CMN0028</t>
  </si>
  <si>
    <t>CMN0029</t>
  </si>
  <si>
    <t>CMN0030</t>
  </si>
  <si>
    <t>CMN0031</t>
  </si>
  <si>
    <t>CMN0032</t>
  </si>
  <si>
    <t>CMN0033</t>
  </si>
  <si>
    <t>CMN0034</t>
  </si>
  <si>
    <t>CMN0035</t>
  </si>
  <si>
    <t>CMN0036</t>
  </si>
  <si>
    <t>CMN0037</t>
  </si>
  <si>
    <t>NCR0313</t>
  </si>
  <si>
    <t>CMN0038</t>
  </si>
  <si>
    <t>CMN0039</t>
  </si>
  <si>
    <t>CMN0040</t>
  </si>
  <si>
    <t>CMN0041</t>
  </si>
  <si>
    <t>CMN0046</t>
  </si>
  <si>
    <t>CMN0047</t>
  </si>
  <si>
    <t>CMN0048</t>
  </si>
  <si>
    <t>NCR0234</t>
  </si>
  <si>
    <t>CMN0051</t>
  </si>
  <si>
    <t>NCR0297</t>
  </si>
  <si>
    <t>CMN0052</t>
  </si>
  <si>
    <t>IOS 228 : At least one minor failure on PCE</t>
  </si>
  <si>
    <t>NCR0296</t>
  </si>
  <si>
    <t>CMN0053</t>
  </si>
  <si>
    <t>IOS 182 : One battery is isolated</t>
  </si>
  <si>
    <t>CMN0054</t>
  </si>
  <si>
    <t>NCR0314</t>
  </si>
  <si>
    <t>CMN0060</t>
  </si>
  <si>
    <t>No cab actvie and EB not release</t>
  </si>
  <si>
    <t>NCR0298</t>
  </si>
  <si>
    <t>CMN0061</t>
  </si>
  <si>
    <t>52Q13 were tripped due short from 61Q10</t>
  </si>
  <si>
    <t>NCR0315</t>
  </si>
  <si>
    <t>CMN0062</t>
  </si>
  <si>
    <t>IOS226 : Loss of traction and ED brake</t>
  </si>
  <si>
    <t>NCR0294</t>
  </si>
  <si>
    <t>CMN0094</t>
  </si>
  <si>
    <t>HVAC_2 KM_2 CONTACTOR FAIL</t>
  </si>
  <si>
    <t>NCR0233</t>
  </si>
  <si>
    <t>CMN0100</t>
  </si>
  <si>
    <t>NETTBOX FAILURE</t>
  </si>
  <si>
    <t>NCR0316</t>
  </si>
  <si>
    <t>CMN0159</t>
  </si>
  <si>
    <t>NCR0318</t>
  </si>
  <si>
    <t>CMN0168</t>
  </si>
  <si>
    <t>IOS241 : CRS LOSS OF COMM</t>
  </si>
  <si>
    <t>NCR0320</t>
  </si>
  <si>
    <t>CMN0214</t>
  </si>
  <si>
    <t>CVS CRITICAL FAULT</t>
  </si>
  <si>
    <t>NCR0322</t>
  </si>
  <si>
    <t>CMN0215</t>
  </si>
  <si>
    <t>TRACTION INPUT CAPASITOR LEAK</t>
  </si>
  <si>
    <t>NCR0319</t>
  </si>
  <si>
    <t>CMN0221</t>
  </si>
  <si>
    <t>PEI LOSS OF COMMUNICATION</t>
  </si>
  <si>
    <t>NCR0321</t>
  </si>
  <si>
    <t>CMN0232</t>
  </si>
  <si>
    <t>CMN0244</t>
  </si>
  <si>
    <t>DCU_6 OFF LINE</t>
  </si>
  <si>
    <t>NCR0335</t>
  </si>
  <si>
    <t>CMN0276</t>
  </si>
  <si>
    <t>IOS196: PEI5_V1 LOSS OF COMM</t>
  </si>
  <si>
    <t>NCR0334</t>
  </si>
  <si>
    <t>CMN0277</t>
  </si>
  <si>
    <t>PEI OFFLINE</t>
  </si>
  <si>
    <t>NCR0333</t>
  </si>
  <si>
    <t>CMN0278</t>
  </si>
  <si>
    <t>NCR0330</t>
  </si>
  <si>
    <t>CMN0279</t>
  </si>
  <si>
    <t xml:space="preserve">IOS38 : HVAC unit cooling fault </t>
  </si>
  <si>
    <t>NCR0282</t>
  </si>
  <si>
    <t>CMN0280</t>
  </si>
  <si>
    <t>Horn not working</t>
  </si>
  <si>
    <t>BIN ALI Muhammad alif</t>
  </si>
  <si>
    <t>NCR0338</t>
  </si>
  <si>
    <t>CMN0281</t>
  </si>
  <si>
    <t>NCR0340</t>
  </si>
  <si>
    <t>CMN0283</t>
  </si>
  <si>
    <t>HVAC Condenser fan failure</t>
  </si>
  <si>
    <t>NCR0347</t>
  </si>
  <si>
    <t>CMN0284</t>
  </si>
  <si>
    <t>Missing part-Frame CCD</t>
  </si>
  <si>
    <t>NCR0359</t>
  </si>
  <si>
    <t>CMN0285</t>
  </si>
  <si>
    <t>Semi permenant coupler earth bolt missing</t>
  </si>
  <si>
    <t>NCR0326</t>
  </si>
  <si>
    <t>CMN0286</t>
  </si>
  <si>
    <t>NVR offline</t>
  </si>
  <si>
    <t>NCR0324</t>
  </si>
  <si>
    <t>CMN0287</t>
  </si>
  <si>
    <t>NCR0328</t>
  </si>
  <si>
    <t>CMN0288</t>
  </si>
  <si>
    <t>NCR0325</t>
  </si>
  <si>
    <t>CMN0289</t>
  </si>
  <si>
    <t>NCR0327</t>
  </si>
  <si>
    <t>CMN0290</t>
  </si>
  <si>
    <t>IOS015 : Service brake loop fault indication</t>
  </si>
  <si>
    <t>NCR0329</t>
  </si>
  <si>
    <t>CMN0291</t>
  </si>
  <si>
    <t>Relay 61K03 failure</t>
  </si>
  <si>
    <t>NCR0336</t>
  </si>
  <si>
    <t>CMN0292</t>
  </si>
  <si>
    <t>TCCU1 &amp; PAPIS show lost comm in ISM</t>
  </si>
  <si>
    <t>CMN0293</t>
  </si>
  <si>
    <t>PEI_6 V1 lOSS OF COM</t>
  </si>
  <si>
    <t>NCR0339</t>
  </si>
  <si>
    <t>CMN0294</t>
  </si>
  <si>
    <t>CRS lost of communication</t>
  </si>
  <si>
    <t>NCR0337</t>
  </si>
  <si>
    <t>CMN0295</t>
  </si>
  <si>
    <t xml:space="preserve"> PEI1-v1 lOSS OF COMM IN ISM</t>
  </si>
  <si>
    <t>NCR0331</t>
  </si>
  <si>
    <t>CMN0296</t>
  </si>
  <si>
    <t>Relay voltage limiter abnormal ohm</t>
  </si>
  <si>
    <t>NCR0332</t>
  </si>
  <si>
    <t>CMN0297</t>
  </si>
  <si>
    <t>CMN0298</t>
  </si>
  <si>
    <t>IOS196 : PEI communication fault</t>
  </si>
  <si>
    <t>CMN0299</t>
  </si>
  <si>
    <t>PEI loss of communication</t>
  </si>
  <si>
    <t>CMN0300</t>
  </si>
  <si>
    <t>HVAC cooling fault -Compressor leak</t>
  </si>
  <si>
    <t>NCR0323</t>
  </si>
  <si>
    <t>CMN0301</t>
  </si>
  <si>
    <t>NVR OFFLINE</t>
  </si>
  <si>
    <t>CMN0302</t>
  </si>
  <si>
    <t>CMN0303</t>
  </si>
  <si>
    <t>NCR0388</t>
  </si>
  <si>
    <t>CMN0304</t>
  </si>
  <si>
    <t>IOS275 : CRS 1 OFFLINE</t>
  </si>
  <si>
    <t>NCR0399</t>
  </si>
  <si>
    <t>CMN0305</t>
  </si>
  <si>
    <t>IOS226:Loss of tract &amp; ED brake 1 PCE</t>
  </si>
  <si>
    <t>NCR0357</t>
  </si>
  <si>
    <t>CMN0354</t>
  </si>
  <si>
    <t>HC2-AGTU air intake filter locked nut tread damaged</t>
  </si>
  <si>
    <t>NCR0409</t>
  </si>
  <si>
    <t>CMN0355</t>
  </si>
  <si>
    <t>IOS227: Loss of traction and ED brake</t>
  </si>
  <si>
    <t>NCR0416</t>
  </si>
  <si>
    <t>CMN0356</t>
  </si>
  <si>
    <t>Jumper cable support bracket missing</t>
  </si>
  <si>
    <t>NCR0415</t>
  </si>
  <si>
    <t>CMN0357</t>
  </si>
  <si>
    <t>Bogie 1, left hand side fuses box glass crack</t>
  </si>
  <si>
    <t>NCR0385</t>
  </si>
  <si>
    <t>CMN0358</t>
  </si>
  <si>
    <t>GCL_Fire extingushier bracket missing</t>
  </si>
  <si>
    <t>NCR0421</t>
  </si>
  <si>
    <t>CMN0359</t>
  </si>
  <si>
    <t>HC2-Traction cover screw damaged</t>
  </si>
  <si>
    <t>NCR0363</t>
  </si>
  <si>
    <t>CMN0450</t>
  </si>
  <si>
    <t>SWD2-V2 offline and dark</t>
  </si>
  <si>
    <t>NCR0411</t>
  </si>
  <si>
    <t>CMN0451</t>
  </si>
  <si>
    <t>LCD2-V2 Offline issue</t>
  </si>
  <si>
    <t>NCR0423</t>
  </si>
  <si>
    <t>CMN0452</t>
  </si>
  <si>
    <t>LCD1-V1 offline &amp; error display &amp; SWD3-V1 offline</t>
  </si>
  <si>
    <t>NCR0373</t>
  </si>
  <si>
    <t>CMN0469</t>
  </si>
  <si>
    <t>SWD1_V1 blinking issue</t>
  </si>
  <si>
    <t>NCR0410</t>
  </si>
  <si>
    <t>CMN0470</t>
  </si>
  <si>
    <t>PEI issue</t>
  </si>
  <si>
    <t>NCR0374</t>
  </si>
  <si>
    <t>CMN0471</t>
  </si>
  <si>
    <t>SWD5_V1 half display</t>
  </si>
  <si>
    <t>NCR0392</t>
  </si>
  <si>
    <t>CMN0472</t>
  </si>
  <si>
    <t>SWD4_V2 half display</t>
  </si>
  <si>
    <t>NCR0402</t>
  </si>
  <si>
    <t>LCD5-V1 white display issue</t>
  </si>
  <si>
    <t>NCR0368</t>
  </si>
  <si>
    <t>NCR0317</t>
  </si>
  <si>
    <t>CMN0479</t>
  </si>
  <si>
    <t>NCR0306</t>
  </si>
  <si>
    <t>CMN0480</t>
  </si>
  <si>
    <t>LEDI4 Display not ok</t>
  </si>
  <si>
    <t>NCR0354</t>
  </si>
  <si>
    <t>CMN0481</t>
  </si>
  <si>
    <t>HC2 ATC Odometer not initialize when train moving</t>
  </si>
  <si>
    <t>NCR0307</t>
  </si>
  <si>
    <t>CMN0482</t>
  </si>
  <si>
    <t>HC-1:LEDI4,5,SWD4,5-IP offline HC-2:LEDI4-IP offline</t>
  </si>
  <si>
    <t>NCR0344</t>
  </si>
  <si>
    <t>CMN0483</t>
  </si>
  <si>
    <t>IOS:Loss of traction &amp; ED brake on one PCE</t>
  </si>
  <si>
    <t>NCR0434</t>
  </si>
  <si>
    <t>CMN0484</t>
  </si>
  <si>
    <t>HC2_Sleep button not working</t>
  </si>
  <si>
    <t>NCR0349</t>
  </si>
  <si>
    <t>CMN0485</t>
  </si>
  <si>
    <t>EB in UTO/ATPM mode</t>
  </si>
  <si>
    <t>NCR0350</t>
  </si>
  <si>
    <t>CMN0486</t>
  </si>
  <si>
    <t>WSP and Hold brake failure</t>
  </si>
  <si>
    <t>NCR0351</t>
  </si>
  <si>
    <t>CMN0487</t>
  </si>
  <si>
    <t>NVR loss communication</t>
  </si>
  <si>
    <t>NCR0435</t>
  </si>
  <si>
    <t>CMN0488</t>
  </si>
  <si>
    <t>NCR0343</t>
  </si>
  <si>
    <t>CMN0489</t>
  </si>
  <si>
    <t>IOS191 NVR loss communication</t>
  </si>
  <si>
    <t>NCR0380</t>
  </si>
  <si>
    <t>CMN0490</t>
  </si>
  <si>
    <t>SWD2_V2 Half display</t>
  </si>
  <si>
    <t>NCR0345</t>
  </si>
  <si>
    <t>CMN0491</t>
  </si>
  <si>
    <t>SWD2_V1 Error Display</t>
  </si>
  <si>
    <t>NCR0355</t>
  </si>
  <si>
    <t>CMN0492</t>
  </si>
  <si>
    <t>LEDi1_V1 failed to ping</t>
  </si>
  <si>
    <t>NCR0366</t>
  </si>
  <si>
    <t>CMN0493</t>
  </si>
  <si>
    <t>LEDi6_V2 blank screen</t>
  </si>
  <si>
    <t>CMN0494</t>
  </si>
  <si>
    <t>LEDi6-V1 ,LEDi4-V2 error dispaly</t>
  </si>
  <si>
    <t>NCR0371</t>
  </si>
  <si>
    <t>CMN0495</t>
  </si>
  <si>
    <t>LCD6_V1, SWD6_V1, LEDi6_V1 - offline, SWD4_V2 - offline&amp;dark, SWD2_V2 - half display</t>
  </si>
  <si>
    <t>NCR0369</t>
  </si>
  <si>
    <t>CMN0496</t>
  </si>
  <si>
    <t>LEDI5-V2 dark, and offline</t>
  </si>
  <si>
    <t>CMN0497</t>
  </si>
  <si>
    <t>NCR0419</t>
  </si>
  <si>
    <t>CMN0498</t>
  </si>
  <si>
    <t>NETBOX2 offline; 
LEDI1-V1 and LEDI1-V2 blurring issue</t>
  </si>
  <si>
    <t>NCR0426</t>
  </si>
  <si>
    <t>CMN0499</t>
  </si>
  <si>
    <t>SWD5-V2 offline and half display</t>
  </si>
  <si>
    <t>NCR0424</t>
  </si>
  <si>
    <t>CMN0500</t>
  </si>
  <si>
    <t xml:space="preserve"> single class TIP UP seat not closing</t>
  </si>
  <si>
    <t>NCR0404</t>
  </si>
  <si>
    <t>CMN0501</t>
  </si>
  <si>
    <t>Plastic washer broken in air dryer</t>
  </si>
  <si>
    <t>NCR0379</t>
  </si>
  <si>
    <t>CMN0502</t>
  </si>
  <si>
    <t>HC1 Palm Tree #1 light was not working</t>
  </si>
  <si>
    <t>RASHEED Imran</t>
  </si>
  <si>
    <t>NCR0407</t>
  </si>
  <si>
    <t>CMN0503</t>
  </si>
  <si>
    <t>HC2 Saloon light was not working</t>
  </si>
  <si>
    <t>NCR0367</t>
  </si>
  <si>
    <t>CMN0504</t>
  </si>
  <si>
    <t>PAPIS blank displays and multimedia not update</t>
  </si>
  <si>
    <t>CMN0505</t>
  </si>
  <si>
    <t>HC1_SWD3 , SWD2 , LCD3 , LID3 loss of communication</t>
  </si>
  <si>
    <t>NCR0386</t>
  </si>
  <si>
    <t>CMN0506</t>
  </si>
  <si>
    <t>LEDI4-V1 Dark issue, LCD2-V2 deem issue, SWD3-V1 half display</t>
  </si>
  <si>
    <t>NCR0398</t>
  </si>
  <si>
    <t>CMN0507</t>
  </si>
  <si>
    <t>Saloon lights were not working in HC2 near RP2</t>
  </si>
  <si>
    <t>NCR0396</t>
  </si>
  <si>
    <t>CMN0508</t>
  </si>
  <si>
    <t>Saloon lights were not working in HC1</t>
  </si>
  <si>
    <t>NCR0384</t>
  </si>
  <si>
    <t>CMN0509</t>
  </si>
  <si>
    <t>Saloon lights were not working in HC2 near RP3</t>
  </si>
  <si>
    <t>NCR0448</t>
  </si>
  <si>
    <t>CMN0510</t>
  </si>
  <si>
    <t>replace relay 61K07</t>
  </si>
  <si>
    <t>NCR0412</t>
  </si>
  <si>
    <t>CMN0511</t>
  </si>
  <si>
    <t>LCD3-V2 dim issue</t>
  </si>
  <si>
    <t>NCR0413</t>
  </si>
  <si>
    <t>CMN0512</t>
  </si>
  <si>
    <t>LCD4-V1 dim issue</t>
  </si>
  <si>
    <t>NCR0451</t>
  </si>
  <si>
    <t>CMN0513</t>
  </si>
  <si>
    <t>PEI1-V2 offline, Both portE1 and E2 no communication</t>
  </si>
  <si>
    <t>NCR0356</t>
  </si>
  <si>
    <t>CMN0514</t>
  </si>
  <si>
    <t>PEI6_V2 E2 port faulty</t>
  </si>
  <si>
    <t>NCR0370</t>
  </si>
  <si>
    <t>CMN0515</t>
  </si>
  <si>
    <t>LEDI4-V1, SWD5-V1 dark and offline &amp; LCD5-V1 error display and offline</t>
  </si>
  <si>
    <t>CMN0516</t>
  </si>
  <si>
    <t>CRS1-V1 Issue</t>
  </si>
  <si>
    <t>NCR0425</t>
  </si>
  <si>
    <t>CMN0517</t>
  </si>
  <si>
    <t>Gangway lights Dim,working inversely</t>
  </si>
  <si>
    <t>Anish</t>
  </si>
  <si>
    <t>NCR0447</t>
  </si>
  <si>
    <t>CMN0518</t>
  </si>
  <si>
    <t>Roof antenna damaged, accident</t>
  </si>
  <si>
    <t>NCR0391</t>
  </si>
  <si>
    <t>CMN0519</t>
  </si>
  <si>
    <t>HC1 Saloon lights were not working</t>
  </si>
  <si>
    <t>NCR0397</t>
  </si>
  <si>
    <t>CMN0520</t>
  </si>
  <si>
    <t>110/24 V Dc converter replaced and Jumper wire fixed</t>
  </si>
  <si>
    <t>NCR0225</t>
  </si>
  <si>
    <t>CMN0521</t>
  </si>
  <si>
    <t xml:space="preserve">HC2_Wiper damaged </t>
  </si>
  <si>
    <t>NCR0226</t>
  </si>
  <si>
    <t>CMN0522</t>
  </si>
  <si>
    <t xml:space="preserve">HC1_Wiper damaged </t>
  </si>
  <si>
    <t>NCR0227</t>
  </si>
  <si>
    <t>CMN0523</t>
  </si>
  <si>
    <t>NCR0341</t>
  </si>
  <si>
    <t>CMN0524</t>
  </si>
  <si>
    <t>HC2_HVAC2 Venting error</t>
  </si>
  <si>
    <t>NCR0342</t>
  </si>
  <si>
    <t>CMN0525</t>
  </si>
  <si>
    <t>HC1_PEI4 Loss communication</t>
  </si>
  <si>
    <t>NCR0348</t>
  </si>
  <si>
    <t>CMN0526</t>
  </si>
  <si>
    <t>HVAC2_V1 compressor 3 and 4 faulty, HVAC1_V1 ventilation not working at all.</t>
  </si>
  <si>
    <t>NCR0352</t>
  </si>
  <si>
    <t>CMN0527</t>
  </si>
  <si>
    <t>Hc1- Door1 glass Minor cracked at corner</t>
  </si>
  <si>
    <t>NCR0353</t>
  </si>
  <si>
    <t>CMN0528</t>
  </si>
  <si>
    <t>HC1-Door4 and window scratches</t>
  </si>
  <si>
    <t>NCR0358</t>
  </si>
  <si>
    <t>CMN0529</t>
  </si>
  <si>
    <t>HC1 - Electrical coupler frame broken</t>
  </si>
  <si>
    <t>NCR0360</t>
  </si>
  <si>
    <t>CMN0530</t>
  </si>
  <si>
    <t>NCR0361</t>
  </si>
  <si>
    <t>CMN0531</t>
  </si>
  <si>
    <t>HC2-Becon Antenna screw not there(4 missing).</t>
  </si>
  <si>
    <t>NCR0362</t>
  </si>
  <si>
    <t>CMN0532</t>
  </si>
  <si>
    <t>HC2-Left side Sanding rubber hoses missing.</t>
  </si>
  <si>
    <t>NCR0372</t>
  </si>
  <si>
    <t>CMN0533</t>
  </si>
  <si>
    <t>HC1&amp;HC2 - Gap filler between HVAC and Gangway missing</t>
  </si>
  <si>
    <t>NCR0375</t>
  </si>
  <si>
    <t>CMN0534</t>
  </si>
  <si>
    <t>HC2-AGTU_Missing of Sand filter Assembly</t>
  </si>
  <si>
    <t>NCR0376</t>
  </si>
  <si>
    <t>CMN0535</t>
  </si>
  <si>
    <t>HC2-Axle 2 leakage found from the spring brake part</t>
  </si>
  <si>
    <t>NCR0377</t>
  </si>
  <si>
    <t>CMN0536</t>
  </si>
  <si>
    <t>HC1-Head and Tail Light white LED not working</t>
  </si>
  <si>
    <t>NCR0378</t>
  </si>
  <si>
    <t>CMN0537</t>
  </si>
  <si>
    <t>NCR0381</t>
  </si>
  <si>
    <t>CMN0538</t>
  </si>
  <si>
    <t>LCD5-V2 error display
LEDI5-V2 error display</t>
  </si>
  <si>
    <t>NCR0382</t>
  </si>
  <si>
    <t>CMN0539</t>
  </si>
  <si>
    <t xml:space="preserve">HC2-Axle4 Gearbox leakage </t>
  </si>
  <si>
    <t>NCR0383</t>
  </si>
  <si>
    <t>CMN0540</t>
  </si>
  <si>
    <t>HC2-Head and Tail Light white LED not working</t>
  </si>
  <si>
    <t>NCR0387</t>
  </si>
  <si>
    <t>CMN0541</t>
  </si>
  <si>
    <t>LCD6-V2 Dark issue</t>
  </si>
  <si>
    <t>NCR0389</t>
  </si>
  <si>
    <t>CMN0542</t>
  </si>
  <si>
    <t>HC2-Under seat fire extinguisher BOX not available</t>
  </si>
  <si>
    <t>NCR0390</t>
  </si>
  <si>
    <t>CMN0543</t>
  </si>
  <si>
    <t>HC1-GCL-fire extinguisher holding plate not available</t>
  </si>
  <si>
    <t>NCR0393</t>
  </si>
  <si>
    <t>CMN0544</t>
  </si>
  <si>
    <t>LCD1_V1 ,LCD4-V1 ;LCD2-V2,LCD3-V2 dim issue ; LCD5-V2 offline and dark issue</t>
  </si>
  <si>
    <t>NCR0394</t>
  </si>
  <si>
    <t>CMN0545</t>
  </si>
  <si>
    <t>HC1-Door glass cracked</t>
  </si>
  <si>
    <t>NCR0395</t>
  </si>
  <si>
    <t>CMN0546</t>
  </si>
  <si>
    <t>HC2-Saloon Light not working</t>
  </si>
  <si>
    <t>NCR0401</t>
  </si>
  <si>
    <t>CMN0547</t>
  </si>
  <si>
    <t>HC2-LCD6-V2 dim issue</t>
  </si>
  <si>
    <t>NCR0403</t>
  </si>
  <si>
    <t>CMN0548</t>
  </si>
  <si>
    <t>HC2-Bogie 1 axle 2: Air leakage found from the spring brake part.</t>
  </si>
  <si>
    <t>NCR0405</t>
  </si>
  <si>
    <t>CMN0549</t>
  </si>
  <si>
    <t>HC1 Bogie1 - One HV cable gland missing from the underframe Junction Box.</t>
  </si>
  <si>
    <t>NCR0406</t>
  </si>
  <si>
    <t>CMN0550</t>
  </si>
  <si>
    <t>HC2-stinger cap cover broken</t>
  </si>
  <si>
    <t>NCR0408</t>
  </si>
  <si>
    <t>CMN0551</t>
  </si>
  <si>
    <t xml:space="preserve">HC1&amp;HC2-Gangway Gap filler damaged </t>
  </si>
  <si>
    <t>NCR0414</t>
  </si>
  <si>
    <t>CMN0552</t>
  </si>
  <si>
    <t>HC1&amp;HC2-Earthing cable is not connected between permanent coupler</t>
  </si>
  <si>
    <t>NCR0417</t>
  </si>
  <si>
    <t>CMN0553</t>
  </si>
  <si>
    <t>NCR0418</t>
  </si>
  <si>
    <t>CMN0554</t>
  </si>
  <si>
    <t>NCR0420</t>
  </si>
  <si>
    <t>CMN0555</t>
  </si>
  <si>
    <t>HC1_Axle2 Gearbox leakage(Inspection Cover)</t>
  </si>
  <si>
    <t>NCR0422</t>
  </si>
  <si>
    <t>CMN0556</t>
  </si>
  <si>
    <t>NCR0427</t>
  </si>
  <si>
    <t>CMN0557</t>
  </si>
  <si>
    <t>Hc1-Bogie 2 : Right hand side wheel flange lubricator : stick holding safety pin missing.</t>
  </si>
  <si>
    <t>NCR0428</t>
  </si>
  <si>
    <t>CMN0558</t>
  </si>
  <si>
    <t>410</t>
  </si>
  <si>
    <t>LCD dim display issue</t>
  </si>
  <si>
    <t>NCR0429</t>
  </si>
  <si>
    <t>CMN0559</t>
  </si>
  <si>
    <t>503</t>
  </si>
  <si>
    <t xml:space="preserve"> Fuse box glass cracked.</t>
  </si>
  <si>
    <t>CMN0560</t>
  </si>
  <si>
    <t>501</t>
  </si>
  <si>
    <t>DOOR indication light not working</t>
  </si>
  <si>
    <t>NCR0431</t>
  </si>
  <si>
    <t>CMN0561</t>
  </si>
  <si>
    <t>515</t>
  </si>
  <si>
    <t>NCR0432</t>
  </si>
  <si>
    <t>CMN0562</t>
  </si>
  <si>
    <t>508</t>
  </si>
  <si>
    <t>STF-DL beacon Antenna : HC1 1 bolt ,HC2 2 bolt not available</t>
  </si>
  <si>
    <t>NCR0433</t>
  </si>
  <si>
    <t>CMN0563</t>
  </si>
  <si>
    <t>Stick holding safety pin missing</t>
  </si>
  <si>
    <t>NCR0436</t>
  </si>
  <si>
    <t>CMN0564</t>
  </si>
  <si>
    <t>507</t>
  </si>
  <si>
    <t>HV  cable support clamp missing</t>
  </si>
  <si>
    <t>NCR0437</t>
  </si>
  <si>
    <t>CMN0565</t>
  </si>
  <si>
    <t>504</t>
  </si>
  <si>
    <t>Gangway Panel has  scractch &amp;Lock missing</t>
  </si>
  <si>
    <t>NCR0438</t>
  </si>
  <si>
    <t>CMN0566</t>
  </si>
  <si>
    <t xml:space="preserve"> Derailment sensor cable clamp missing</t>
  </si>
  <si>
    <t>NCR0439</t>
  </si>
  <si>
    <t>CMN0567</t>
  </si>
  <si>
    <t>ONE INTERNAL Gangway COVER MISSING</t>
  </si>
  <si>
    <t>NCR0440</t>
  </si>
  <si>
    <t>CMN0568</t>
  </si>
  <si>
    <t>625</t>
  </si>
  <si>
    <t>NCR0441</t>
  </si>
  <si>
    <t>CMN0569</t>
  </si>
  <si>
    <t>601</t>
  </si>
  <si>
    <t>Gangways panels are not able to be closed</t>
  </si>
  <si>
    <t>NCR0442</t>
  </si>
  <si>
    <t>CMN0570</t>
  </si>
  <si>
    <t>502</t>
  </si>
  <si>
    <t>Found minor leakage from the gearbox  drain plug cause by O-ring defect.</t>
  </si>
  <si>
    <t>NCR0443</t>
  </si>
  <si>
    <t>CMN0571</t>
  </si>
  <si>
    <t>407</t>
  </si>
  <si>
    <t>Found minor leakage from the gearbox  inspection cover</t>
  </si>
  <si>
    <t>NCR0444</t>
  </si>
  <si>
    <t>CMN0572</t>
  </si>
  <si>
    <t>412</t>
  </si>
  <si>
    <t>Gangways panels are missing</t>
  </si>
  <si>
    <t>NCR0445</t>
  </si>
  <si>
    <t>CMN0573</t>
  </si>
  <si>
    <t>Gangways panel is missing</t>
  </si>
  <si>
    <t>NCR0446</t>
  </si>
  <si>
    <t>CMN0574</t>
  </si>
  <si>
    <t>609</t>
  </si>
  <si>
    <t>Gangway locks missing</t>
  </si>
  <si>
    <t>NCR0449</t>
  </si>
  <si>
    <t>CMN0575</t>
  </si>
  <si>
    <t>607</t>
  </si>
  <si>
    <t>Gearbox oil axle 3 is contaminated.</t>
  </si>
  <si>
    <t>NCR0450</t>
  </si>
  <si>
    <t>CMN0576</t>
  </si>
  <si>
    <t xml:space="preserve">Gear box oil level is below minimum level </t>
  </si>
  <si>
    <t>NCR0452</t>
  </si>
  <si>
    <t>CMN0577</t>
  </si>
  <si>
    <t>422</t>
  </si>
  <si>
    <t xml:space="preserve">LEDI1-V2 offline and dark </t>
  </si>
  <si>
    <t>NCR0453</t>
  </si>
  <si>
    <t>CMN0578</t>
  </si>
  <si>
    <t>611</t>
  </si>
  <si>
    <t>Battery Door tubular seal  some damaged</t>
  </si>
  <si>
    <t>NCR0454</t>
  </si>
  <si>
    <t>CMN0579</t>
  </si>
  <si>
    <t>Battery Door  External safety label  damaged</t>
  </si>
  <si>
    <t>CMN0580</t>
  </si>
  <si>
    <t>CMN0581</t>
  </si>
  <si>
    <t>CMN0582</t>
  </si>
  <si>
    <t>CMN0583</t>
  </si>
  <si>
    <t>CMN0584</t>
  </si>
  <si>
    <t>CMN0585</t>
  </si>
  <si>
    <t>CMN0586</t>
  </si>
  <si>
    <t>CMN0587</t>
  </si>
  <si>
    <t>CMN0588</t>
  </si>
  <si>
    <t>CMN0589</t>
  </si>
  <si>
    <t>CMN0590</t>
  </si>
  <si>
    <t>CMN0591</t>
  </si>
  <si>
    <t>CMN0592</t>
  </si>
  <si>
    <t>CMN0593</t>
  </si>
  <si>
    <t>CMN0594</t>
  </si>
  <si>
    <t>CMN0595</t>
  </si>
  <si>
    <t>CMN0596</t>
  </si>
  <si>
    <t>CMN0597</t>
  </si>
  <si>
    <t>CMN0598</t>
  </si>
  <si>
    <t>CMN0599</t>
  </si>
  <si>
    <t>CMN0600</t>
  </si>
  <si>
    <t>CMN0601</t>
  </si>
  <si>
    <t>CMN0602</t>
  </si>
  <si>
    <t>CMN0603</t>
  </si>
  <si>
    <t>CMN0604</t>
  </si>
  <si>
    <t>CMN0605</t>
  </si>
  <si>
    <t>CMN0606</t>
  </si>
  <si>
    <t>CMN0607</t>
  </si>
  <si>
    <t>CMN0608</t>
  </si>
  <si>
    <t>CMN0609</t>
  </si>
  <si>
    <t>CMN0610</t>
  </si>
  <si>
    <t>CMN0611</t>
  </si>
  <si>
    <t>CMN0612</t>
  </si>
  <si>
    <t>CMN0613</t>
  </si>
  <si>
    <t>CMN0614</t>
  </si>
  <si>
    <t>CMN0615</t>
  </si>
  <si>
    <t>CMN0616</t>
  </si>
  <si>
    <t>CMN0617</t>
  </si>
  <si>
    <t>CMN0618</t>
  </si>
  <si>
    <t>CMN0619</t>
  </si>
  <si>
    <t>CMN0620</t>
  </si>
  <si>
    <t>CMN0621</t>
  </si>
  <si>
    <t>CMN0622</t>
  </si>
  <si>
    <t>CMN0623</t>
  </si>
  <si>
    <t>CMN0624</t>
  </si>
  <si>
    <t>CMN0625</t>
  </si>
  <si>
    <t>CMN0626</t>
  </si>
  <si>
    <t>CMN0627</t>
  </si>
  <si>
    <t>CMN0628</t>
  </si>
  <si>
    <t>CMN0629</t>
  </si>
  <si>
    <t>CMN0630</t>
  </si>
  <si>
    <t>CMN0631</t>
  </si>
  <si>
    <t>CMN0632</t>
  </si>
  <si>
    <t>CMN0633</t>
  </si>
  <si>
    <t>CMN0634</t>
  </si>
  <si>
    <t>CMN0635</t>
  </si>
  <si>
    <t>CMN0636</t>
  </si>
  <si>
    <t>CMN0637</t>
  </si>
  <si>
    <t>CMN0638</t>
  </si>
  <si>
    <t>CMN0639</t>
  </si>
  <si>
    <t>CMN0640</t>
  </si>
  <si>
    <t>CMN0641</t>
  </si>
  <si>
    <t>CMN0642</t>
  </si>
  <si>
    <t>CMN0643</t>
  </si>
  <si>
    <t>CMN0644</t>
  </si>
  <si>
    <t>CMN0645</t>
  </si>
  <si>
    <t>CMN0646</t>
  </si>
  <si>
    <t>CMN0647</t>
  </si>
  <si>
    <t>CMN0648</t>
  </si>
  <si>
    <t>CMN0649</t>
  </si>
  <si>
    <t>CMN0650</t>
  </si>
  <si>
    <t>CMN0651</t>
  </si>
  <si>
    <t>CMN0652</t>
  </si>
  <si>
    <t>CMN0653</t>
  </si>
  <si>
    <t>CMN0654</t>
  </si>
  <si>
    <t>CMN0655</t>
  </si>
  <si>
    <t>CMN0656</t>
  </si>
  <si>
    <t>CMN0657</t>
  </si>
  <si>
    <t>CMN0658</t>
  </si>
  <si>
    <t>CMN0659</t>
  </si>
  <si>
    <t>CMN0660</t>
  </si>
  <si>
    <t>CMN0661</t>
  </si>
  <si>
    <t>CMN0662</t>
  </si>
  <si>
    <t>CMN0663</t>
  </si>
  <si>
    <t>CMN0664</t>
  </si>
  <si>
    <t>CMN0665</t>
  </si>
  <si>
    <t>CMN0666</t>
  </si>
  <si>
    <t>CMN0667</t>
  </si>
  <si>
    <t>CMN0668</t>
  </si>
  <si>
    <t>CMN0669</t>
  </si>
  <si>
    <t>CMN0670</t>
  </si>
  <si>
    <t>CMN0671</t>
  </si>
  <si>
    <t>CMN0672</t>
  </si>
  <si>
    <t>CMN0673</t>
  </si>
  <si>
    <t>CMN0674</t>
  </si>
  <si>
    <t>CMN0675</t>
  </si>
  <si>
    <t>CMN0676</t>
  </si>
  <si>
    <t>CMN0677</t>
  </si>
  <si>
    <t>CMN0678</t>
  </si>
  <si>
    <t>CMN0679</t>
  </si>
  <si>
    <t>CMN0680</t>
  </si>
  <si>
    <t>CMN0681</t>
  </si>
  <si>
    <t>CMN0682</t>
  </si>
  <si>
    <t>CMN0683</t>
  </si>
  <si>
    <t>CMN0684</t>
  </si>
  <si>
    <t>CMN0685</t>
  </si>
  <si>
    <t>CMN0686</t>
  </si>
  <si>
    <t>CMN0687</t>
  </si>
  <si>
    <t>CMN0688</t>
  </si>
  <si>
    <t>CMN0689</t>
  </si>
  <si>
    <t>CMN0690</t>
  </si>
  <si>
    <t>CMN0691</t>
  </si>
  <si>
    <t>CMN0692</t>
  </si>
  <si>
    <t>CMN0693</t>
  </si>
  <si>
    <t>CMN0694</t>
  </si>
  <si>
    <t>CMN0695</t>
  </si>
  <si>
    <t>CMN0696</t>
  </si>
  <si>
    <t>CMN0697</t>
  </si>
  <si>
    <t>CMN0698</t>
  </si>
  <si>
    <t>CMN0699</t>
  </si>
  <si>
    <t>CMN0700</t>
  </si>
  <si>
    <t>CMN0701</t>
  </si>
  <si>
    <t>CMN0702</t>
  </si>
  <si>
    <t>CMN0703</t>
  </si>
  <si>
    <t>CMN0704</t>
  </si>
  <si>
    <t>CMN0705</t>
  </si>
  <si>
    <t>CMN0706</t>
  </si>
  <si>
    <t>CMN0707</t>
  </si>
  <si>
    <t>CMN0708</t>
  </si>
  <si>
    <t>CMN0709</t>
  </si>
  <si>
    <t>CMN0710</t>
  </si>
  <si>
    <t>CMN0711</t>
  </si>
  <si>
    <t>CMN0712</t>
  </si>
  <si>
    <t>CMN0713</t>
  </si>
  <si>
    <t>CMN0714</t>
  </si>
  <si>
    <t>CMN0715</t>
  </si>
  <si>
    <t>CMN0716</t>
  </si>
  <si>
    <t>CMN0717</t>
  </si>
  <si>
    <t>CMN0718</t>
  </si>
  <si>
    <t>CMN0719</t>
  </si>
  <si>
    <t>CMN0720</t>
  </si>
  <si>
    <t>CMN0721</t>
  </si>
  <si>
    <t>CMN0722</t>
  </si>
  <si>
    <t>CMN0723</t>
  </si>
  <si>
    <t>CMN0724</t>
  </si>
  <si>
    <t>CMN0725</t>
  </si>
  <si>
    <t>CMN0726</t>
  </si>
  <si>
    <t>CMN0727</t>
  </si>
  <si>
    <t>CMN0728</t>
  </si>
  <si>
    <t>CMN0729</t>
  </si>
  <si>
    <t>CMN0730</t>
  </si>
  <si>
    <t>CMN0731</t>
  </si>
  <si>
    <t>CMN0732</t>
  </si>
  <si>
    <t>CMN0733</t>
  </si>
  <si>
    <t>CMN0734</t>
  </si>
  <si>
    <t>CMN0735</t>
  </si>
  <si>
    <t>CMN0736</t>
  </si>
  <si>
    <t>CMN0737</t>
  </si>
  <si>
    <t>CMN0738</t>
  </si>
  <si>
    <t>CMN0739</t>
  </si>
  <si>
    <t>CMN0740</t>
  </si>
  <si>
    <t>CMN0741</t>
  </si>
  <si>
    <t>CMN0742</t>
  </si>
  <si>
    <t>CMN0743</t>
  </si>
  <si>
    <t>CMN0744</t>
  </si>
  <si>
    <t>CMN0745</t>
  </si>
  <si>
    <t>CMN0746</t>
  </si>
  <si>
    <t>CMN0747</t>
  </si>
  <si>
    <t>CMN0748</t>
  </si>
  <si>
    <t>CMN0749</t>
  </si>
  <si>
    <t>CMN0750</t>
  </si>
  <si>
    <t>CMN0751</t>
  </si>
  <si>
    <t>CMN0752</t>
  </si>
  <si>
    <t>CMN0753</t>
  </si>
  <si>
    <t>CMN0754</t>
  </si>
  <si>
    <t>CMN0755</t>
  </si>
  <si>
    <t>CMN0756</t>
  </si>
  <si>
    <t>CMN0757</t>
  </si>
  <si>
    <t>CMN0758</t>
  </si>
  <si>
    <t>CMN0759</t>
  </si>
  <si>
    <t>CMN0760</t>
  </si>
  <si>
    <t>CMN0761</t>
  </si>
  <si>
    <t>CMN0762</t>
  </si>
  <si>
    <t>CMN0763</t>
  </si>
  <si>
    <t>CMN0764</t>
  </si>
  <si>
    <t>CMN0765</t>
  </si>
  <si>
    <t>CMN0766</t>
  </si>
  <si>
    <t>CMN0767</t>
  </si>
  <si>
    <t>CMN0768</t>
  </si>
  <si>
    <t>CMN0769</t>
  </si>
  <si>
    <t>CMN0770</t>
  </si>
  <si>
    <t>CMN0771</t>
  </si>
  <si>
    <t>CMN0772</t>
  </si>
  <si>
    <t>CMN0773</t>
  </si>
  <si>
    <t>CMN0774</t>
  </si>
  <si>
    <t>CMN0775</t>
  </si>
  <si>
    <t>CMN0776</t>
  </si>
  <si>
    <t>CMN0777</t>
  </si>
  <si>
    <t>CMN0778</t>
  </si>
  <si>
    <t>CMN0779</t>
  </si>
  <si>
    <t>CMN0780</t>
  </si>
  <si>
    <t>CMN0781</t>
  </si>
  <si>
    <t>CMN0782</t>
  </si>
  <si>
    <t>CMN0783</t>
  </si>
  <si>
    <t>CMN0784</t>
  </si>
  <si>
    <t>CMN0785</t>
  </si>
  <si>
    <t>CMN0786</t>
  </si>
  <si>
    <t>CMN0787</t>
  </si>
  <si>
    <t>CMN0788</t>
  </si>
  <si>
    <t>CMN0789</t>
  </si>
  <si>
    <t>CMN0790</t>
  </si>
  <si>
    <t>CMN0791</t>
  </si>
  <si>
    <t>CMN0792</t>
  </si>
  <si>
    <t>CMN0793</t>
  </si>
  <si>
    <t>CMN0794</t>
  </si>
  <si>
    <t>CMN0795</t>
  </si>
  <si>
    <t>CMN0796</t>
  </si>
  <si>
    <t>CMN0797</t>
  </si>
  <si>
    <t>CMN0798</t>
  </si>
  <si>
    <t>CMN0799</t>
  </si>
  <si>
    <t>CMN0800</t>
  </si>
  <si>
    <t>CMN0801</t>
  </si>
  <si>
    <t>CMN0802</t>
  </si>
  <si>
    <t>CMN0803</t>
  </si>
  <si>
    <t>CMN0804</t>
  </si>
  <si>
    <t>CMN0805</t>
  </si>
  <si>
    <t>CMN0806</t>
  </si>
  <si>
    <t>CMN0807</t>
  </si>
  <si>
    <t>CMN0808</t>
  </si>
  <si>
    <t>CMN0809</t>
  </si>
  <si>
    <t>CMN0810</t>
  </si>
  <si>
    <t>CMN0811</t>
  </si>
  <si>
    <t>CMN0812</t>
  </si>
  <si>
    <t>CMN0813</t>
  </si>
  <si>
    <t>CMN0814</t>
  </si>
  <si>
    <t>CMN0815</t>
  </si>
  <si>
    <t>CMN0816</t>
  </si>
  <si>
    <t>CMN0817</t>
  </si>
  <si>
    <t>CMN0818</t>
  </si>
  <si>
    <t>CMN0819</t>
  </si>
  <si>
    <t>CMN0820</t>
  </si>
  <si>
    <t>CMN0821</t>
  </si>
  <si>
    <t>CMN0822</t>
  </si>
  <si>
    <t>CMN0823</t>
  </si>
  <si>
    <t>CMN0824</t>
  </si>
  <si>
    <t>CMN0825</t>
  </si>
  <si>
    <t>CMN0826</t>
  </si>
  <si>
    <t>CMN0827</t>
  </si>
  <si>
    <t>CMN0828</t>
  </si>
  <si>
    <t>CMN0829</t>
  </si>
  <si>
    <t>CMN0830</t>
  </si>
  <si>
    <t>CMN0831</t>
  </si>
  <si>
    <t>CMN0832</t>
  </si>
  <si>
    <t>CMN0833</t>
  </si>
  <si>
    <t>CMN0834</t>
  </si>
  <si>
    <t>CMN0835</t>
  </si>
  <si>
    <t>CMN0836</t>
  </si>
  <si>
    <t>CMN0837</t>
  </si>
  <si>
    <t>CMN0838</t>
  </si>
  <si>
    <t>CMN0839</t>
  </si>
  <si>
    <t>CMN0840</t>
  </si>
  <si>
    <t>CMN0841</t>
  </si>
  <si>
    <t>CMN0842</t>
  </si>
  <si>
    <t>CMN0843</t>
  </si>
  <si>
    <t>CMN0844</t>
  </si>
  <si>
    <t>CMN0845</t>
  </si>
  <si>
    <t>CMN0846</t>
  </si>
  <si>
    <t>CMN0847</t>
  </si>
  <si>
    <t>CMN0848</t>
  </si>
  <si>
    <t>CMN0849</t>
  </si>
  <si>
    <t>CMN0850</t>
  </si>
  <si>
    <t>CMN0851</t>
  </si>
  <si>
    <t>CMN0852</t>
  </si>
  <si>
    <t>CMN0853</t>
  </si>
  <si>
    <t>CMN0854</t>
  </si>
  <si>
    <t>CMN0855</t>
  </si>
  <si>
    <t>CMN0856</t>
  </si>
  <si>
    <t>CMN0857</t>
  </si>
  <si>
    <t>CMN0858</t>
  </si>
  <si>
    <t>CMN0859</t>
  </si>
  <si>
    <t>CMN0860</t>
  </si>
  <si>
    <t>CMN0861</t>
  </si>
  <si>
    <t>CMN0862</t>
  </si>
  <si>
    <t>CMN0863</t>
  </si>
  <si>
    <t>CMN0864</t>
  </si>
  <si>
    <t>CMN0865</t>
  </si>
  <si>
    <t>CMN0866</t>
  </si>
  <si>
    <t>CMN0867</t>
  </si>
  <si>
    <t>CMN0868</t>
  </si>
  <si>
    <t>CMN0869</t>
  </si>
  <si>
    <t>CMN0870</t>
  </si>
  <si>
    <t>CMN0871</t>
  </si>
  <si>
    <t>CMN0872</t>
  </si>
  <si>
    <t>CMN0873</t>
  </si>
  <si>
    <t>CMN0874</t>
  </si>
  <si>
    <t>CMN0875</t>
  </si>
  <si>
    <t>CMN0876</t>
  </si>
  <si>
    <t>CMN0877</t>
  </si>
  <si>
    <t>CMN0878</t>
  </si>
  <si>
    <t>CMN0879</t>
  </si>
  <si>
    <t>CMN0880</t>
  </si>
  <si>
    <t>CMN0881</t>
  </si>
  <si>
    <t>CMN0882</t>
  </si>
  <si>
    <t>CMN0883</t>
  </si>
  <si>
    <t>CMN0884</t>
  </si>
  <si>
    <t>CMN0885</t>
  </si>
  <si>
    <t>CMN0886</t>
  </si>
  <si>
    <t>CMN0887</t>
  </si>
  <si>
    <t>CMN0888</t>
  </si>
  <si>
    <t>CMN0889</t>
  </si>
  <si>
    <t>CMN0890</t>
  </si>
  <si>
    <t>CMN0891</t>
  </si>
  <si>
    <t>CMN0892</t>
  </si>
  <si>
    <t>CMN0893</t>
  </si>
  <si>
    <t>CMN0894</t>
  </si>
  <si>
    <t>CMN0895</t>
  </si>
  <si>
    <t>CMN0896</t>
  </si>
  <si>
    <t>CMN0897</t>
  </si>
  <si>
    <t>CMN0898</t>
  </si>
  <si>
    <t>CMN0899</t>
  </si>
  <si>
    <t>CMN0900</t>
  </si>
  <si>
    <t>CMN0901</t>
  </si>
  <si>
    <t>CMN0902</t>
  </si>
  <si>
    <t>CMN0903</t>
  </si>
  <si>
    <t>CMN0904</t>
  </si>
  <si>
    <t>CMN0905</t>
  </si>
  <si>
    <t>CMN0906</t>
  </si>
  <si>
    <t>CMN0907</t>
  </si>
  <si>
    <t>CMN0908</t>
  </si>
  <si>
    <t>CMN0909</t>
  </si>
  <si>
    <t>CMN0910</t>
  </si>
  <si>
    <t>CMN0911</t>
  </si>
  <si>
    <t>CMN0912</t>
  </si>
  <si>
    <t>CMN0913</t>
  </si>
  <si>
    <t>CMN0914</t>
  </si>
  <si>
    <t>CMN0915</t>
  </si>
  <si>
    <t>CMN0916</t>
  </si>
  <si>
    <t>CMN0917</t>
  </si>
  <si>
    <t>CMN0918</t>
  </si>
  <si>
    <t>CMN0919</t>
  </si>
  <si>
    <t>CMN0920</t>
  </si>
  <si>
    <t>CMN0921</t>
  </si>
  <si>
    <t>CMN0922</t>
  </si>
  <si>
    <t>CMN0923</t>
  </si>
  <si>
    <t>CMN0924</t>
  </si>
  <si>
    <t>CMN0925</t>
  </si>
  <si>
    <t>CMN0926</t>
  </si>
  <si>
    <t>CMN0927</t>
  </si>
  <si>
    <t>CMN0928</t>
  </si>
  <si>
    <t>CMN0929</t>
  </si>
  <si>
    <t>CMN0930</t>
  </si>
  <si>
    <t>CMN0931</t>
  </si>
  <si>
    <t>CMN0932</t>
  </si>
  <si>
    <t>CMN0933</t>
  </si>
  <si>
    <t>CMN0934</t>
  </si>
  <si>
    <t>CMN0935</t>
  </si>
  <si>
    <t>CMN0936</t>
  </si>
  <si>
    <t>CMN0937</t>
  </si>
  <si>
    <t>CMN0938</t>
  </si>
  <si>
    <t>CMN0939</t>
  </si>
  <si>
    <t>CMN0940</t>
  </si>
  <si>
    <t>CMN0941</t>
  </si>
  <si>
    <t>CMN0942</t>
  </si>
  <si>
    <t>CMN0943</t>
  </si>
  <si>
    <t>CMN0944</t>
  </si>
  <si>
    <t>CMN0945</t>
  </si>
  <si>
    <t>CMN0946</t>
  </si>
  <si>
    <t>CMN0947</t>
  </si>
  <si>
    <t>CMN0948</t>
  </si>
  <si>
    <t>CMN0949</t>
  </si>
  <si>
    <t>CMN0950</t>
  </si>
  <si>
    <t>CMN0951</t>
  </si>
  <si>
    <t>CMN0952</t>
  </si>
  <si>
    <t>CMN0953</t>
  </si>
  <si>
    <t>CMN0954</t>
  </si>
  <si>
    <t>CMN0955</t>
  </si>
  <si>
    <t>CMN0956</t>
  </si>
  <si>
    <t>CMN0957</t>
  </si>
  <si>
    <t>CMN0958</t>
  </si>
  <si>
    <t>CMN0959</t>
  </si>
  <si>
    <t>CMN0960</t>
  </si>
  <si>
    <t>CMN0961</t>
  </si>
  <si>
    <t>CMN0962</t>
  </si>
  <si>
    <t>CMN0963</t>
  </si>
  <si>
    <t>CMN0964</t>
  </si>
  <si>
    <t>CMN0965</t>
  </si>
  <si>
    <t>CMN0966</t>
  </si>
  <si>
    <t>CMN0967</t>
  </si>
  <si>
    <t>CMN0968</t>
  </si>
  <si>
    <t>CMN0969</t>
  </si>
  <si>
    <t>CMN0970</t>
  </si>
  <si>
    <t>CMN0971</t>
  </si>
  <si>
    <t>CMN0972</t>
  </si>
  <si>
    <t>CMN0973</t>
  </si>
  <si>
    <t>CMN0974</t>
  </si>
  <si>
    <t>CMN0975</t>
  </si>
  <si>
    <t>CMN0976</t>
  </si>
  <si>
    <t>CMN0977</t>
  </si>
  <si>
    <t>CMN0978</t>
  </si>
  <si>
    <t>CMN0979</t>
  </si>
  <si>
    <t>CMN0980</t>
  </si>
  <si>
    <t>CMN0981</t>
  </si>
  <si>
    <t>CMN0982</t>
  </si>
  <si>
    <t>CMN0983</t>
  </si>
  <si>
    <t>CMN0984</t>
  </si>
  <si>
    <t>CMN0985</t>
  </si>
  <si>
    <t>CMN0986</t>
  </si>
  <si>
    <t>CMN0987</t>
  </si>
  <si>
    <t>CMN0988</t>
  </si>
  <si>
    <t>CMN0989</t>
  </si>
  <si>
    <t>CMN0990</t>
  </si>
  <si>
    <t>CMN0991</t>
  </si>
  <si>
    <t>CMN0992</t>
  </si>
  <si>
    <t>CMN0993</t>
  </si>
  <si>
    <t>CMN0994</t>
  </si>
  <si>
    <t>CMN0995</t>
  </si>
  <si>
    <t>CMN0996</t>
  </si>
  <si>
    <t>CMN0997</t>
  </si>
  <si>
    <t>CMN0998</t>
  </si>
  <si>
    <t>CMN0999</t>
  </si>
  <si>
    <t>NCR1000</t>
  </si>
  <si>
    <t>CMN1000</t>
  </si>
  <si>
    <t xml:space="preserve"> Train was moving more that 10kph in WM and 
DM.</t>
  </si>
  <si>
    <t>CMN1001</t>
  </si>
  <si>
    <t>NCR1002</t>
  </si>
  <si>
    <t>CMN1002</t>
  </si>
  <si>
    <t>IOS185 : 1 APC LV Status false, IOS179 : 1 APC MV Status false</t>
  </si>
  <si>
    <t>CMN1003</t>
  </si>
  <si>
    <t>CMN1004</t>
  </si>
  <si>
    <t>CMN1005</t>
  </si>
  <si>
    <t>CMN1006</t>
  </si>
  <si>
    <t>NCR1007</t>
  </si>
  <si>
    <t>CMN1007</t>
  </si>
  <si>
    <t>CMN1008</t>
  </si>
  <si>
    <t>CMN1009</t>
  </si>
  <si>
    <t>CMN1010</t>
  </si>
  <si>
    <t>CMN1011</t>
  </si>
  <si>
    <t>CMN1012</t>
  </si>
  <si>
    <t>CMN1013</t>
  </si>
  <si>
    <t>CMN1014</t>
  </si>
  <si>
    <t>CMN1015</t>
  </si>
  <si>
    <t>CMN1016</t>
  </si>
  <si>
    <t>CMN1017</t>
  </si>
  <si>
    <t>CMN1018</t>
  </si>
  <si>
    <t>CMN1019</t>
  </si>
  <si>
    <t>CMN1020</t>
  </si>
  <si>
    <t>CMN1021</t>
  </si>
  <si>
    <t>CMN1022</t>
  </si>
  <si>
    <t>CMN1023</t>
  </si>
  <si>
    <t>CMN1024</t>
  </si>
  <si>
    <t>CMN1025</t>
  </si>
  <si>
    <t>CMN1026</t>
  </si>
  <si>
    <t>CMN1027</t>
  </si>
  <si>
    <t>CMN1028</t>
  </si>
  <si>
    <t>CMN1029</t>
  </si>
  <si>
    <t>CMN1030</t>
  </si>
  <si>
    <t>CMN1031</t>
  </si>
  <si>
    <t>CMN1032</t>
  </si>
  <si>
    <t>TIR1033</t>
  </si>
  <si>
    <t>CMN1033</t>
  </si>
  <si>
    <t>HC1-Inter glass door much noise when open.</t>
  </si>
  <si>
    <t>CMN1034</t>
  </si>
  <si>
    <t>CMN1035</t>
  </si>
  <si>
    <t>CMN1036</t>
  </si>
  <si>
    <t>CMN1037</t>
  </si>
  <si>
    <t>CMN1038</t>
  </si>
  <si>
    <t>CMN1039</t>
  </si>
  <si>
    <t>CMN1040</t>
  </si>
  <si>
    <t>CMN1041</t>
  </si>
  <si>
    <t>CMN1042</t>
  </si>
  <si>
    <t>CMN1043</t>
  </si>
  <si>
    <t>CMN1044</t>
  </si>
  <si>
    <t>CMN1045</t>
  </si>
  <si>
    <t>CMN1046</t>
  </si>
  <si>
    <t>CMN1047</t>
  </si>
  <si>
    <t>CMN1048</t>
  </si>
  <si>
    <t>CMN1049</t>
  </si>
  <si>
    <t>CMN1050</t>
  </si>
  <si>
    <t>CMN1051</t>
  </si>
  <si>
    <t>CMN1052</t>
  </si>
  <si>
    <t>CMN1053</t>
  </si>
  <si>
    <t>CMN1054</t>
  </si>
  <si>
    <t>CMN1055</t>
  </si>
  <si>
    <t>NCR1056</t>
  </si>
  <si>
    <t>CMN1056</t>
  </si>
  <si>
    <t>HC1_Gearbox 1 &amp; 2 oil level below minimum</t>
  </si>
  <si>
    <t>CMN1057</t>
  </si>
  <si>
    <t>CMN1058</t>
  </si>
  <si>
    <t>CMN1059</t>
  </si>
  <si>
    <t>CMN1060</t>
  </si>
  <si>
    <t>CMN1061</t>
  </si>
  <si>
    <t>CMN1062</t>
  </si>
  <si>
    <t>CMN1063</t>
  </si>
  <si>
    <t>CMN1064</t>
  </si>
  <si>
    <t>TIR1065</t>
  </si>
  <si>
    <t>CMN1065</t>
  </si>
  <si>
    <t>CMN1066</t>
  </si>
  <si>
    <t>CMN1067</t>
  </si>
  <si>
    <t>CMN1068</t>
  </si>
  <si>
    <t>CMN1069</t>
  </si>
  <si>
    <t>CMN1070</t>
  </si>
  <si>
    <t>CMN1071</t>
  </si>
  <si>
    <t>CMN1072</t>
  </si>
  <si>
    <t>NCR1073</t>
  </si>
  <si>
    <t>CMN1073</t>
  </si>
  <si>
    <t>GANGWAY INTERNAL PANELS IS MISSING</t>
  </si>
  <si>
    <t>CMN1074</t>
  </si>
  <si>
    <t>CMN1075</t>
  </si>
  <si>
    <t>CMN1076</t>
  </si>
  <si>
    <t>CMN1077</t>
  </si>
  <si>
    <t>CMN1078</t>
  </si>
  <si>
    <t>CMN1079</t>
  </si>
  <si>
    <t>CMN1080</t>
  </si>
  <si>
    <t>CMN1081</t>
  </si>
  <si>
    <t>TIR1082</t>
  </si>
  <si>
    <t>CMN1082</t>
  </si>
  <si>
    <t>HC1 EAD switch not working</t>
  </si>
  <si>
    <t>TIR1083</t>
  </si>
  <si>
    <t>CMN1083</t>
  </si>
  <si>
    <t xml:space="preserve">HC1 side can not uncouple </t>
  </si>
  <si>
    <t>CMN1084</t>
  </si>
  <si>
    <t>CMN1085</t>
  </si>
  <si>
    <t>CMN1086</t>
  </si>
  <si>
    <t>NCR1087</t>
  </si>
  <si>
    <t>CMN1087</t>
  </si>
  <si>
    <t>NCR1088</t>
  </si>
  <si>
    <t>CMN1088</t>
  </si>
  <si>
    <t>CMN1089</t>
  </si>
  <si>
    <t>CMN1090</t>
  </si>
  <si>
    <t>CMN1091</t>
  </si>
  <si>
    <t>NCR1092</t>
  </si>
  <si>
    <t>CMN1092</t>
  </si>
  <si>
    <t>The 750 HV cable from the Fuse box to the Junction box was damaged during a sweep run on the mainline</t>
  </si>
  <si>
    <t>CMN1093</t>
  </si>
  <si>
    <t>CMN1094</t>
  </si>
  <si>
    <t>CMN1095</t>
  </si>
  <si>
    <t>CMN1096</t>
  </si>
  <si>
    <t>CMN1097</t>
  </si>
  <si>
    <t>NCR1098</t>
  </si>
  <si>
    <t>CMN1098</t>
  </si>
  <si>
    <t>CMN1099</t>
  </si>
  <si>
    <t>CMN1100</t>
  </si>
  <si>
    <t>CMN1101</t>
  </si>
  <si>
    <t>CMN1102</t>
  </si>
  <si>
    <t>CMN1103</t>
  </si>
  <si>
    <t>CMN1104</t>
  </si>
  <si>
    <t>CMN1105</t>
  </si>
  <si>
    <t>CMN1106</t>
  </si>
  <si>
    <t>CMN1107</t>
  </si>
  <si>
    <t>CMN1108</t>
  </si>
  <si>
    <t>TIR1109</t>
  </si>
  <si>
    <t>CMN1109</t>
  </si>
  <si>
    <t>CMN1110</t>
  </si>
  <si>
    <t>CMN1111</t>
  </si>
  <si>
    <t>DCU5-V2 communication not stable.</t>
  </si>
  <si>
    <t>CMN1112</t>
  </si>
  <si>
    <t>CMN1113</t>
  </si>
  <si>
    <t>CMN1114</t>
  </si>
  <si>
    <t>CMN1115</t>
  </si>
  <si>
    <t>CMN1116</t>
  </si>
  <si>
    <t>CMN1117</t>
  </si>
  <si>
    <t>CMN1118</t>
  </si>
  <si>
    <t>CMN1119</t>
  </si>
  <si>
    <t>CMN1120</t>
  </si>
  <si>
    <t>CMN1121</t>
  </si>
  <si>
    <t>CMN1122</t>
  </si>
  <si>
    <t>CMN1123</t>
  </si>
  <si>
    <t>CMN1124</t>
  </si>
  <si>
    <t>CMN1125</t>
  </si>
  <si>
    <t>CMN1126</t>
  </si>
  <si>
    <t>CMN1127</t>
  </si>
  <si>
    <t>CMN1128</t>
  </si>
  <si>
    <t>CMN1129</t>
  </si>
  <si>
    <t>NCR1130</t>
  </si>
  <si>
    <t>CMN1130</t>
  </si>
  <si>
    <t>Semi permanent coupler grounding bolt missing</t>
  </si>
  <si>
    <t>CMN1131</t>
  </si>
  <si>
    <t>CMN1132</t>
  </si>
  <si>
    <t>CMN1133</t>
  </si>
  <si>
    <t>TIR1134</t>
  </si>
  <si>
    <t>CMN1134</t>
  </si>
  <si>
    <t>Light diffusers need to fix</t>
  </si>
  <si>
    <t>CMN1135</t>
  </si>
  <si>
    <t>CMN1136</t>
  </si>
  <si>
    <t>CMN1137</t>
  </si>
  <si>
    <t>CMN1138</t>
  </si>
  <si>
    <t>CMN1139</t>
  </si>
  <si>
    <t>CMN1140</t>
  </si>
  <si>
    <t>CMN1141</t>
  </si>
  <si>
    <t>CMN1142</t>
  </si>
  <si>
    <t>CMN1143</t>
  </si>
  <si>
    <t>CMN1144</t>
  </si>
  <si>
    <t>CMN1145</t>
  </si>
  <si>
    <t>CMN1146</t>
  </si>
  <si>
    <t>CMN1147</t>
  </si>
  <si>
    <t>CMN1148</t>
  </si>
  <si>
    <t>CMN1149</t>
  </si>
  <si>
    <t>CMN1150</t>
  </si>
  <si>
    <t>CMN1151</t>
  </si>
  <si>
    <t>CMN1152</t>
  </si>
  <si>
    <t>CMN1153</t>
  </si>
  <si>
    <t>NCR1154</t>
  </si>
  <si>
    <t>CMN1154</t>
  </si>
  <si>
    <t>Unconnected Grounding cable in the LVB Box</t>
  </si>
  <si>
    <t>CMN1155</t>
  </si>
  <si>
    <t>CMN1156</t>
  </si>
  <si>
    <t>CMN1157</t>
  </si>
  <si>
    <t>CMN1158</t>
  </si>
  <si>
    <t>CMN1159</t>
  </si>
  <si>
    <t>CMN1160</t>
  </si>
  <si>
    <t>CMN1161</t>
  </si>
  <si>
    <t>CMN1162</t>
  </si>
  <si>
    <t>CMN1163</t>
  </si>
  <si>
    <t>CMN1164</t>
  </si>
  <si>
    <t>CMN1165</t>
  </si>
  <si>
    <t>CMN1166</t>
  </si>
  <si>
    <t>CMN1167</t>
  </si>
  <si>
    <t>NCR1168</t>
  </si>
  <si>
    <t>CMN1168</t>
  </si>
  <si>
    <t>CMN1169</t>
  </si>
  <si>
    <t>CMN1170</t>
  </si>
  <si>
    <t>CMN1171</t>
  </si>
  <si>
    <t>CMN1172</t>
  </si>
  <si>
    <t>CMN1173</t>
  </si>
  <si>
    <t>CMN1174</t>
  </si>
  <si>
    <t>CMN1175</t>
  </si>
  <si>
    <t>CMN1176</t>
  </si>
  <si>
    <t>CMN1177</t>
  </si>
  <si>
    <t>CMN1178</t>
  </si>
  <si>
    <t>CMN1179</t>
  </si>
  <si>
    <t>CMN1180</t>
  </si>
  <si>
    <t>CMN1181</t>
  </si>
  <si>
    <t>CMN1182</t>
  </si>
  <si>
    <t>CMN1183</t>
  </si>
  <si>
    <t>CMN1184</t>
  </si>
  <si>
    <t>CMN1185</t>
  </si>
  <si>
    <t>CMN1186</t>
  </si>
  <si>
    <t>CMN1187</t>
  </si>
  <si>
    <t>CMN1188</t>
  </si>
  <si>
    <t>CMN1189</t>
  </si>
  <si>
    <t>CMN1190</t>
  </si>
  <si>
    <t>CMN1191</t>
  </si>
  <si>
    <t>CMN1192</t>
  </si>
  <si>
    <t>CMN1193</t>
  </si>
  <si>
    <t>CMN1194</t>
  </si>
  <si>
    <t>CMN1195</t>
  </si>
  <si>
    <t>CMN1196</t>
  </si>
  <si>
    <t>CMN1197</t>
  </si>
  <si>
    <t>CMN1198</t>
  </si>
  <si>
    <t>CMN1199</t>
  </si>
  <si>
    <t>CMN1200</t>
  </si>
  <si>
    <t>CMN1201</t>
  </si>
  <si>
    <t>CMN1202</t>
  </si>
  <si>
    <t>CMN1203</t>
  </si>
  <si>
    <t>CMN1204</t>
  </si>
  <si>
    <t>CMN1205</t>
  </si>
  <si>
    <t>CMN1206</t>
  </si>
  <si>
    <t>CMN1207</t>
  </si>
  <si>
    <t>CMN1208</t>
  </si>
  <si>
    <t>CMN1209</t>
  </si>
  <si>
    <t>CMN1210</t>
  </si>
  <si>
    <t>CMN1211</t>
  </si>
  <si>
    <t>CMN1212</t>
  </si>
  <si>
    <t>CMN1213</t>
  </si>
  <si>
    <t>CMN1214</t>
  </si>
  <si>
    <t>CMN1215</t>
  </si>
  <si>
    <t>CMN1216</t>
  </si>
  <si>
    <t>CMN1217</t>
  </si>
  <si>
    <t>CMN1218</t>
  </si>
  <si>
    <t>CMN1219</t>
  </si>
  <si>
    <t>CMN1220</t>
  </si>
  <si>
    <t>CMN1221</t>
  </si>
  <si>
    <t>CMN1222</t>
  </si>
  <si>
    <t>CMN1223</t>
  </si>
  <si>
    <t>CMN1224</t>
  </si>
  <si>
    <t>CMN1225</t>
  </si>
  <si>
    <t>CMN1226</t>
  </si>
  <si>
    <t>CMN1227</t>
  </si>
  <si>
    <t>CMN1228</t>
  </si>
  <si>
    <t>CMN1229</t>
  </si>
  <si>
    <t>CMN1230</t>
  </si>
  <si>
    <t>CMN1231</t>
  </si>
  <si>
    <t>CMN1232</t>
  </si>
  <si>
    <t>CMN1233</t>
  </si>
  <si>
    <t>CMN1234</t>
  </si>
  <si>
    <t>CMN1235</t>
  </si>
  <si>
    <t>CMN1236</t>
  </si>
  <si>
    <t>CMN1237</t>
  </si>
  <si>
    <t>CMN1238</t>
  </si>
  <si>
    <t>CMN1239</t>
  </si>
  <si>
    <t>CMN1240</t>
  </si>
  <si>
    <t>CMN1241</t>
  </si>
  <si>
    <t>CMN1242</t>
  </si>
  <si>
    <t>CMN1243</t>
  </si>
  <si>
    <t>CMN1244</t>
  </si>
  <si>
    <t>CMN1245</t>
  </si>
  <si>
    <t>CMN1246</t>
  </si>
  <si>
    <t>CMN1247</t>
  </si>
  <si>
    <t>CMN1248</t>
  </si>
  <si>
    <t>CMN1249</t>
  </si>
  <si>
    <t>CMN1250</t>
  </si>
  <si>
    <t>CMN1251</t>
  </si>
  <si>
    <t>CMN1252</t>
  </si>
  <si>
    <t>CMN1253</t>
  </si>
  <si>
    <t>CMN1254</t>
  </si>
  <si>
    <t>CMN1255</t>
  </si>
  <si>
    <t>CMN1256</t>
  </si>
  <si>
    <t>CMN1257</t>
  </si>
  <si>
    <t>CMN1258</t>
  </si>
  <si>
    <t>CMN1259</t>
  </si>
  <si>
    <t>CMN1260</t>
  </si>
  <si>
    <t>CMN1261</t>
  </si>
  <si>
    <t>CMN1262</t>
  </si>
  <si>
    <t>CMN1263</t>
  </si>
  <si>
    <t>CMN1264</t>
  </si>
  <si>
    <t>CMN1265</t>
  </si>
  <si>
    <t>CMN1266</t>
  </si>
  <si>
    <t>CMN1267</t>
  </si>
  <si>
    <t>CMN1268</t>
  </si>
  <si>
    <t>CMN1269</t>
  </si>
  <si>
    <t>CMN1270</t>
  </si>
  <si>
    <t>CMN1271</t>
  </si>
  <si>
    <t>CMN1272</t>
  </si>
  <si>
    <t>CMN1273</t>
  </si>
  <si>
    <t>CMN1274</t>
  </si>
  <si>
    <t>CMN1275</t>
  </si>
  <si>
    <t>CMN1276</t>
  </si>
  <si>
    <t>CMN1277</t>
  </si>
  <si>
    <t>CMN1278</t>
  </si>
  <si>
    <t>CMN1279</t>
  </si>
  <si>
    <t>CMN1280</t>
  </si>
  <si>
    <t>CMN1281</t>
  </si>
  <si>
    <t>CMN1282</t>
  </si>
  <si>
    <t>CMN1283</t>
  </si>
  <si>
    <t>CMN1284</t>
  </si>
  <si>
    <t>CMN1285</t>
  </si>
  <si>
    <t>CMN1286</t>
  </si>
  <si>
    <t>CMN1287</t>
  </si>
  <si>
    <t>CMN1288</t>
  </si>
  <si>
    <t>CMN1289</t>
  </si>
  <si>
    <t>CMN1290</t>
  </si>
  <si>
    <t>CMN1291</t>
  </si>
  <si>
    <t>CMN1292</t>
  </si>
  <si>
    <t>CMN1293</t>
  </si>
  <si>
    <t>CMN1294</t>
  </si>
  <si>
    <t>CMN1295</t>
  </si>
  <si>
    <t>CMN1296</t>
  </si>
  <si>
    <t>CMN1297</t>
  </si>
  <si>
    <t>CMN1298</t>
  </si>
  <si>
    <t>CMN1299</t>
  </si>
  <si>
    <t>CMN1300</t>
  </si>
  <si>
    <t>CMN1301</t>
  </si>
  <si>
    <t>CMN1302</t>
  </si>
  <si>
    <t>CMN1303</t>
  </si>
  <si>
    <t>CMN1304</t>
  </si>
  <si>
    <t>CMN1305</t>
  </si>
  <si>
    <t>CMN1306</t>
  </si>
  <si>
    <t>CMN1307</t>
  </si>
  <si>
    <t>CMN1308</t>
  </si>
  <si>
    <t>CMN1309</t>
  </si>
  <si>
    <t>CMN1310</t>
  </si>
  <si>
    <t>CMN1311</t>
  </si>
  <si>
    <t>CMN1312</t>
  </si>
  <si>
    <t>CMN1313</t>
  </si>
  <si>
    <t>CMN1314</t>
  </si>
  <si>
    <t>CMN1315</t>
  </si>
  <si>
    <t>CMN1316</t>
  </si>
  <si>
    <t>CMN1317</t>
  </si>
  <si>
    <t>CMN1318</t>
  </si>
  <si>
    <t>CMN1319</t>
  </si>
  <si>
    <t>CMN1320</t>
  </si>
  <si>
    <t>CMN1321</t>
  </si>
  <si>
    <t>CMN1322</t>
  </si>
  <si>
    <t>HVAC -Venting error in MONA software but physically we checked its was working</t>
  </si>
  <si>
    <t>TIR1181</t>
  </si>
  <si>
    <t xml:space="preserve">After the wake-up, we lost the communication for the PCE2. happened 2 times </t>
  </si>
  <si>
    <t>DCU5-V2 communication not stable</t>
  </si>
  <si>
    <t>NCR1111</t>
  </si>
  <si>
    <t>CRS42-V2 LOSS OF COMMUNICATION</t>
  </si>
  <si>
    <t>Consist ring switch_1-V2 loss of comm</t>
  </si>
  <si>
    <t>PEI1-V2 loss of communication</t>
  </si>
  <si>
    <t>PEI5-V1 loss of communication</t>
  </si>
  <si>
    <t>IOS191 ;IOS196 ;ISO200 ;IOS199 : IOS198</t>
  </si>
  <si>
    <t>TIR1003</t>
  </si>
  <si>
    <t>Grand Total</t>
  </si>
  <si>
    <t>Count</t>
  </si>
  <si>
    <t>CMN0473</t>
  </si>
  <si>
    <t>CMN0474</t>
  </si>
  <si>
    <t>HC1-left side derailment sensor bended and clamp,cable sleeve damaged( Refer Pic)                           
HC1-Right side derailment sensor's ground cable is cutted      (Refer pic)</t>
  </si>
  <si>
    <t>NCR1170</t>
  </si>
  <si>
    <t>NCR1197</t>
  </si>
  <si>
    <t xml:space="preserve">4 Roof panel and 2 HVAC panel damaged due to hit roller shutter. </t>
  </si>
  <si>
    <t>NCR1166</t>
  </si>
  <si>
    <t>NCR1169</t>
  </si>
  <si>
    <t xml:space="preserve">IOS21:Minor fault on 1 brake unit (HC1 Axle1 Speed sensor faulty) </t>
  </si>
  <si>
    <t>NCR1038</t>
  </si>
  <si>
    <t>NCR1044</t>
  </si>
  <si>
    <t>HC1 Roof ceiling panel 1 allen screw - 1 missing &amp; 1 damaged, HC2 roof ceiling panel 1 allen 2 scew missing &amp;  1 damaged</t>
  </si>
  <si>
    <t>HC1 Roof ceiling panel 1 allen screw - 1 missing &amp; 1 damaged, HC2 roof ceiling panel allen 1 screw missing &amp; 1 damaged</t>
  </si>
  <si>
    <t>NCR1076</t>
  </si>
  <si>
    <t>NCR1150</t>
  </si>
  <si>
    <t>NCR1152</t>
  </si>
  <si>
    <t>HC2 - Partition door lock missing</t>
  </si>
  <si>
    <t>IOS15 : Service brake released loop in default indication</t>
  </si>
  <si>
    <t>NCR1194</t>
  </si>
  <si>
    <t>NCR1198</t>
  </si>
  <si>
    <t>NCR1199</t>
  </si>
  <si>
    <t xml:space="preserve"> HC1 - CB 52Q11 and 11Q02 was tripping (Short circuit in AA3S)</t>
  </si>
  <si>
    <t>HC2 - Paint signs/mark on the surface of the train</t>
  </si>
  <si>
    <t xml:space="preserve">HC2 - Found scratches on the surface on train near door 1 </t>
  </si>
  <si>
    <t>HC2- The CMV racks are equipped with wrong type screws and washer</t>
  </si>
  <si>
    <t>NCR0346</t>
  </si>
  <si>
    <t>BRIO 72A32 faulty</t>
  </si>
  <si>
    <t>TIR1148</t>
  </si>
  <si>
    <t>One ACE have a communication fault</t>
  </si>
  <si>
    <t>NCR1205</t>
  </si>
  <si>
    <t>CVS2 agate short circuit</t>
  </si>
  <si>
    <t>IOS67:Door CLOSING request fault indication</t>
  </si>
  <si>
    <t>TIR1161</t>
  </si>
  <si>
    <t>IOS -227 loss of Traction in both CABs</t>
  </si>
  <si>
    <t>TIR1184</t>
  </si>
  <si>
    <t>IOS295, IOS246, IOS21 TIR1185 mainline</t>
  </si>
  <si>
    <t>TIR1185</t>
  </si>
  <si>
    <t>NCR1254</t>
  </si>
  <si>
    <t>HC1_Inverter cooling fan abnormal sound</t>
  </si>
  <si>
    <t>Hc2 gb# 3 oil level below minimum</t>
  </si>
  <si>
    <t>NCR1074</t>
  </si>
  <si>
    <t>TIR1239</t>
  </si>
  <si>
    <t>Traction Frimware issue</t>
  </si>
  <si>
    <t>IOS196 : Loss of at least 1 PEI in a class</t>
  </si>
  <si>
    <t>TIR1006</t>
  </si>
  <si>
    <t>car2 lcd3 contrast low compare to other lcd 
displays</t>
  </si>
  <si>
    <t>TIR1028</t>
  </si>
  <si>
    <t>TIR1058</t>
  </si>
  <si>
    <t xml:space="preserve">Display Status [ HC2 {SWD2-blank } { SWD5- 
No image} </t>
  </si>
  <si>
    <t>Swd4-V1 Dark, Lcd5-V1 offline</t>
  </si>
  <si>
    <t>TIR1061</t>
  </si>
  <si>
    <t>CMN1323</t>
  </si>
  <si>
    <t>CMN1324</t>
  </si>
  <si>
    <t>CMN1325</t>
  </si>
  <si>
    <t>CMN1326</t>
  </si>
  <si>
    <t>CMN1327</t>
  </si>
  <si>
    <t>CMN1328</t>
  </si>
  <si>
    <t>CMN1329</t>
  </si>
  <si>
    <t>CMN1330</t>
  </si>
  <si>
    <t>CMN1331</t>
  </si>
  <si>
    <t>CMN1332</t>
  </si>
  <si>
    <t>CMN1333</t>
  </si>
  <si>
    <t>CMN1334</t>
  </si>
  <si>
    <t>CMN1335</t>
  </si>
  <si>
    <t>CMN1336</t>
  </si>
  <si>
    <t>CMN1337</t>
  </si>
  <si>
    <t>CMN1338</t>
  </si>
  <si>
    <t>CMN1339</t>
  </si>
  <si>
    <t>CMN1340</t>
  </si>
  <si>
    <t>CMN1341</t>
  </si>
  <si>
    <t>CMN1342</t>
  </si>
  <si>
    <t>CMN1343</t>
  </si>
  <si>
    <t>CMN1344</t>
  </si>
  <si>
    <t>CMN1345</t>
  </si>
  <si>
    <t>CMN1346</t>
  </si>
  <si>
    <t>CMN1347</t>
  </si>
  <si>
    <t>CMN1348</t>
  </si>
  <si>
    <t>CMN1349</t>
  </si>
  <si>
    <t>CMN1350</t>
  </si>
  <si>
    <t>CMN1351</t>
  </si>
  <si>
    <t>CMN1352</t>
  </si>
  <si>
    <t>CMN1353</t>
  </si>
  <si>
    <t>CMN1354</t>
  </si>
  <si>
    <t>CMN1355</t>
  </si>
  <si>
    <t>CMN1356</t>
  </si>
  <si>
    <t>CMN1357</t>
  </si>
  <si>
    <t>CMN1358</t>
  </si>
  <si>
    <t>CMN1359</t>
  </si>
  <si>
    <t>CMN1360</t>
  </si>
  <si>
    <t>CMN1361</t>
  </si>
  <si>
    <t>CMN1362</t>
  </si>
  <si>
    <t>CMN1363</t>
  </si>
  <si>
    <t>CMN1364</t>
  </si>
  <si>
    <t>CMN1365</t>
  </si>
  <si>
    <t>CMN1366</t>
  </si>
  <si>
    <t>CMN1367</t>
  </si>
  <si>
    <t>CMN1368</t>
  </si>
  <si>
    <t>CMN1369</t>
  </si>
  <si>
    <t>CMN1370</t>
  </si>
  <si>
    <t>CMN1371</t>
  </si>
  <si>
    <t>CMN1372</t>
  </si>
  <si>
    <t>CMN1373</t>
  </si>
  <si>
    <t>CMN1374</t>
  </si>
  <si>
    <t>CMN1375</t>
  </si>
  <si>
    <t>CMN1376</t>
  </si>
  <si>
    <t>CMN1377</t>
  </si>
  <si>
    <t>CMN1378</t>
  </si>
  <si>
    <t>CMN1379</t>
  </si>
  <si>
    <t>CMN1380</t>
  </si>
  <si>
    <t>CMN1381</t>
  </si>
  <si>
    <t>CMN1382</t>
  </si>
  <si>
    <t>CMN1383</t>
  </si>
  <si>
    <t>CMN1384</t>
  </si>
  <si>
    <t>CMN1385</t>
  </si>
  <si>
    <t>CMN1386</t>
  </si>
  <si>
    <t>CMN1387</t>
  </si>
  <si>
    <t>CMN1388</t>
  </si>
  <si>
    <t>CMN1389</t>
  </si>
  <si>
    <t>CMN1390</t>
  </si>
  <si>
    <t>CMN1391</t>
  </si>
  <si>
    <t>CMN1392</t>
  </si>
  <si>
    <t>CMN1393</t>
  </si>
  <si>
    <t>car2 swd2 one display blank no image</t>
  </si>
  <si>
    <t>TIR1064</t>
  </si>
  <si>
    <t>HC2 swd3 not working and IP also offline</t>
  </si>
  <si>
    <t>NCR1095</t>
  </si>
  <si>
    <t>swd3 car2,lcd3 car2,led3 car2.-IP nok</t>
  </si>
  <si>
    <t>TIR1106</t>
  </si>
  <si>
    <t>HC1-LEDI6 IP offline,HC1-LEDI6 not working</t>
  </si>
  <si>
    <t>TIR1138</t>
  </si>
  <si>
    <t>lcd1.v1,equipement not responding with IP scanner</t>
  </si>
  <si>
    <t>TIR1048</t>
  </si>
  <si>
    <t>HC2 Lcd 6 blinking</t>
  </si>
  <si>
    <t>TIR1118</t>
  </si>
  <si>
    <t>LED5 CAR1 ON PLAM TREE NOT OK BUT IP 
STATUS OK</t>
  </si>
  <si>
    <t>TIR1057</t>
  </si>
  <si>
    <t>car2 swd3 physically off condition but ip status ok</t>
  </si>
  <si>
    <t>TIR1121</t>
  </si>
  <si>
    <t>Daily Brake test NOK</t>
  </si>
  <si>
    <t>TIR0111</t>
  </si>
  <si>
    <t>Semi Permanent coupler grounding bolt missing</t>
  </si>
  <si>
    <t>NCR1059</t>
  </si>
  <si>
    <t>NCR1075</t>
  </si>
  <si>
    <t>HC2 Mechanical coupler got stuck while uncoupling</t>
  </si>
  <si>
    <t>NCR1079</t>
  </si>
  <si>
    <t>HC2 Ceiling panel cover not fixed ( support bracket missing )</t>
  </si>
  <si>
    <t>NCR1097</t>
  </si>
  <si>
    <t>Detected during Battery Visual Inspection 
Trainset 611A -  Door tubular seal was found having some damaged.</t>
  </si>
  <si>
    <t>NCR1099</t>
  </si>
  <si>
    <t>car2 2nd palmtree light off condition.</t>
  </si>
  <si>
    <t>NCR1117</t>
  </si>
  <si>
    <t>Internal  Gangway Panel has more scratch</t>
  </si>
  <si>
    <t>NCR1207</t>
  </si>
  <si>
    <t>NCR1257</t>
  </si>
  <si>
    <t>HVAC2-V2 Low pressure reported</t>
  </si>
  <si>
    <t>NCR1019</t>
  </si>
  <si>
    <t xml:space="preserve">HVAC2-V2 Low Pressure 1 </t>
  </si>
  <si>
    <t>NCR1112</t>
  </si>
  <si>
    <t xml:space="preserve">LOW PRESSURE LP2 when forced Compressor2 </t>
  </si>
  <si>
    <t>NCR1055</t>
  </si>
  <si>
    <t>NCR1071</t>
  </si>
  <si>
    <t>HC2-Bogie1 left CC corner was damaged</t>
  </si>
  <si>
    <t xml:space="preserve">HC1&amp;HC2 - PA not working </t>
  </si>
  <si>
    <t>NCR1101</t>
  </si>
  <si>
    <t>NCR1279</t>
  </si>
  <si>
    <t>NCR1280</t>
  </si>
  <si>
    <t>AGTU retrofit pending by FAIVLEY</t>
  </si>
  <si>
    <t>NCR1240</t>
  </si>
  <si>
    <t>HC1_Windscreen broken</t>
  </si>
  <si>
    <t>swd3 car1 blank not powered up and ip scanner shown ok</t>
  </si>
  <si>
    <t>Nvr-offline;IOS191 : Loss of video record</t>
  </si>
  <si>
    <t>TIR1249</t>
  </si>
  <si>
    <t>current collector shoe #4 in critical condition/for replacement</t>
  </si>
  <si>
    <t xml:space="preserve">Hc1 axle2 Gearbox oil leakaed from Inspection cover  </t>
  </si>
  <si>
    <t>NCR1296</t>
  </si>
  <si>
    <t>NCR1297</t>
  </si>
  <si>
    <t>HC1 and HC2 Dirty on the external paint - glue from cocoon</t>
  </si>
  <si>
    <t>The LED6V1 is offline and cannot be revived</t>
  </si>
  <si>
    <t>NCR1244</t>
  </si>
  <si>
    <t>semi-permanent coupler grounding bolt missing</t>
  </si>
  <si>
    <t>NCR1243</t>
  </si>
  <si>
    <t>Train is not getting sleep through PB from HC2 side.</t>
  </si>
  <si>
    <t>NCR1091</t>
  </si>
  <si>
    <t>HC1&amp;HC2-Sanding rubber hoses missing - 4 nos, clamp - 4pcs.</t>
  </si>
  <si>
    <t>HC2_ Hvac2 Low pressure in Line2</t>
  </si>
  <si>
    <t>HC1 not able to sleep with Push Button</t>
  </si>
  <si>
    <t>TIR1123</t>
  </si>
  <si>
    <t>HC2 not able to sleep with Push Button</t>
  </si>
  <si>
    <t>TIR1319</t>
  </si>
  <si>
    <t>Not moving in uto with cab 1 active</t>
  </si>
  <si>
    <t>TIR1295</t>
  </si>
  <si>
    <t>HC1_Bogie 2 Right Side – WSP cable was found damaged</t>
  </si>
  <si>
    <t>NCR1067</t>
  </si>
  <si>
    <t>led1_V2 physically off condition and offline</t>
  </si>
  <si>
    <t>NCR1219</t>
  </si>
  <si>
    <t>NCR1278</t>
  </si>
  <si>
    <t>HC1_Door no.4 have an  issue getting closed instandly without delay</t>
  </si>
  <si>
    <t>NCR1247</t>
  </si>
  <si>
    <t>Hc2- Both Derailment sensor and earth cable clamp missing</t>
  </si>
  <si>
    <t>NCR1246</t>
  </si>
  <si>
    <t>Network instability ( IOS 244 : MPU lost communcation) will appeared when CRS5_V2 were delay to power on.</t>
  </si>
  <si>
    <t>NCR1164</t>
  </si>
  <si>
    <t>HC1-Bogie2 Left Primary suspension bottom found corrorosion paint scratch</t>
  </si>
  <si>
    <t>NCR1311</t>
  </si>
  <si>
    <t>NCR1291</t>
  </si>
  <si>
    <t>Accident at 6E1 station hit cable tray cover</t>
  </si>
  <si>
    <t>Accident at 4E1 station draged extra power cable</t>
  </si>
  <si>
    <t>NCR1124</t>
  </si>
  <si>
    <t>HC1-becon Antenna Cable's clamp missing</t>
  </si>
  <si>
    <t>NCR1137</t>
  </si>
  <si>
    <t>becon Antenna Cable's clamp one screw is missing</t>
  </si>
  <si>
    <t>NCR1272</t>
  </si>
  <si>
    <t>Found one scratch in SWD-4 front cover HC2</t>
  </si>
  <si>
    <t xml:space="preserve"> HC2, PCE-underframe cover one screw need re-tap and after checked found bolt  broken inside.</t>
  </si>
  <si>
    <t>NCR1282</t>
  </si>
  <si>
    <t>NCR1012</t>
  </si>
  <si>
    <t>NCR0430</t>
  </si>
  <si>
    <t>Origin</t>
  </si>
  <si>
    <t>Origin doc ref</t>
  </si>
  <si>
    <t>EQT</t>
  </si>
  <si>
    <t>SAF</t>
  </si>
  <si>
    <t>Train Incident Report Summary</t>
  </si>
  <si>
    <t>MER Reference</t>
  </si>
  <si>
    <t>TIR PIC</t>
  </si>
  <si>
    <t>TIR0002</t>
  </si>
  <si>
    <t>Preventive Maintenance</t>
  </si>
  <si>
    <t>PM1622</t>
  </si>
  <si>
    <t>Ledi4-V1 display nok</t>
  </si>
  <si>
    <t>Corrected</t>
  </si>
  <si>
    <t>Closed</t>
  </si>
  <si>
    <t/>
  </si>
  <si>
    <t>Update software manually and test Ok</t>
  </si>
  <si>
    <t>TIR0005</t>
  </si>
  <si>
    <t>PM1624</t>
  </si>
  <si>
    <t>Checked  online and display OK</t>
  </si>
  <si>
    <t>TIR0006</t>
  </si>
  <si>
    <t>Gangway lights NOK in both cab</t>
  </si>
  <si>
    <t xml:space="preserve">After the Adjustment of output Dc converter working fine  </t>
  </si>
  <si>
    <t>TIR0007</t>
  </si>
  <si>
    <t>PM1625</t>
  </si>
  <si>
    <t>HC2 Saloon Lights covers NOK</t>
  </si>
  <si>
    <t>Fixed the light cover</t>
  </si>
  <si>
    <t>TIR0009</t>
  </si>
  <si>
    <t>PM1626</t>
  </si>
  <si>
    <t>HC2 Swd2 display half ( NOK)</t>
  </si>
  <si>
    <t>TIR0010</t>
  </si>
  <si>
    <t>PM1627</t>
  </si>
  <si>
    <t>See TIR168-TIR172</t>
  </si>
  <si>
    <t>TIR0013</t>
  </si>
  <si>
    <t>HC2- Palm Tree 3 lights dim.</t>
  </si>
  <si>
    <t>110v to 24v DC converter output emergency Switch was on worng position it should be on 100%</t>
  </si>
  <si>
    <t>TIR0004</t>
  </si>
  <si>
    <t>PM1623</t>
  </si>
  <si>
    <t>TIR0008</t>
  </si>
  <si>
    <t>HC2 Under seat fire extinguisher bracket &amp; Cylinder not available</t>
  </si>
  <si>
    <t>TIR0001</t>
  </si>
  <si>
    <t>HVAC2-V1 lost communication.</t>
  </si>
  <si>
    <t>NFF</t>
  </si>
  <si>
    <t>HEATING, VENTILATION &amp; AIR CONDITIONING</t>
  </si>
  <si>
    <t>TIR0003</t>
  </si>
  <si>
    <t>HC1 Horn volume is low</t>
  </si>
  <si>
    <t>Horn volume is good in both CAB</t>
  </si>
  <si>
    <t>TIR1008</t>
  </si>
  <si>
    <t>PM1628</t>
  </si>
  <si>
    <t>HC1 Swd2 display half (NOK)</t>
  </si>
  <si>
    <t>Not Started</t>
  </si>
  <si>
    <t>TIR1009</t>
  </si>
  <si>
    <t>PM1629</t>
  </si>
  <si>
    <t>HC1 Ledi2 display NOK</t>
  </si>
  <si>
    <t>TIR0014</t>
  </si>
  <si>
    <t>PM1630</t>
  </si>
  <si>
    <t>HC1- Saloon lights NOK</t>
  </si>
  <si>
    <t>Fixed the light cover and all lights are working fine</t>
  </si>
  <si>
    <t>TIR0015</t>
  </si>
  <si>
    <t>PM1632</t>
  </si>
  <si>
    <t>LCD3-V1 offline and display also NOK</t>
  </si>
  <si>
    <t>updated software manually,cheched online and display  ok</t>
  </si>
  <si>
    <t>TIR0016</t>
  </si>
  <si>
    <t>HC2 Saloon lights covers NOK</t>
  </si>
  <si>
    <t>we fixed light cover</t>
  </si>
  <si>
    <t>TIR0018</t>
  </si>
  <si>
    <t>PM1633</t>
  </si>
  <si>
    <t>LCD1-V1 offline and display also NOK</t>
  </si>
  <si>
    <t>TIR0020</t>
  </si>
  <si>
    <t>PM1634</t>
  </si>
  <si>
    <t>HC2 Electrical coupler one spring missing</t>
  </si>
  <si>
    <t>take the Spring from damaged coupler and fixed</t>
  </si>
  <si>
    <t>TIR0021</t>
  </si>
  <si>
    <t>HC2 { LEDI4,LCD4,SWD4} IP offline</t>
  </si>
  <si>
    <t>Checked all devices online and display OK</t>
  </si>
  <si>
    <t>TIR0019</t>
  </si>
  <si>
    <t>HC1 Door1 glass found minor cracked</t>
  </si>
  <si>
    <t>Corrective Action Required</t>
  </si>
  <si>
    <t>TIR1010</t>
  </si>
  <si>
    <t>HVAC1-V2 Exhaust air fan high faulty.</t>
  </si>
  <si>
    <t>TIR1011</t>
  </si>
  <si>
    <t>PM1636</t>
  </si>
  <si>
    <t>STE local support working on this issue, all LED were ok. Remaining SWD1_V1 dataplug were wrongly installed_done(03/03)</t>
  </si>
  <si>
    <t>Public Address and Communication Information System (PACIS)</t>
  </si>
  <si>
    <t>TIR1012</t>
  </si>
  <si>
    <t>HVAC2-V2 Low pressure1 reported ( Compressor1&amp;2)</t>
  </si>
  <si>
    <t>TIR1013</t>
  </si>
  <si>
    <t>PM1637</t>
  </si>
  <si>
    <t>TIR0025</t>
  </si>
  <si>
    <t>PM1638</t>
  </si>
  <si>
    <t>Condenser fan fault(DF-1021-CDFL  and DF-1022_CDFH) 28/11/21 – Check the condenser fan itself not working. Replaced new condenser fan then tested, OK.</t>
  </si>
  <si>
    <t>TIR0026</t>
  </si>
  <si>
    <t>PM1639</t>
  </si>
  <si>
    <t>Updated again software manually and test it online and display OK</t>
  </si>
  <si>
    <t>TIR0028</t>
  </si>
  <si>
    <t>PM1640</t>
  </si>
  <si>
    <t>TIR0029</t>
  </si>
  <si>
    <t>PM1641</t>
  </si>
  <si>
    <t>TIR0030</t>
  </si>
  <si>
    <t>PM1643</t>
  </si>
  <si>
    <t>TIR0027</t>
  </si>
  <si>
    <t>HC1 Door-6 glass minor cracked</t>
  </si>
  <si>
    <t>TIR0033</t>
  </si>
  <si>
    <t>PM1645</t>
  </si>
  <si>
    <t>HC2 Bogie2 Left Fuse box glass minor cracked</t>
  </si>
  <si>
    <t>27/12 : Fuse box glass cracked. Need to replace. No spare available</t>
  </si>
  <si>
    <t>TIR1014</t>
  </si>
  <si>
    <t>PM1644</t>
  </si>
  <si>
    <t>Under Investigation</t>
  </si>
  <si>
    <t>STE local support working on this issues (03/03).</t>
  </si>
  <si>
    <t>TIR1015</t>
  </si>
  <si>
    <t>TIR0037</t>
  </si>
  <si>
    <t>PM1647</t>
  </si>
  <si>
    <t>HC2-Palm tree # 1 lights NOK</t>
  </si>
  <si>
    <t>After ripeared tha LED strip working fine now</t>
  </si>
  <si>
    <t>TIR0034</t>
  </si>
  <si>
    <t>PM1646</t>
  </si>
  <si>
    <t>HC1- Wiper broken.</t>
  </si>
  <si>
    <t>TIR0035</t>
  </si>
  <si>
    <t>TS601 HC2-Axle 2 leakage found from the spring brake part</t>
  </si>
  <si>
    <t>BOGIES &amp; SUSPENSION</t>
  </si>
  <si>
    <t>Bogie: Tread brake unit with parking brake</t>
  </si>
  <si>
    <t>Yes</t>
  </si>
  <si>
    <t>TIR0036</t>
  </si>
  <si>
    <t>HC2- Saloon lights NOK</t>
  </si>
  <si>
    <t>TIR0038</t>
  </si>
  <si>
    <t>PM1649</t>
  </si>
  <si>
    <t>HVAC1-V1 Abnormal sound coming from compressors.</t>
  </si>
  <si>
    <t>Checked compressor by compressor no vibration found, GP level Ok, We need life line certificate to access roof of the train, need more investigation</t>
  </si>
  <si>
    <t>TIR1016</t>
  </si>
  <si>
    <t>PM1652</t>
  </si>
  <si>
    <t>IP Offline and Display also NOK { Ledi4-V1, Swd2-V1 }</t>
  </si>
  <si>
    <t>TIR1017</t>
  </si>
  <si>
    <t>PM1653</t>
  </si>
  <si>
    <t>Display Status { Ledi4-V2 - NOK }</t>
  </si>
  <si>
    <t>TIR1018</t>
  </si>
  <si>
    <t>PM1654</t>
  </si>
  <si>
    <t>Display Status { Lcd6-V1 - Dim }</t>
  </si>
  <si>
    <t>Checked and no dim issue observed.</t>
  </si>
  <si>
    <t>TIR1019</t>
  </si>
  <si>
    <t>HVAC2-V2 Low Pressure 1 NOK ( Compressor 1&amp;2 )</t>
  </si>
  <si>
    <t>TIR0043</t>
  </si>
  <si>
    <t>8D</t>
  </si>
  <si>
    <t>NA</t>
  </si>
  <si>
    <t xml:space="preserve">Doors unlocked issue </t>
  </si>
  <si>
    <t>NCR309</t>
  </si>
  <si>
    <t>TIR0044</t>
  </si>
  <si>
    <t>NCR310</t>
  </si>
  <si>
    <t>TIR0045</t>
  </si>
  <si>
    <t>NCR311</t>
  </si>
  <si>
    <t>TIR0046</t>
  </si>
  <si>
    <t>NCR312</t>
  </si>
  <si>
    <t>TIR0047</t>
  </si>
  <si>
    <t>NCR313</t>
  </si>
  <si>
    <t>TIR0048</t>
  </si>
  <si>
    <t>Testing</t>
  </si>
  <si>
    <t>NCR314</t>
  </si>
  <si>
    <t>TIR0050</t>
  </si>
  <si>
    <t>Mainline running</t>
  </si>
  <si>
    <t>NCR315</t>
  </si>
  <si>
    <t>TIR0051</t>
  </si>
  <si>
    <t>IOS274: Communication Loss of CRS. We found CRS42 HC_2 is totally death and unable to recover manually</t>
  </si>
  <si>
    <t>NCR316</t>
  </si>
  <si>
    <t>TIR0052</t>
  </si>
  <si>
    <t>NCR317</t>
  </si>
  <si>
    <t>TIR0053</t>
  </si>
  <si>
    <t>CRS4_V2 offline</t>
  </si>
  <si>
    <t>NCR318</t>
  </si>
  <si>
    <t>TIR0055</t>
  </si>
  <si>
    <t>TOM issue</t>
  </si>
  <si>
    <t>TIR0049</t>
  </si>
  <si>
    <t>Depot Movement</t>
  </si>
  <si>
    <t>N/A</t>
  </si>
  <si>
    <t>Traction issue</t>
  </si>
  <si>
    <t>TIR0054</t>
  </si>
  <si>
    <t>TS651 (coupled train) moved in UTO with one train door opened</t>
  </si>
  <si>
    <t>TIR0057</t>
  </si>
  <si>
    <t>NCR321</t>
  </si>
  <si>
    <t>TIR0058</t>
  </si>
  <si>
    <t>TIR0060</t>
  </si>
  <si>
    <t>PM1684</t>
  </si>
  <si>
    <t>TIR0059</t>
  </si>
  <si>
    <t>TS417 stuck at neutral sec</t>
  </si>
  <si>
    <t>TIR1020</t>
  </si>
  <si>
    <t>Quality alert</t>
  </si>
  <si>
    <t>All</t>
  </si>
  <si>
    <t>Harting brake connector improperly locked</t>
  </si>
  <si>
    <t>TIR0061</t>
  </si>
  <si>
    <t>TOM issue : IOS 191 and F_N VR1Lostcom</t>
  </si>
  <si>
    <t>TIR0064</t>
  </si>
  <si>
    <t>Mail</t>
  </si>
  <si>
    <t>NCR342</t>
  </si>
  <si>
    <t>TIR0063</t>
  </si>
  <si>
    <t>6/12/2021 : No Issues observed after monitoring.</t>
  </si>
  <si>
    <t>TIR0065</t>
  </si>
  <si>
    <t>TIR0066</t>
  </si>
  <si>
    <t>Performed test and checked MPU logs, found while daily brake test in progress. EAD were activated and EB applied.</t>
  </si>
  <si>
    <t>TIR0067</t>
  </si>
  <si>
    <t>Updated the pei software and online. To test </t>
  </si>
  <si>
    <t>TIR0068</t>
  </si>
  <si>
    <t>TIR0069</t>
  </si>
  <si>
    <t>NCR345</t>
  </si>
  <si>
    <t>TIR0070</t>
  </si>
  <si>
    <t>Updated pei software and no more IOS196 report</t>
  </si>
  <si>
    <t>TIR0071</t>
  </si>
  <si>
    <t>IOS039 and IOS040 (temperature excedding treshold 1 and 2) reported by train 407</t>
  </si>
  <si>
    <t>NCR330</t>
  </si>
  <si>
    <t>TIR0072</t>
  </si>
  <si>
    <t>TIR0073</t>
  </si>
  <si>
    <t>16/11 : Train in mainline today and no issue reported.</t>
  </si>
  <si>
    <t>TIR0074</t>
  </si>
  <si>
    <t>NCR335 </t>
  </si>
  <si>
    <t>Checked and confirmed E2 port have communication issue. </t>
  </si>
  <si>
    <t>TIR0075</t>
  </si>
  <si>
    <t>16/11 : Train checked in the workshop : Train woke up and asleep 5 times =&gt; we have communication with all HVAC. There is no IOS250.</t>
  </si>
  <si>
    <t>TIR0076</t>
  </si>
  <si>
    <t>NCR332</t>
  </si>
  <si>
    <t xml:space="preserve">we replaced the DCU because it was offline </t>
  </si>
  <si>
    <t>TIR0078</t>
  </si>
  <si>
    <t>Reset it and SWD display OK.</t>
  </si>
  <si>
    <t>TIR0079</t>
  </si>
  <si>
    <t>NCR336</t>
  </si>
  <si>
    <t> Replaced TCCU1 and PEI1-V1 and to test</t>
  </si>
  <si>
    <t>TIR0080</t>
  </si>
  <si>
    <t>Checked and confirmed both PEI E1,E2 port have communication issue. </t>
  </si>
  <si>
    <t>TIR0081</t>
  </si>
  <si>
    <t>Updated TCCU1 software and to test </t>
  </si>
  <si>
    <t>TIR0082</t>
  </si>
  <si>
    <t>NCR319</t>
  </si>
  <si>
    <t>PEI3_V2 communication not stable due to software file bad installation. Issue checked and recover by STE Local support and we will monitor it.</t>
  </si>
  <si>
    <t>TIR0083</t>
  </si>
  <si>
    <t>TIR0084</t>
  </si>
  <si>
    <t>Updated TCCU1 software and no more report</t>
  </si>
  <si>
    <t>TIR0085</t>
  </si>
  <si>
    <t>TIR0077</t>
  </si>
  <si>
    <t>TIR0086</t>
  </si>
  <si>
    <t>XXXX</t>
  </si>
  <si>
    <t>Confirmed SLV</t>
  </si>
  <si>
    <t>TIR0087</t>
  </si>
  <si>
    <t>T612 report IOS253, The EVR have a communication fault</t>
  </si>
  <si>
    <t>The issue is solved after we update evr software.</t>
  </si>
  <si>
    <t>TIR0088</t>
  </si>
  <si>
    <t>TIR0089</t>
  </si>
  <si>
    <t>NCR338</t>
  </si>
  <si>
    <t>TIR0090</t>
  </si>
  <si>
    <t>IOS226 : Loss of traction and ED brake on one PCE.</t>
  </si>
  <si>
    <t>NCR344</t>
  </si>
  <si>
    <t>25/11/2021 : Isseu rectified, cable for discharging were wrongly connected.</t>
  </si>
  <si>
    <t>TIR0091</t>
  </si>
  <si>
    <t>IOS191 : Loss of video recorder.</t>
  </si>
  <si>
    <t>TIR0103</t>
  </si>
  <si>
    <t>RMDT</t>
  </si>
  <si>
    <t xml:space="preserve">SLV issue , issue is happen during ATC master changeover </t>
  </si>
  <si>
    <t>TIR0092</t>
  </si>
  <si>
    <t>IOS264:more than one UMC have a communication fault</t>
  </si>
  <si>
    <t>NCR339</t>
  </si>
  <si>
    <t>Found HC2 CRS42 fail to power up.Replaced a new CRS and test OK</t>
  </si>
  <si>
    <t>TIR0096</t>
  </si>
  <si>
    <t>TIR0097</t>
  </si>
  <si>
    <t>TIR0098</t>
  </si>
  <si>
    <t>See TIR205</t>
  </si>
  <si>
    <t>TIR0099</t>
  </si>
  <si>
    <t>SWD1_V1 is offline and LCD2_V1 &amp; LCD2_V2 are dim</t>
  </si>
  <si>
    <t>after manually update all now working fine</t>
  </si>
  <si>
    <t>TIR0100</t>
  </si>
  <si>
    <t>after manually update now working fine</t>
  </si>
  <si>
    <t>TIR0101</t>
  </si>
  <si>
    <t>HVAC 1_V2 fault</t>
  </si>
  <si>
    <t>TIR0102</t>
  </si>
  <si>
    <t>TIR0095</t>
  </si>
  <si>
    <t>TIR0093</t>
  </si>
  <si>
    <t>CM</t>
  </si>
  <si>
    <t>HC1 Horn not working</t>
  </si>
  <si>
    <t>Horn connector not proeprly connected</t>
  </si>
  <si>
    <t>TIR1022</t>
  </si>
  <si>
    <t>TIR0104</t>
  </si>
  <si>
    <t xml:space="preserve">PEI4_V1 fault, lost com, </t>
  </si>
  <si>
    <t>Updated software still pei lost communication. Replaced a new one and test ok.</t>
  </si>
  <si>
    <t>TIR0105</t>
  </si>
  <si>
    <t>NCR373</t>
  </si>
  <si>
    <t>TIR0106</t>
  </si>
  <si>
    <t>PEI2_V1,PEI1_V2,PEI3_V2,PEI5_V2</t>
  </si>
  <si>
    <t>TIR0108</t>
  </si>
  <si>
    <t>Door #1 hc2 Found cable mechanically not connected in proper pulley</t>
  </si>
  <si>
    <t>TIR0107</t>
  </si>
  <si>
    <t>Red light Door3 V1</t>
  </si>
  <si>
    <t>TIR0109</t>
  </si>
  <si>
    <t>NCR343</t>
  </si>
  <si>
    <t>Checekd and found NVR HDD1 faulty since 19/7/2021. Swapped HDD and confirmed HDD malfunction, already replaced and test it.</t>
  </si>
  <si>
    <t>TIR0110</t>
  </si>
  <si>
    <t>Checked and confirmed that BRIO 72A32 faulty (Analog input and output) failure. Need to replace.</t>
  </si>
  <si>
    <t>Reliability Review</t>
  </si>
  <si>
    <t>Brake test failed</t>
  </si>
  <si>
    <t>TIR0112</t>
  </si>
  <si>
    <t>PEI5-V1 NOK from ISM</t>
  </si>
  <si>
    <t>Updated PEI software and PEI status is good in ISM side,</t>
  </si>
  <si>
    <t>TIR0213</t>
  </si>
  <si>
    <t>CVS1 faulty when CVS in reversible mode, this issues will be rectifiied when new CVS software recived. CVS2 also have reversible issue, but this issue come from the battery voltage battery low due to temperature sensor very high (800 degress), so batery will not charging properly.</t>
  </si>
  <si>
    <t>TIR0113</t>
  </si>
  <si>
    <t xml:space="preserve">CB 61Q05 trip during rescue coupling </t>
  </si>
  <si>
    <t>During the Rescue coupling they coupled 612HC2 and 610HC1 side the problem we found in 612 HC2. two cables was cross in PB+RP3(WF00105\108 and WF00103_01\107)</t>
  </si>
  <si>
    <t>TIR1030</t>
  </si>
  <si>
    <t>TIR0115</t>
  </si>
  <si>
    <t>IOS179 + IOS185</t>
  </si>
  <si>
    <t>Found ACE2 has critical faults, after reset no more IOSs.</t>
  </si>
  <si>
    <t>TIR0119</t>
  </si>
  <si>
    <t>TIR0121</t>
  </si>
  <si>
    <t xml:space="preserve">Both TCCU have not same software </t>
  </si>
  <si>
    <t>Updated both TCCU to STR570 verstion</t>
  </si>
  <si>
    <t>TIR0122</t>
  </si>
  <si>
    <t xml:space="preserve">WSP + Holding brake issue </t>
  </si>
  <si>
    <t>NCR350</t>
  </si>
  <si>
    <t>05/12 : A-MATRIC of train 604 replaced and programmed.</t>
  </si>
  <si>
    <t>TIR0123</t>
  </si>
  <si>
    <t>Alarm Viewer Alarms Report</t>
  </si>
  <si>
    <t>IOS196 " PEI of line "</t>
  </si>
  <si>
    <t>Updated the pei software and online</t>
  </si>
  <si>
    <t>TIR0118</t>
  </si>
  <si>
    <t>IOS227</t>
  </si>
  <si>
    <t>NCR409</t>
  </si>
  <si>
    <t>TIR0125</t>
  </si>
  <si>
    <t>Updaed software manually and test ok</t>
  </si>
  <si>
    <t>TIR0126</t>
  </si>
  <si>
    <t>IOS179 + IOS180</t>
  </si>
  <si>
    <t>NCR348</t>
  </si>
  <si>
    <t>CVS1 faulty due to HVAC2_V1 compressor fault and HVAC1_V1 ventilation fault (overcurrent). Switch off HVAC 52Q06 CB and reset CVS1, CVS working normal.Nedd to checked HVAC compressor.</t>
  </si>
  <si>
    <t>TIR0114</t>
  </si>
  <si>
    <t>No issue found</t>
  </si>
  <si>
    <t>TIR0116</t>
  </si>
  <si>
    <t>IOS061 + IOS071</t>
  </si>
  <si>
    <t>Found EAD2_V2’s key not in proper position. After normalized it no more IOSs.</t>
  </si>
  <si>
    <t>TIR0117</t>
  </si>
  <si>
    <t>TIR0120</t>
  </si>
  <si>
    <t>Train communication issue see in the log</t>
  </si>
  <si>
    <t>30/12 : Train checked and communication with all equipment ok. Issue happened last 14 November with communication lost with CRS1_V1 first.</t>
  </si>
  <si>
    <t>TIR0127</t>
  </si>
  <si>
    <t xml:space="preserve">Checked and found in PCE2 have minor fault ( F_SWG_CCC_cl) KCCC failed to close, investigation will be continue after train available in workshop.-3/1/2022, checked all wiring and visual including pin for Agate. No issue observed, make test and PCE working normally. </t>
  </si>
  <si>
    <t>TIR1023</t>
  </si>
  <si>
    <t>Checked all PEIs online</t>
  </si>
  <si>
    <t>TIR0128</t>
  </si>
  <si>
    <t>TU4:EB in UTO/ATPM mode</t>
  </si>
  <si>
    <t>NCR349</t>
  </si>
  <si>
    <t>Found one wire W56802 wrongly connected and correct it, and no more EB happened</t>
  </si>
  <si>
    <t>TIR0129</t>
  </si>
  <si>
    <t>Checked the wires are OK, and no issue found, to test it</t>
  </si>
  <si>
    <t>TIR0130</t>
  </si>
  <si>
    <t>NVR fault</t>
  </si>
  <si>
    <t>NCR351</t>
  </si>
  <si>
    <t>NVR lost communication and after checked by STE local support, confirmed NVR lost communication everytime train wake up. NVR will be replaced.</t>
  </si>
  <si>
    <t>TIR0131</t>
  </si>
  <si>
    <t>Checked on 07/12/2021,and follow to  TIR173</t>
  </si>
  <si>
    <t>TIR0132</t>
  </si>
  <si>
    <t>SWD2-V2 offline</t>
  </si>
  <si>
    <t>NCR363</t>
  </si>
  <si>
    <t>TIR0136</t>
  </si>
  <si>
    <t>IOS264 : More than one MUC have a communication fault</t>
  </si>
  <si>
    <t>Update the TCCU2 software and no more ios264</t>
  </si>
  <si>
    <t>TIR0134</t>
  </si>
  <si>
    <t>PM1950</t>
  </si>
  <si>
    <t>TIR0135</t>
  </si>
  <si>
    <t>Hc1- Door4 and Window glass Scratches</t>
  </si>
  <si>
    <t>Reapaired by Painter</t>
  </si>
  <si>
    <t>TIR0140</t>
  </si>
  <si>
    <t>RMDT Report</t>
  </si>
  <si>
    <t>IOS196 : Loss of PEI</t>
  </si>
  <si>
    <t>TIR0137</t>
  </si>
  <si>
    <t>TS612 got stuck at stabling 2 entrance</t>
  </si>
  <si>
    <t>TIR0138</t>
  </si>
  <si>
    <t>07/12 : From MPU log no IOS96 triggered. Logs checked from 23 november to 7 december.</t>
  </si>
  <si>
    <t>TIR1024</t>
  </si>
  <si>
    <t>PEI2-V1 loss of communication</t>
  </si>
  <si>
    <t>Checked and no issue found</t>
  </si>
  <si>
    <t>TIR1025</t>
  </si>
  <si>
    <t>Checked PEIs all online</t>
  </si>
  <si>
    <t>TIR0141</t>
  </si>
  <si>
    <t>LEDI fail to power up</t>
  </si>
  <si>
    <t>NCR355</t>
  </si>
  <si>
    <t>Replaced a new LEDI and updated software OK</t>
  </si>
  <si>
    <t>TIR0150</t>
  </si>
  <si>
    <t>PM2028</t>
  </si>
  <si>
    <t>HC2-RHS Saloon lights Dim.</t>
  </si>
  <si>
    <t xml:space="preserve">110v to 24v DC converter output emergency Switch in 3 coverter was on worng position it should be on 100% </t>
  </si>
  <si>
    <t>TIR0154</t>
  </si>
  <si>
    <t>PM2026</t>
  </si>
  <si>
    <t>hc1 axle 3 oil level low hc2 axle 2 oil level low</t>
  </si>
  <si>
    <t xml:space="preserve">08/12 : visual inspection done. No leakage found, need to normalize the oil level. All other axle are close to the low level also. </t>
  </si>
  <si>
    <t>TIR0155</t>
  </si>
  <si>
    <t>HC1-CAB LIGHT DIM ,                                                                                                                                                       HC1-GANGWAY LIGHT DIM</t>
  </si>
  <si>
    <t>TIR0156</t>
  </si>
  <si>
    <t>PM2025</t>
  </si>
  <si>
    <t>HC1- Cab light Dim, HC1&amp;2-GANGWAY LIGHT DIM</t>
  </si>
  <si>
    <t>TIR0166</t>
  </si>
  <si>
    <t>Ledi6_V2 - blank</t>
  </si>
  <si>
    <t>Updated software manuall and test OK</t>
  </si>
  <si>
    <t>TIR0168</t>
  </si>
  <si>
    <t>TIR0169</t>
  </si>
  <si>
    <t>IOS226: Loss of traction and ED brake on one PCE</t>
  </si>
  <si>
    <t>NCR399</t>
  </si>
  <si>
    <t>Checked and found same issue with 404, logs already send and waiting for feedback. SW09</t>
  </si>
  <si>
    <t>TIR0143</t>
  </si>
  <si>
    <t xml:space="preserve">it was reported that train has a issue with ATC odometer in HC2. The odometer doesn't initialize when the train is moving. </t>
  </si>
  <si>
    <t>TIR0145</t>
  </si>
  <si>
    <t>PM2030</t>
  </si>
  <si>
    <t>HC1-GCR saloon light not lit</t>
  </si>
  <si>
    <t>TIR0146</t>
  </si>
  <si>
    <t>HC1-stinger cap cover broken</t>
  </si>
  <si>
    <t>TIR0148</t>
  </si>
  <si>
    <t>1.HVAC-Roof Panel gap filler  plate not fixed(near to Gangway)</t>
  </si>
  <si>
    <t>Parts not available</t>
  </si>
  <si>
    <t>TIR0151</t>
  </si>
  <si>
    <t>PM2027</t>
  </si>
  <si>
    <t xml:space="preserve">HC2-Bogie1_Axle2 minor air leakage </t>
  </si>
  <si>
    <t>TIR0152</t>
  </si>
  <si>
    <t>TIR0158</t>
  </si>
  <si>
    <t>HC1- Electrical Coupler NOK. ( Required Fasteners ).</t>
  </si>
  <si>
    <t>Waiting for spare part.</t>
  </si>
  <si>
    <t>TIR0160</t>
  </si>
  <si>
    <t>PM2031</t>
  </si>
  <si>
    <t>Gangway lights Dim in Hc1 and Hc2,working inversely</t>
  </si>
  <si>
    <t>TIR0161</t>
  </si>
  <si>
    <t>HC1 Bogie2 Right- Fuse box glass minor cracked.</t>
  </si>
  <si>
    <t>TIR0162</t>
  </si>
  <si>
    <t>T608_HC2_AGTU filter locked nut tread damaged.</t>
  </si>
  <si>
    <t>06/12 : need to change it and normalize.</t>
  </si>
  <si>
    <t>TIR0163</t>
  </si>
  <si>
    <t xml:space="preserve">Need to replace </t>
  </si>
  <si>
    <t>TIR0164</t>
  </si>
  <si>
    <t>Sanding rubber hoses missing - 4 nos, clamp - 4pcs. (RIY 000000370)</t>
  </si>
  <si>
    <t xml:space="preserve">Sending hoses need to install </t>
  </si>
  <si>
    <t>TIR0165</t>
  </si>
  <si>
    <t>Train stuck at apron S1 related with IOS 222, 265, 255, 85.</t>
  </si>
  <si>
    <t>TIR0144</t>
  </si>
  <si>
    <t>Door-Inter glass Nok ( not closed and locked)</t>
  </si>
  <si>
    <t>TIR0147</t>
  </si>
  <si>
    <t>HC1-Headligh LHS white led not ok.</t>
  </si>
  <si>
    <t xml:space="preserve">both head light are working fine no issue found </t>
  </si>
  <si>
    <t>TIR0149</t>
  </si>
  <si>
    <t xml:space="preserve">2. Earth cable not fixed between Permanent coupler _Retofit </t>
  </si>
  <si>
    <t>NCR359</t>
  </si>
  <si>
    <t>TIR0153</t>
  </si>
  <si>
    <t>HC1-CAB Headlight Nok(LHS) BLINK,HC2-UNDER seat Light Not lit</t>
  </si>
  <si>
    <t>TIR0157</t>
  </si>
  <si>
    <t>Hc-1, Axle- 03, oil level low . Hc-1, Axle- 4, oil level low</t>
  </si>
  <si>
    <t>06/12 : Axle checked and level is low. All others axle are marked with FULL OF OIL and level is OK. Need to normalize the oil for theses axle. No issue found.</t>
  </si>
  <si>
    <t>TIR0167</t>
  </si>
  <si>
    <t>Check logs in the webScope for ACE2 shown the CVS locked due to reversible mode failure.Waiting for CVS software.</t>
  </si>
  <si>
    <t>TIR1026</t>
  </si>
  <si>
    <t>fake derailment alarm in case of coupling.</t>
  </si>
  <si>
    <t xml:space="preserve">CR TCMS to open </t>
  </si>
  <si>
    <t>TIR1027</t>
  </si>
  <si>
    <t>IP offline [ HC1{ Pei5, ]  HC2-SWD.3 NOK</t>
  </si>
  <si>
    <t>TIR0171</t>
  </si>
  <si>
    <t>TIR0172</t>
  </si>
  <si>
    <t>TIR0170</t>
  </si>
  <si>
    <t>coupler without electrical coupler cover</t>
  </si>
  <si>
    <t>coupler without electrical coupler cover need to install</t>
  </si>
  <si>
    <t>TIR0173</t>
  </si>
  <si>
    <t>TIR0174</t>
  </si>
  <si>
    <t>TIR0177</t>
  </si>
  <si>
    <t>PM2035</t>
  </si>
  <si>
    <t>Found 3 screw damaged because not proper installed, make new retreat. Palm tree cover refit and done.</t>
  </si>
  <si>
    <t>TIR0178</t>
  </si>
  <si>
    <t>Updated software manually and test OK</t>
  </si>
  <si>
    <t>TIR0183</t>
  </si>
  <si>
    <t>PM2036</t>
  </si>
  <si>
    <t xml:space="preserve">  Display status [ HC2-LCD2-NOK]</t>
  </si>
  <si>
    <t>TIR0185</t>
  </si>
  <si>
    <t>PM2037</t>
  </si>
  <si>
    <t>DISPLAY -HC2-LCD.2 offline NOK</t>
  </si>
  <si>
    <t>NCR411</t>
  </si>
  <si>
    <t>TIR0187</t>
  </si>
  <si>
    <t>PM2040</t>
  </si>
  <si>
    <t>HC2 - Saloon lights Dim.</t>
  </si>
  <si>
    <t xml:space="preserve">After 110v To 24v coverter output setting now working fine. </t>
  </si>
  <si>
    <t>TIR0188</t>
  </si>
  <si>
    <t>See TIR171</t>
  </si>
  <si>
    <t>TIR0189</t>
  </si>
  <si>
    <t>HC2 - flange lubricator screw tighten without saftey pin lock</t>
  </si>
  <si>
    <t xml:space="preserve">21/12 : One Safety pin lock missing. Normalized by putting new one </t>
  </si>
  <si>
    <t>TIR0192</t>
  </si>
  <si>
    <t>PM2041</t>
  </si>
  <si>
    <t>TIR0193</t>
  </si>
  <si>
    <t>PM2042</t>
  </si>
  <si>
    <t>HC1-SWD3,LEDI3</t>
  </si>
  <si>
    <t>TIR0194</t>
  </si>
  <si>
    <t>PM2043</t>
  </si>
  <si>
    <t>TIR0195</t>
  </si>
  <si>
    <t>PM2044</t>
  </si>
  <si>
    <t xml:space="preserve">Display status: SWD6 -HC1 ,SWD1-HC2 </t>
  </si>
  <si>
    <t>Checked the SWD display OK and Online</t>
  </si>
  <si>
    <t>TIR0175</t>
  </si>
  <si>
    <t>PM2033</t>
  </si>
  <si>
    <t>Earthing cable is not connected between permanent coupler</t>
  </si>
  <si>
    <t>TIR0179</t>
  </si>
  <si>
    <t>HC2 Bogie1 LHS Fuse box glass minor cracked.</t>
  </si>
  <si>
    <t>NCR415</t>
  </si>
  <si>
    <t>TIR0180</t>
  </si>
  <si>
    <t>Jumper MV cable's holding support Plate Not available</t>
  </si>
  <si>
    <t>NCR416</t>
  </si>
  <si>
    <t>TIR0181</t>
  </si>
  <si>
    <t>HC2-Saloon Light nok</t>
  </si>
  <si>
    <t>TIR0182</t>
  </si>
  <si>
    <t>Gangway light mounting nok,there is a gap</t>
  </si>
  <si>
    <t>TIR0184</t>
  </si>
  <si>
    <t>HC2 Wiper broken.</t>
  </si>
  <si>
    <t>TIR0186</t>
  </si>
  <si>
    <t>PM2038</t>
  </si>
  <si>
    <t>HC2-Single Class Fire extingusher not available</t>
  </si>
  <si>
    <t>TIR0190</t>
  </si>
  <si>
    <t>HC1 AXEL 1,2,3 GEAR BOX OIL LEVEL LOW</t>
  </si>
  <si>
    <t>21/12 : leakage found from the inspection cover (gearbox) Axle 2 HC1</t>
  </si>
  <si>
    <t>TIR0191</t>
  </si>
  <si>
    <t>we fixed other issue but Cab light need to be replaced the Converter 110v to 24v</t>
  </si>
  <si>
    <t>TIR0197</t>
  </si>
  <si>
    <t>NCR0378 NCR0379</t>
  </si>
  <si>
    <t>TIR0198</t>
  </si>
  <si>
    <t>HC2 Axle 4 found minor leakage from the gearbox.</t>
  </si>
  <si>
    <t>4/1/2022 - NCR create for the drain plug O-ring.</t>
  </si>
  <si>
    <t>TIR0199</t>
  </si>
  <si>
    <t>PM2045</t>
  </si>
  <si>
    <t>Sand hose not available in both HC.</t>
  </si>
  <si>
    <t>7/12 : NCR open. Waiting the availaibility of parts</t>
  </si>
  <si>
    <t>PM2034</t>
  </si>
  <si>
    <t>HC1-Axle1&amp;2 Gear box oil level low</t>
  </si>
  <si>
    <t>02/14 : checked and no leakage found. Need to normalize, level very low for the axle2 Hc1. need to check also for 606 axle 1,3,4 Hc1 and axle3 hc2 level low.</t>
  </si>
  <si>
    <t>TIR1029</t>
  </si>
  <si>
    <t>HVAC -Venting error</t>
  </si>
  <si>
    <t>TIR0203</t>
  </si>
  <si>
    <t>SWD5-V1 half display</t>
  </si>
  <si>
    <t>NCR374</t>
  </si>
  <si>
    <t>Updated again software manually,and replaced a card inside SWD,  and OK</t>
  </si>
  <si>
    <t>TIR0205</t>
  </si>
  <si>
    <t>PM2048</t>
  </si>
  <si>
    <t>Updated the software and they online, display OK.</t>
  </si>
  <si>
    <t>TIR0202</t>
  </si>
  <si>
    <t>T601_HC2- missing of sand filter assembly</t>
  </si>
  <si>
    <t>12/12 : Confirmed part is missing. Need to normalize. Waiting to confirm the availablity of components from faively.</t>
  </si>
  <si>
    <t>TIR0204</t>
  </si>
  <si>
    <t>HC1 Headlight one white led not ok.</t>
  </si>
  <si>
    <t>TIR0207</t>
  </si>
  <si>
    <t>PM2052</t>
  </si>
  <si>
    <t>HC2- Head Light Nok(LHS 1 white LED not lit)</t>
  </si>
  <si>
    <t>TIR0208</t>
  </si>
  <si>
    <t>PM2053</t>
  </si>
  <si>
    <t xml:space="preserve">TCN NOK -several devices are  communcation fail </t>
  </si>
  <si>
    <t>TIR0209</t>
  </si>
  <si>
    <t>PM2050</t>
  </si>
  <si>
    <t>TIR0210</t>
  </si>
  <si>
    <t>PM2051</t>
  </si>
  <si>
    <t>Semi permanent coupler earthing bolt is missing.</t>
  </si>
  <si>
    <t>TIR0201</t>
  </si>
  <si>
    <t>IOS148 : IES consistency failure</t>
  </si>
  <si>
    <t>TIR0206</t>
  </si>
  <si>
    <t>HC1-HVAC1 venting error Supply fan 1&amp;2 low and high</t>
  </si>
  <si>
    <t>checked by Ahmed</t>
  </si>
  <si>
    <t>TIR0211</t>
  </si>
  <si>
    <t>PM2049</t>
  </si>
  <si>
    <t>TIR0217</t>
  </si>
  <si>
    <t>PM2055</t>
  </si>
  <si>
    <t>HC1- underframe cable no.W07324  ground not connected</t>
  </si>
  <si>
    <t xml:space="preserve">23/12 : Bolt was missing. Normalize by putting new one with 2 washer. </t>
  </si>
  <si>
    <t>TIR0219</t>
  </si>
  <si>
    <t>PM2056</t>
  </si>
  <si>
    <t>TIR0222</t>
  </si>
  <si>
    <t>PM2057</t>
  </si>
  <si>
    <t>NCR419</t>
  </si>
  <si>
    <t>TIR0224</t>
  </si>
  <si>
    <t>PM2058</t>
  </si>
  <si>
    <t>Replaced a new card inside SWD and updated software manually and OK</t>
  </si>
  <si>
    <t>TIR0214</t>
  </si>
  <si>
    <t>PM2054</t>
  </si>
  <si>
    <t>HC1 Bogie1- One HV cable gland missing from the underframe JB.</t>
  </si>
  <si>
    <t>TIR0215</t>
  </si>
  <si>
    <t>TIR0216</t>
  </si>
  <si>
    <t>HC1-Saloon Light NOk.(Near door 4,black spot)</t>
  </si>
  <si>
    <t>TIR0218</t>
  </si>
  <si>
    <t>HC1-Gangway lights DIM   HC2- Some saloon lights not ok and some of them are dim.</t>
  </si>
  <si>
    <t>other issue we fixed but Hc2 saloon light need to be replaced the coverter 110v to 24v</t>
  </si>
  <si>
    <t>TIR0220</t>
  </si>
  <si>
    <t>HC2-LHS head light Nok(white one LED)</t>
  </si>
  <si>
    <t>TIR0221</t>
  </si>
  <si>
    <t xml:space="preserve">Gangway light now working fine but RP3 light converter need to replace </t>
  </si>
  <si>
    <t>TIR0223</t>
  </si>
  <si>
    <t>Hc2- gearbox #4oil level below minimum</t>
  </si>
  <si>
    <t>13/12 : leakage found from the inspection cover (gearbox)</t>
  </si>
  <si>
    <t>TIR0228</t>
  </si>
  <si>
    <t>PM2065</t>
  </si>
  <si>
    <t>TCN-Fail  for Netbox,Netmm1.local,netmm2.local,netmm.virt.local-IP offline</t>
  </si>
  <si>
    <t>28/12 : Breakers was OFF. All equipments are online after switch ON the breakers.</t>
  </si>
  <si>
    <t>TIR0225</t>
  </si>
  <si>
    <t>updated software manually and test ok</t>
  </si>
  <si>
    <t>TIR0226</t>
  </si>
  <si>
    <t>LCD6-V2 dark issue</t>
  </si>
  <si>
    <t>Updated LCD software manually and test OK</t>
  </si>
  <si>
    <t>TIR0227</t>
  </si>
  <si>
    <t>HC1 1 bolt ,HC2 2 bolt not available in Becon Antenna</t>
  </si>
  <si>
    <t>27/12 : Bolt missing. DTR sent to check if we have in the warehouse.</t>
  </si>
  <si>
    <t>TIR0229</t>
  </si>
  <si>
    <t>HC1-flange lubricator saftey pin missing</t>
  </si>
  <si>
    <t>27/12 : 2 safety pin missing. spare not available. Waiting to order and normalize by putting the missing part</t>
  </si>
  <si>
    <t>TIR0230</t>
  </si>
  <si>
    <t>IOS275: Communication Loss of CRS 1 (HC1)</t>
  </si>
  <si>
    <t>14/12 : hardware issue coming from DC/DC converter. Need to replace it.</t>
  </si>
  <si>
    <t>TIR0232</t>
  </si>
  <si>
    <t>PM2072</t>
  </si>
  <si>
    <t>HC2 AGTU PLASTIC WASHER BROKEN IN THE HOSE IN AIRDRYER</t>
  </si>
  <si>
    <t>NCR404</t>
  </si>
  <si>
    <t>TIR0234</t>
  </si>
  <si>
    <t>PM2069</t>
  </si>
  <si>
    <t>23/12 : Safety pin missing in both side. No spare available. Need to order and normalize by putting noe one.</t>
  </si>
  <si>
    <t>TIR0233</t>
  </si>
  <si>
    <t>HC1(CVS BOX) GASKET DAMAGE</t>
  </si>
  <si>
    <t>TIR1031</t>
  </si>
  <si>
    <t>PM2068</t>
  </si>
  <si>
    <t>HC-02, celling panel near to gangway screw is not alligned</t>
  </si>
  <si>
    <t>TIR0235</t>
  </si>
  <si>
    <t>SWD4-V2 half display</t>
  </si>
  <si>
    <t>Replaced a card and updated software manually OK</t>
  </si>
  <si>
    <t>TIR0239</t>
  </si>
  <si>
    <t>PM2076</t>
  </si>
  <si>
    <t>HC1-Paration door interglass fail to close (stuck)</t>
  </si>
  <si>
    <t>after the door Adjustments door working fine</t>
  </si>
  <si>
    <t>TIR0240</t>
  </si>
  <si>
    <t>PM2077</t>
  </si>
  <si>
    <t>HC1-Palm Tree 2 Light-Dim</t>
  </si>
  <si>
    <t>set the output of 110V TO 24V coverter now working fine</t>
  </si>
  <si>
    <t>TIR0241</t>
  </si>
  <si>
    <t>IP-ledi4.v1 offline</t>
  </si>
  <si>
    <t>TIR0243</t>
  </si>
  <si>
    <t>HC2 : BOGIE NO 2  -WFL LOCKING SAFETY PIN IS MISSING</t>
  </si>
  <si>
    <t xml:space="preserve">21/12 : Two saftey pin lock missing. Normalized by putting now one </t>
  </si>
  <si>
    <t>TIR0236</t>
  </si>
  <si>
    <t>TIR0244</t>
  </si>
  <si>
    <t>PM2078</t>
  </si>
  <si>
    <t>Display status: lcd4.v1(dim)</t>
  </si>
  <si>
    <t>NCR413</t>
  </si>
  <si>
    <t>TIR0242</t>
  </si>
  <si>
    <t>TIR0245</t>
  </si>
  <si>
    <t>HC1: CVS filter tap screw missing( Tap damage)</t>
  </si>
  <si>
    <t>TIR0246</t>
  </si>
  <si>
    <t>PM2080</t>
  </si>
  <si>
    <t>TIR1032</t>
  </si>
  <si>
    <t>PM2075</t>
  </si>
  <si>
    <t>HC2: WFL (Wheel flange Lubricator) SAFETY PIN IS MISSING( 2 NOS)</t>
  </si>
  <si>
    <t>After Adjustment of door no more noise</t>
  </si>
  <si>
    <t>TIR1034</t>
  </si>
  <si>
    <t>PM2082</t>
  </si>
  <si>
    <t xml:space="preserve">HC2-B2-Axle3 found minor leakage  </t>
  </si>
  <si>
    <t>NCR1034</t>
  </si>
  <si>
    <t>TIR0249</t>
  </si>
  <si>
    <t>NCR402</t>
  </si>
  <si>
    <t>TIR0250</t>
  </si>
  <si>
    <t>SWD2-V1,LEDI3-V1,swd5-v2 dark and offline</t>
  </si>
  <si>
    <t>NCR400</t>
  </si>
  <si>
    <t>TIR0248</t>
  </si>
  <si>
    <t>LCD6-V2 deem issue</t>
  </si>
  <si>
    <t>TIR0251</t>
  </si>
  <si>
    <t>PM2086</t>
  </si>
  <si>
    <t>HC2-DOOR2 indication not lit</t>
  </si>
  <si>
    <t>TIR0253</t>
  </si>
  <si>
    <t>HC2-Sleep push button not working.</t>
  </si>
  <si>
    <t>TIR0252</t>
  </si>
  <si>
    <t>HC2-Under seat Light not Lit in the  first class</t>
  </si>
  <si>
    <t>TIR0255</t>
  </si>
  <si>
    <t>IOS071</t>
  </si>
  <si>
    <t>EAD not correctly use</t>
  </si>
  <si>
    <t>TIR0254</t>
  </si>
  <si>
    <t>IOS14 : 19 Oct 2021</t>
  </si>
  <si>
    <t>TIR0256</t>
  </si>
  <si>
    <t>IOS084 : sleeping relays discordance</t>
  </si>
  <si>
    <t>SLV : ATC live signal issue</t>
  </si>
  <si>
    <t>TIR0259</t>
  </si>
  <si>
    <t>PM team IOS180 : 1 APC major failure</t>
  </si>
  <si>
    <t>TIR0261</t>
  </si>
  <si>
    <t>PM2095</t>
  </si>
  <si>
    <t>HC2:SEALING PANEL ALLEN SCREW MISSING</t>
  </si>
  <si>
    <t xml:space="preserve">fixed the scew no more issue </t>
  </si>
  <si>
    <t>TIR0262</t>
  </si>
  <si>
    <t>PM2096</t>
  </si>
  <si>
    <t>IP-LCD1.V1,LED1.V1,SWD1.V1 OFFLINE Dispaly status_LCD5.V1 white screen</t>
  </si>
  <si>
    <t>TIR0263</t>
  </si>
  <si>
    <t>all issue solved</t>
  </si>
  <si>
    <t>TIR0264</t>
  </si>
  <si>
    <t xml:space="preserve">Fixed the all issue </t>
  </si>
  <si>
    <t>TIR0265</t>
  </si>
  <si>
    <t>led6.v2-IP offline ;  Display status:  swd2.v2(half),swd3.v1(half)</t>
  </si>
  <si>
    <t>SWD3-V1 half display issue, updated software manually and test ok</t>
  </si>
  <si>
    <t>TIR0268</t>
  </si>
  <si>
    <t>PM2099</t>
  </si>
  <si>
    <t xml:space="preserve">one of the bolt is wrong threaded on the converter side panel -didn’t open this panel as we don’t have tapping bit for the M6 bolt          </t>
  </si>
  <si>
    <t>NCR421</t>
  </si>
  <si>
    <t>Replaced the new Srew and fixer</t>
  </si>
  <si>
    <t>TIR0269</t>
  </si>
  <si>
    <t>led light cover not installed (close to RP3 carB).</t>
  </si>
  <si>
    <t>removed out the cover beside and Installed again the cover OK</t>
  </si>
  <si>
    <t>TIR0258</t>
  </si>
  <si>
    <t>TIR0260</t>
  </si>
  <si>
    <t>PM2094</t>
  </si>
  <si>
    <t>HC2-near door3 one seat not closing</t>
  </si>
  <si>
    <t>TIR1036</t>
  </si>
  <si>
    <t>PM2098</t>
  </si>
  <si>
    <t>TIR1037</t>
  </si>
  <si>
    <t>Gangway 2 Locks are missing.</t>
  </si>
  <si>
    <t>TIR0270</t>
  </si>
  <si>
    <t>LCD1-V1 offline and error display;SWD3-V1 offline</t>
  </si>
  <si>
    <t>NCR423</t>
  </si>
  <si>
    <t>TIR0273</t>
  </si>
  <si>
    <t>PM2104</t>
  </si>
  <si>
    <t>TIR0275</t>
  </si>
  <si>
    <t>PM2105</t>
  </si>
  <si>
    <t>Display Status: lcd1.v2(err),swd1.v1(err)</t>
  </si>
  <si>
    <t>TIR1038</t>
  </si>
  <si>
    <t>PM2102</t>
  </si>
  <si>
    <t>Need to fixed nut missing not in stock 02-01-2022</t>
  </si>
  <si>
    <t>TIR1039</t>
  </si>
  <si>
    <t>PM2103</t>
  </si>
  <si>
    <t>IOS85 : Zero velocity fault, discrepancy between ATC and both PCE and BCE</t>
  </si>
  <si>
    <t>TIR1040</t>
  </si>
  <si>
    <t>hc2 sanding reservoir for re-filling (empty)</t>
  </si>
  <si>
    <t>16/02 : level HC1 very low and HC2 also need to normalize</t>
  </si>
  <si>
    <t>TIR1041</t>
  </si>
  <si>
    <t>IOS21 : Minor fault on 1 brake unit</t>
  </si>
  <si>
    <t>NCR1041</t>
  </si>
  <si>
    <t>TIR1042</t>
  </si>
  <si>
    <t>TIR0279</t>
  </si>
  <si>
    <t>PM2109</t>
  </si>
  <si>
    <t>HC1 PANEL 1- 1 ALLEN SCREW MISSING</t>
  </si>
  <si>
    <t xml:space="preserve">fixed the issue </t>
  </si>
  <si>
    <t>TIR0281</t>
  </si>
  <si>
    <t>PM2110</t>
  </si>
  <si>
    <t>HVAC1.V2_loss of communication ;IOS250 : One HVAC have a communication fault</t>
  </si>
  <si>
    <t xml:space="preserve">Checked  by MPU logs and also by train tracer. No issues were observed. </t>
  </si>
  <si>
    <t>TIR0282</t>
  </si>
  <si>
    <t>IOS247 : One ACE have a communication fault;ACE2_loss of communication.</t>
  </si>
  <si>
    <t>Checked before by Zamhuri found KLIX issues cause by fan connection were not installed properly after PM activities. Checked again today 5/1/22 and no isseus observed.</t>
  </si>
  <si>
    <t>TIR0283</t>
  </si>
  <si>
    <t>fixed the screw</t>
  </si>
  <si>
    <t>TIR0284</t>
  </si>
  <si>
    <t>PM2112</t>
  </si>
  <si>
    <t>HC1 PANEL 1 - 1 ALLEN SCREW MISSING</t>
  </si>
  <si>
    <t>issue solved</t>
  </si>
  <si>
    <t>TIR0285</t>
  </si>
  <si>
    <t>HVAC1.V2(NOT successful in MonA TEST PROTCOL)</t>
  </si>
  <si>
    <t>Updated software and test HVAC 4 compressors working ok</t>
  </si>
  <si>
    <t>TIR0286</t>
  </si>
  <si>
    <t>PM2114</t>
  </si>
  <si>
    <t>IOS243 : One TRS Or NETBOX have a communication fault</t>
  </si>
  <si>
    <t>Found CB72Q04 were off.</t>
  </si>
  <si>
    <t>TIR0280</t>
  </si>
  <si>
    <t>hc2 gb#1 leakage</t>
  </si>
  <si>
    <t>TIR0287</t>
  </si>
  <si>
    <t>PM2115</t>
  </si>
  <si>
    <t>TCN NOK -several devices are  communcation fail ,    IOS272 : Communication Loss of CRS5 in occupied cab,   IOS243 : One TRS Or NETBOX have a communication fault;        IOS263 : More than one HVAC have a communication fault</t>
  </si>
  <si>
    <t>TIR1043</t>
  </si>
  <si>
    <t>IOS1 : One compressor out of service indication</t>
  </si>
  <si>
    <t>TIR0288</t>
  </si>
  <si>
    <t>LCD2-V2 dim issue</t>
  </si>
  <si>
    <t>TIR0289</t>
  </si>
  <si>
    <t>door open immediately in UTO.Door#2, hc2 DCU ios 18.</t>
  </si>
  <si>
    <t>in mpu logs on 23-Dec EED was failure after rest no more issue .</t>
  </si>
  <si>
    <t>TIR0292</t>
  </si>
  <si>
    <t>PM2118</t>
  </si>
  <si>
    <t>HC1 Panel 1 allenkey screw missing</t>
  </si>
  <si>
    <t>used new Screw</t>
  </si>
  <si>
    <t>TIR0293</t>
  </si>
  <si>
    <t>PM2119</t>
  </si>
  <si>
    <t>Swd3-V1 NOK , Lcd1.V1 Error</t>
  </si>
  <si>
    <t>TIR0294</t>
  </si>
  <si>
    <t>PM2120</t>
  </si>
  <si>
    <t>HC2 Panel near to door 3 one allenkey screw missing</t>
  </si>
  <si>
    <t>TIR0295</t>
  </si>
  <si>
    <t>PM2121</t>
  </si>
  <si>
    <t>TIR0298</t>
  </si>
  <si>
    <t>PM2124</t>
  </si>
  <si>
    <t>Inter Glass door not  closed completely.</t>
  </si>
  <si>
    <t>The door leaf were not aligned, after make adjustment and test no more issue.</t>
  </si>
  <si>
    <t>TIR1044</t>
  </si>
  <si>
    <t>PM2116</t>
  </si>
  <si>
    <t>need to replace the 3 nut(out of stock 05-Jan-2022)</t>
  </si>
  <si>
    <t>TIR1045</t>
  </si>
  <si>
    <t>PM2117</t>
  </si>
  <si>
    <t>HVAC2-V2 Exaust air fan low and high faulty.</t>
  </si>
  <si>
    <t>TIR1046</t>
  </si>
  <si>
    <t>PM2122</t>
  </si>
  <si>
    <t>HC2-B2 -Axle4 minor leakge from top door of  gearbox.(GASKET )-s.no C484</t>
  </si>
  <si>
    <t>TIR1047</t>
  </si>
  <si>
    <t>PM2123</t>
  </si>
  <si>
    <t>HC2-LCD3 not available</t>
  </si>
  <si>
    <t>TIR0299</t>
  </si>
  <si>
    <t>PM2087</t>
  </si>
  <si>
    <t>lcd2.v2 not clear display</t>
  </si>
  <si>
    <t>Checked in NCR428</t>
  </si>
  <si>
    <t>TIR0302</t>
  </si>
  <si>
    <t>PM2088</t>
  </si>
  <si>
    <t xml:space="preserve">  new Screw putted</t>
  </si>
  <si>
    <t>TIR0303</t>
  </si>
  <si>
    <t>PM2090</t>
  </si>
  <si>
    <t xml:space="preserve">used the new screw </t>
  </si>
  <si>
    <t>TIR0308</t>
  </si>
  <si>
    <t>PM2140</t>
  </si>
  <si>
    <t>TIR0309</t>
  </si>
  <si>
    <t>Update LCD sofware manually and test ok</t>
  </si>
  <si>
    <t>TIR0314</t>
  </si>
  <si>
    <t>PM2132</t>
  </si>
  <si>
    <t>HC1_ battery switch not working.</t>
  </si>
  <si>
    <t>Checked the switch were working properly but no battery voltage available due to 52Q14 in LVB were switch off.</t>
  </si>
  <si>
    <t>TIR0316</t>
  </si>
  <si>
    <t>PM2134</t>
  </si>
  <si>
    <t>lcd1 v1 showing not available-OFFLINE and Blank display</t>
  </si>
  <si>
    <t>TIR0321</t>
  </si>
  <si>
    <t>PM2126</t>
  </si>
  <si>
    <t>HVAC AND UMC IN RED COLOR AUTOTEST</t>
  </si>
  <si>
    <t>Found HVAC1-V2 offline and recovered it and  HVAC autotest OK</t>
  </si>
  <si>
    <t>TIR0322</t>
  </si>
  <si>
    <t>IOS243 : One TRS Or NETBOX have a communication fault,NETMM2.Local,10.130.142.254,IP offline</t>
  </si>
  <si>
    <t>Found power connector not properly connected and alsp the ethernet cable between TS and Netmm wrongly connected. After connect and test chcek no issue observed.</t>
  </si>
  <si>
    <t>TIR0323</t>
  </si>
  <si>
    <t>HC2 PANEL NEAR TO DOOR 3 - 1 ALLEN SCREW IS DAMAGE</t>
  </si>
  <si>
    <t>repaired the screw</t>
  </si>
  <si>
    <t>TIR0327</t>
  </si>
  <si>
    <t>PM2129</t>
  </si>
  <si>
    <t>IOS243 : One TRS Or NETBOX have a communication fault,netmm2.local IP offline</t>
  </si>
  <si>
    <t>Checked and found power connector were wrongly connected.</t>
  </si>
  <si>
    <t>ONE INTERNAL GANG COVER MISSING</t>
  </si>
  <si>
    <t>TIR0307</t>
  </si>
  <si>
    <t>PM2139</t>
  </si>
  <si>
    <t>TIR0313</t>
  </si>
  <si>
    <t>gangways panels are not able to closed</t>
  </si>
  <si>
    <t>Need to replace the side panel drum</t>
  </si>
  <si>
    <t>TIR0315</t>
  </si>
  <si>
    <t>PM2133</t>
  </si>
  <si>
    <t>HC1 GEAR BOX 2 OIL LEVEL IS BELOW MIN</t>
  </si>
  <si>
    <t>NCR450</t>
  </si>
  <si>
    <t>TIR0325</t>
  </si>
  <si>
    <t>PM2128</t>
  </si>
  <si>
    <t>Gangway cover need to paint and change the lock according to new retofit process.</t>
  </si>
  <si>
    <t>TIR0326</t>
  </si>
  <si>
    <t xml:space="preserve">CCD to JB_ HV  cable support clamp missing,HC1_bogie2 Left,HC2-Bogie1,2-Right </t>
  </si>
  <si>
    <t>TIR0300</t>
  </si>
  <si>
    <t>hc1 ace box 1 lock defective</t>
  </si>
  <si>
    <t>all locks are good</t>
  </si>
  <si>
    <t>TIR1049</t>
  </si>
  <si>
    <t>Hc2- gearbox #2 oil level below minimum</t>
  </si>
  <si>
    <t>TIR1050</t>
  </si>
  <si>
    <t>PM2137</t>
  </si>
  <si>
    <t>TIR1051</t>
  </si>
  <si>
    <t>PM2141</t>
  </si>
  <si>
    <t>HC1-HVAC1_compressor2 Loud noise</t>
  </si>
  <si>
    <t>TIR1052</t>
  </si>
  <si>
    <t>HC1-swd.4-Half broken ,Ledi4-blank</t>
  </si>
  <si>
    <t>TIR1053</t>
  </si>
  <si>
    <t>Updated PEI2-V1 and PEI5-V2 software manually and test ok, no more ios reported</t>
  </si>
  <si>
    <t>TIR1054</t>
  </si>
  <si>
    <t>hvac2 car1 heater 1 not released</t>
  </si>
  <si>
    <t>TIR1055</t>
  </si>
  <si>
    <t>PM2135</t>
  </si>
  <si>
    <t>Hc2-Hvac2 Low pressure in Line2</t>
  </si>
  <si>
    <t>TIR1056</t>
  </si>
  <si>
    <t>hc1 gearbox 1&amp;2 oil level below minimum</t>
  </si>
  <si>
    <t>Checked and no leakage were found and only need to topup the gearbox oil.</t>
  </si>
  <si>
    <t>LED5 CAR1 ON PLAM TREE NOT OK BUT IP STATUS OK</t>
  </si>
  <si>
    <t>PM2127</t>
  </si>
  <si>
    <t>INFORMATION SYSTEMS</t>
  </si>
  <si>
    <t>TIR0329</t>
  </si>
  <si>
    <t>PM2147</t>
  </si>
  <si>
    <t>update software manually and test OK</t>
  </si>
  <si>
    <t>TIR0332</t>
  </si>
  <si>
    <t>PM2150</t>
  </si>
  <si>
    <t>This IOS will appeared if train were in multiple unit because each ATC rack will be off in one train including the ethernet connection</t>
  </si>
  <si>
    <t>TIR0335</t>
  </si>
  <si>
    <t>PM2156</t>
  </si>
  <si>
    <t>TCN-BRIO4/HC2 RED,Brio4/v2 IP offline;IOS244 : Communication Loss with one other BRIO</t>
  </si>
  <si>
    <t>Checked and observed Etheret cable were not connected, after reconnect check by IP scanner and all online.</t>
  </si>
  <si>
    <t>TIR0339</t>
  </si>
  <si>
    <t>PM2154</t>
  </si>
  <si>
    <t>led6 car2 not ok -IP offline and led6 car2 on condition. its showing no signal.</t>
  </si>
  <si>
    <t>Update the software manually and test OK</t>
  </si>
  <si>
    <t>TIR0336</t>
  </si>
  <si>
    <t>HC2- Bogie1 left side derailment sensor cable clamp missing</t>
  </si>
  <si>
    <t>TIR0341</t>
  </si>
  <si>
    <t>PM2155</t>
  </si>
  <si>
    <t>NCR440</t>
  </si>
  <si>
    <t>TIR0331</t>
  </si>
  <si>
    <t>HC2-Using Battery2 can not wakeup the train from both HC</t>
  </si>
  <si>
    <t>TIR0340</t>
  </si>
  <si>
    <t>hvac1 car1 heater1 not released</t>
  </si>
  <si>
    <t>TIR1059</t>
  </si>
  <si>
    <t>PM2144</t>
  </si>
  <si>
    <t>TIR1060</t>
  </si>
  <si>
    <t>HVAC1 CAR2 TEST PROTOCOL SHOWING default :  DF1005_EXFL,DF1006_EmExF</t>
  </si>
  <si>
    <t>TIR1062</t>
  </si>
  <si>
    <t>HC2-CCC rubber missing.</t>
  </si>
  <si>
    <t>TIR1063</t>
  </si>
  <si>
    <t>PM2152</t>
  </si>
  <si>
    <t>20/01/2022: Test in the mainline , No issue found</t>
  </si>
  <si>
    <t>PM2153</t>
  </si>
  <si>
    <t>Updated SWD2-V2 and test ok</t>
  </si>
  <si>
    <t>TIR0343</t>
  </si>
  <si>
    <t>PM2158</t>
  </si>
  <si>
    <t>gangway internal cover is missing</t>
  </si>
  <si>
    <t>TIR1066</t>
  </si>
  <si>
    <t>PM2160</t>
  </si>
  <si>
    <t>TIR1067</t>
  </si>
  <si>
    <t>PM2161</t>
  </si>
  <si>
    <t>led1 car2 physically off condition and ip also off</t>
  </si>
  <si>
    <t>TIR1068</t>
  </si>
  <si>
    <t>PM2163</t>
  </si>
  <si>
    <t>Gangway 2 Lock Nok</t>
  </si>
  <si>
    <t>NCR1068</t>
  </si>
  <si>
    <t>TIR0350</t>
  </si>
  <si>
    <t>PM2165</t>
  </si>
  <si>
    <t>Pei1 car2(physically activated)-IP offline,IOS_195,196,202,203</t>
  </si>
  <si>
    <t>Found PEI1-V2 component failure and replaced a new PEI and test no more ios report</t>
  </si>
  <si>
    <t>PACIS: Intercom unit in one enclosure (With Peripherals)</t>
  </si>
  <si>
    <t>TIR0349</t>
  </si>
  <si>
    <t>GANGWAY INTERNAL PANELS ARE MISSING</t>
  </si>
  <si>
    <t>INTERIORS</t>
  </si>
  <si>
    <t>more then 10kph speed on WM/DM</t>
  </si>
  <si>
    <t>Update the MPU software</t>
  </si>
  <si>
    <t>Train Control and Monitoring System (TCMS) &amp; Event Recorder (EVR)</t>
  </si>
  <si>
    <t>TIR1069</t>
  </si>
  <si>
    <t>PM2169</t>
  </si>
  <si>
    <t>Gangway Panel Lock 3 no.s Nok</t>
  </si>
  <si>
    <t>NCR1069</t>
  </si>
  <si>
    <t>TIR1070</t>
  </si>
  <si>
    <t>PM2164</t>
  </si>
  <si>
    <t>HC1-Bogie2 Oil level AXLE 1 LOW, AXLE 2 VERY LOW</t>
  </si>
  <si>
    <t>31/01 : checked and level is not too low. Maybe it was normalize between.</t>
  </si>
  <si>
    <t>TIR1071</t>
  </si>
  <si>
    <t>PM2166</t>
  </si>
  <si>
    <t>hc2 bogie1 left CC corner was damaged</t>
  </si>
  <si>
    <t>Bogie: 3rd rail current collector unit</t>
  </si>
  <si>
    <t>TIR1072</t>
  </si>
  <si>
    <t>hc2 left sanding hose missing</t>
  </si>
  <si>
    <t>TIR1073</t>
  </si>
  <si>
    <t>GANGWAY INTERNAL cover missing hc1 right</t>
  </si>
  <si>
    <t>TIR1074</t>
  </si>
  <si>
    <t>PM2167</t>
  </si>
  <si>
    <t>TIR1075</t>
  </si>
  <si>
    <t>Hc1 axle 2 gasket leaKed</t>
  </si>
  <si>
    <t>TIR1076</t>
  </si>
  <si>
    <t>TIR1077</t>
  </si>
  <si>
    <t>HC2 bogie 1 axle 1 &amp;2 oil level is low</t>
  </si>
  <si>
    <t>31/01 : level is low. No leakage found. Need to normalize the oil level.</t>
  </si>
  <si>
    <t>TIR0363</t>
  </si>
  <si>
    <t>One internal smoke detector activated ( IOS124 is existing )</t>
  </si>
  <si>
    <t>After clean no more IOS</t>
  </si>
  <si>
    <t>TIR0366</t>
  </si>
  <si>
    <t>PM2170</t>
  </si>
  <si>
    <t xml:space="preserve">IOS86 : The dead man relays discordance </t>
  </si>
  <si>
    <t>ELECTRICAL CABLING &amp; WIRING</t>
  </si>
  <si>
    <t>TIR0375</t>
  </si>
  <si>
    <t>TIR0365</t>
  </si>
  <si>
    <t>hc2 bogie1 left CC corner  was damaged</t>
  </si>
  <si>
    <t>TIR0368</t>
  </si>
  <si>
    <t>PM2172</t>
  </si>
  <si>
    <t>TIR0369</t>
  </si>
  <si>
    <t>TIR0370</t>
  </si>
  <si>
    <t>TIR1078</t>
  </si>
  <si>
    <t>HC1 Mechanical coupler got stuck while uncoupling</t>
  </si>
  <si>
    <t>COUPLERS &amp; DRAW GEAR</t>
  </si>
  <si>
    <t>TIR1079</t>
  </si>
  <si>
    <t>TIR1080</t>
  </si>
  <si>
    <t>Checked and no uncoupling issue detected.</t>
  </si>
  <si>
    <t>TIR1081</t>
  </si>
  <si>
    <t xml:space="preserve">adjust the EAD cable we can open the door </t>
  </si>
  <si>
    <t>4 cable was not connected after normalise working fine</t>
  </si>
  <si>
    <t xml:space="preserve">we open the UNCOUPLING MAGNET VALVE and closed back issue no more present </t>
  </si>
  <si>
    <t>TIR1084</t>
  </si>
  <si>
    <t>PM2171</t>
  </si>
  <si>
    <t>LED I6. v1, LCD v1, SWD 6, v1-IP NOK</t>
  </si>
  <si>
    <t>Restart train 2 times and checked all of them good</t>
  </si>
  <si>
    <t>TIR1085</t>
  </si>
  <si>
    <t>PM2173</t>
  </si>
  <si>
    <t>HC2 axle 2 oil level lessthan min</t>
  </si>
  <si>
    <t>TIR1086</t>
  </si>
  <si>
    <t>Torque mark damage in bolts of half coupler(gear box and motor) HC1-Axle4-</t>
  </si>
  <si>
    <t>TIR1087</t>
  </si>
  <si>
    <t>PM2174</t>
  </si>
  <si>
    <t>Gangway 1 lock is broken</t>
  </si>
  <si>
    <t>TIR1088</t>
  </si>
  <si>
    <t>PM2175</t>
  </si>
  <si>
    <t>TIR0376</t>
  </si>
  <si>
    <t>HC2 Door#1 Jarking while closing manually</t>
  </si>
  <si>
    <t>After Adjust working good.</t>
  </si>
  <si>
    <t>DOORS</t>
  </si>
  <si>
    <t>TIR0387</t>
  </si>
  <si>
    <t>Hc1 Lighting cover not ok</t>
  </si>
  <si>
    <t>Fixed the cover</t>
  </si>
  <si>
    <t>TIR0391</t>
  </si>
  <si>
    <t>Issue Detected Train 604: Roof Panel was not closing properly.</t>
  </si>
  <si>
    <t>after Alignment cover closed properly</t>
  </si>
  <si>
    <t>TIR0378</t>
  </si>
  <si>
    <t>WM in hc1 no active, cant move train in WM in hc1.</t>
  </si>
  <si>
    <t>NCR448</t>
  </si>
  <si>
    <t>To replace 61K07</t>
  </si>
  <si>
    <t>ELECTRICAL TRACTION</t>
  </si>
  <si>
    <t>TIR1089</t>
  </si>
  <si>
    <t>Door#5, hc2 iOS65 Door  intrlock fault indiction and iOS262: communication fault.</t>
  </si>
  <si>
    <t>Checked and from the DCU logs, found data bus communication failure and waiting for supplier feedback for this issue.</t>
  </si>
  <si>
    <t>TIR1090</t>
  </si>
  <si>
    <t>HC1 &amp; HC2 Both side mechanical coupler got stuck while uncoupling of the train</t>
  </si>
  <si>
    <t>TIR1091</t>
  </si>
  <si>
    <t>TIR1092</t>
  </si>
  <si>
    <t>PM2176</t>
  </si>
  <si>
    <t xml:space="preserve">HC1 BOGIE2 RHS -the 750 v (HV)cable from the fuse box to the junction box is missing </t>
  </si>
  <si>
    <t>TIR1093</t>
  </si>
  <si>
    <t xml:space="preserve">02/01/2022 : Checked level is ok now </t>
  </si>
  <si>
    <t>TIR1094</t>
  </si>
  <si>
    <t>PM2178</t>
  </si>
  <si>
    <t>HC-02, Both BOG-1 and BOG-2 - Gear oil level is low.</t>
  </si>
  <si>
    <t>02/01/2022 : checked no leakage found. Need to normalize the oil level</t>
  </si>
  <si>
    <t>TIR1095</t>
  </si>
  <si>
    <t>PM2179</t>
  </si>
  <si>
    <t>PACIS: LCD Super-Wide Slim</t>
  </si>
  <si>
    <t>TIR1096</t>
  </si>
  <si>
    <t>HC-02,BG-01, axle-01, gear oil low.</t>
  </si>
  <si>
    <t>TIR1097</t>
  </si>
  <si>
    <t>TIR1098</t>
  </si>
  <si>
    <t>Issue Detected Train 408: Broken side panel sheet gangway.</t>
  </si>
  <si>
    <t>TIR1099</t>
  </si>
  <si>
    <t>1/13/2022:To replace the rubber</t>
  </si>
  <si>
    <t>ELECTRIC LV PRODUCTION &amp; DISTRIBUTION (AUXILIARY SUPPLY)</t>
  </si>
  <si>
    <t>TIR1101</t>
  </si>
  <si>
    <t>Bogie: WSP sensor</t>
  </si>
  <si>
    <t>TIR1102</t>
  </si>
  <si>
    <t>PM2187</t>
  </si>
  <si>
    <t>Primary suspension protection bottom cover missing 10 no.s</t>
  </si>
  <si>
    <t>TIR1103</t>
  </si>
  <si>
    <t>PM2186</t>
  </si>
  <si>
    <t>Primary suspension protection bottom cover missing 8 no.s</t>
  </si>
  <si>
    <t>TIR1104</t>
  </si>
  <si>
    <t>HC1-B1 -Axle2 minor leakge from top door of gear box .(GASKET )-s.no C447</t>
  </si>
  <si>
    <t>TIR1105</t>
  </si>
  <si>
    <t>PM2182</t>
  </si>
  <si>
    <t>HC-02, Both AXLE-3 and AXLE-4 - Gear oil level is low</t>
  </si>
  <si>
    <t xml:space="preserve">swd3 car2,lcd3 car2,led3 car2.-IP nok </t>
  </si>
  <si>
    <t>TIR1107</t>
  </si>
  <si>
    <t>PM2184</t>
  </si>
  <si>
    <t>HC-01, axle 2 , Gear oil level is low.</t>
  </si>
  <si>
    <t>TIR1108</t>
  </si>
  <si>
    <t>PM2185</t>
  </si>
  <si>
    <t>car1 door 2 while closing time closing the door fastly compare to other doors.</t>
  </si>
  <si>
    <t>Gangway cover one lock is broken</t>
  </si>
  <si>
    <t>NCR1109</t>
  </si>
  <si>
    <t>TIR408</t>
  </si>
  <si>
    <t>PM2188</t>
  </si>
  <si>
    <t>HVAC1 lost communication</t>
  </si>
  <si>
    <t>TIR1112</t>
  </si>
  <si>
    <t>PM2194</t>
  </si>
  <si>
    <t xml:space="preserve">HC1-HVAC2 LOW PRESSURE LP2 when forced Compressor2 </t>
  </si>
  <si>
    <t>TIR1113</t>
  </si>
  <si>
    <t>HC1-HVAC1-compressor 1&amp;3 making noise</t>
  </si>
  <si>
    <t>TIR1114</t>
  </si>
  <si>
    <t>No issue related oberved after software update.</t>
  </si>
  <si>
    <t>TIR1115</t>
  </si>
  <si>
    <t>PM2189</t>
  </si>
  <si>
    <t xml:space="preserve">HC+H79:O942-A3,A4-low oil level (just below the low mark ) ,HC1-A1(very low),A2,A3-low oil level </t>
  </si>
  <si>
    <t>TIR1116</t>
  </si>
  <si>
    <t>PM2190</t>
  </si>
  <si>
    <t>HC1 Axle 3,axle 4 , HC2 AXLE1 ,AXLE2 -oil level below minimum</t>
  </si>
  <si>
    <t xml:space="preserve">02/16 : No leakage found, need to normalize the oil level </t>
  </si>
  <si>
    <t>TIR1117</t>
  </si>
  <si>
    <t>PM2191</t>
  </si>
  <si>
    <t>TIR1119</t>
  </si>
  <si>
    <t>HC1 internal smoke detector 1 panel(panel near to palm tree ) is closed without fully tightnening the the two screws of the one end(the alignement of the panel is not good for full tight )</t>
  </si>
  <si>
    <t>TIR1120</t>
  </si>
  <si>
    <t>HC1 AXLE2 oil level below minimum</t>
  </si>
  <si>
    <t>PM2192</t>
  </si>
  <si>
    <t>TIR401</t>
  </si>
  <si>
    <t>Roof antenna</t>
  </si>
  <si>
    <t>SIGNALING</t>
  </si>
  <si>
    <t>TIR404</t>
  </si>
  <si>
    <t>HC1_gearbox 3 oil contaminated</t>
  </si>
  <si>
    <t>NCR449</t>
  </si>
  <si>
    <t>TIR1110</t>
  </si>
  <si>
    <t>relay 61k07 faulty need to replace</t>
  </si>
  <si>
    <t>TIR1111</t>
  </si>
  <si>
    <t>Door5 HC2 Faulty</t>
  </si>
  <si>
    <t>TIR1122</t>
  </si>
  <si>
    <t>PM2200</t>
  </si>
  <si>
    <t>Missing 8 Suspension protection bottom cover</t>
  </si>
  <si>
    <t>HC1-not able to sleep</t>
  </si>
  <si>
    <t>20/02 : We found that the cable WF00062 was connected to the PIN 73 of the connector XR03+CCC instead of connector XR02+CCC</t>
  </si>
  <si>
    <t>TIR1124</t>
  </si>
  <si>
    <t>PM2201</t>
  </si>
  <si>
    <t>waiting for DTR 14/02</t>
  </si>
  <si>
    <t>TIR1125</t>
  </si>
  <si>
    <t>PM2195</t>
  </si>
  <si>
    <t>IOS196 ,203 : Loss of at least 1 PEI in a class</t>
  </si>
  <si>
    <t>TIR1126</t>
  </si>
  <si>
    <t>PM2196</t>
  </si>
  <si>
    <t>HC1 AXLE2 GEAR BOX OIL LEVEL IS LOW</t>
  </si>
  <si>
    <t xml:space="preserve">checked and Oil ok now </t>
  </si>
  <si>
    <t>TIR1127</t>
  </si>
  <si>
    <t>HC2 AXLE 4 GEAR BOX OIL IS DARK IN COLOUR</t>
  </si>
  <si>
    <t xml:space="preserve">checked color ok and Oil ok now </t>
  </si>
  <si>
    <t>TIR1128</t>
  </si>
  <si>
    <t>car2 lcd3 contrast low compare to other lcd displays</t>
  </si>
  <si>
    <t>TIR1129</t>
  </si>
  <si>
    <t>PM2198</t>
  </si>
  <si>
    <t>IOS86 : The dead man relays discordance</t>
  </si>
  <si>
    <t>Checked no ios86 reported. Do the deadman test in both cabs and test pass</t>
  </si>
  <si>
    <t>TIR1130</t>
  </si>
  <si>
    <t>PM2199</t>
  </si>
  <si>
    <t>semi permanent coupler grounding bolt missing</t>
  </si>
  <si>
    <t>CARBODY FITTINGS / EXTERIOR FINISH</t>
  </si>
  <si>
    <t>TIR1131</t>
  </si>
  <si>
    <t>swd3 one display physically off condition but ip status ok</t>
  </si>
  <si>
    <t>Checked SWD online and display OK</t>
  </si>
  <si>
    <t>TIR1132</t>
  </si>
  <si>
    <t>car2 door1 not closing full. Electrical and mechanically door isolated</t>
  </si>
  <si>
    <t>TIR1000</t>
  </si>
  <si>
    <t xml:space="preserve">bad MPU software version is install in the train </t>
  </si>
  <si>
    <t>TIR1001</t>
  </si>
  <si>
    <t>IOS264 :  More than one UMC have a communication fault.</t>
  </si>
  <si>
    <t>Checked the issue no more reported</t>
  </si>
  <si>
    <t>TIR1002</t>
  </si>
  <si>
    <t>18/01 : Elie to check the train , and recover with Niyas</t>
  </si>
  <si>
    <t>TIR1004</t>
  </si>
  <si>
    <t>TIR1005</t>
  </si>
  <si>
    <t>Found PEI2-V1 report many lost communication, and updated software and test ok</t>
  </si>
  <si>
    <t>TIR1007</t>
  </si>
  <si>
    <t>DCU5-V2 communication lost</t>
  </si>
  <si>
    <t>18/01 : To check and create NCR</t>
  </si>
  <si>
    <t>TIR1133</t>
  </si>
  <si>
    <t>PEI6-V2 communication not stable</t>
  </si>
  <si>
    <t>Updated pei software manually and test ok</t>
  </si>
  <si>
    <t>fixed the light cover</t>
  </si>
  <si>
    <t>TIR1135</t>
  </si>
  <si>
    <t>PM2208</t>
  </si>
  <si>
    <t>Flange Lubricator saftey pin1 missing</t>
  </si>
  <si>
    <t>TIR1136</t>
  </si>
  <si>
    <t>Gangway lock has an issue</t>
  </si>
  <si>
    <t>NCR1136</t>
  </si>
  <si>
    <t>TIR1137</t>
  </si>
  <si>
    <t>PM2207</t>
  </si>
  <si>
    <t>Hc1-becon Antenna Cable's clamp one screw is missing(refer picture in TIR report)</t>
  </si>
  <si>
    <t>PM2202</t>
  </si>
  <si>
    <t>HC1-LEDI6 IP offline,HC1-LEDI6  not working</t>
  </si>
  <si>
    <t>TIR1139</t>
  </si>
  <si>
    <t>PM2203</t>
  </si>
  <si>
    <t>swd1 car1 but physically good.led2 car1 ip off but physically ok</t>
  </si>
  <si>
    <t>TIR1140</t>
  </si>
  <si>
    <t>PM2205</t>
  </si>
  <si>
    <t>lost the communication of hvac1 car2 while in manual testing mode.</t>
  </si>
  <si>
    <t xml:space="preserve">online and working fine </t>
  </si>
  <si>
    <t>TIR1141</t>
  </si>
  <si>
    <t>Gearbox oil leakage</t>
  </si>
  <si>
    <t>TIR1142</t>
  </si>
  <si>
    <t>Compressor1 air-dryer failure</t>
  </si>
  <si>
    <t>Brakes &amp; Air Supply</t>
  </si>
  <si>
    <t>TIR1143</t>
  </si>
  <si>
    <t>HC2 bogie_1 &amp; traction motor safety mounting to confirm</t>
  </si>
  <si>
    <t>TIR1144</t>
  </si>
  <si>
    <t>HC2_Door 1 – Door not opening using crew switch</t>
  </si>
  <si>
    <t>TIR1145</t>
  </si>
  <si>
    <t xml:space="preserve">Found the EED cable out from the roller. Fixed back the cable and tested from outside(Crew switch) and Inside EED are OK. </t>
  </si>
  <si>
    <t>TIR1146</t>
  </si>
  <si>
    <t>IOS35 : Loss of 50% of ventilation of at least one HVAC unit</t>
  </si>
  <si>
    <t>QF7 was off after ON , no more ios.</t>
  </si>
  <si>
    <t>TIR1147</t>
  </si>
  <si>
    <t>Ledi1_V2 offline</t>
  </si>
  <si>
    <t>Checked this LEDI online and display OK</t>
  </si>
  <si>
    <t>One ACE have a communication fault,</t>
  </si>
  <si>
    <t>TIR1149</t>
  </si>
  <si>
    <t xml:space="preserve">VAC2 HC2 compressor fautl </t>
  </si>
  <si>
    <t>physically working fine waiting for supplier respons</t>
  </si>
  <si>
    <t xml:space="preserve">410 reported  F_DRS_RelCBTrip_2  </t>
  </si>
  <si>
    <t>CB cable connector was losse ,tight and put back</t>
  </si>
  <si>
    <t>TIR1150</t>
  </si>
  <si>
    <t xml:space="preserve">Partition door lock missing </t>
  </si>
  <si>
    <t>TIR1151</t>
  </si>
  <si>
    <t>PM</t>
  </si>
  <si>
    <t>HC2-Sand reserviour is empty</t>
  </si>
  <si>
    <t>CONSUMABLE</t>
  </si>
  <si>
    <t>TIR1152</t>
  </si>
  <si>
    <t>in Hc1 nut damaged and HC2 nut missing (18-Jan-22)</t>
  </si>
  <si>
    <t>TIR1153</t>
  </si>
  <si>
    <t>PM2210</t>
  </si>
  <si>
    <t>Checked papis devices online and display ok</t>
  </si>
  <si>
    <t>TIR1154</t>
  </si>
  <si>
    <t>Unconnected Grounding cable in the LVB Box.</t>
  </si>
  <si>
    <t>TIR1155</t>
  </si>
  <si>
    <t>Primary suspension's bottom cover -8 nos.(Refer picture)</t>
  </si>
  <si>
    <t>NCR1155</t>
  </si>
  <si>
    <t>TIR1156</t>
  </si>
  <si>
    <t>PM2223</t>
  </si>
  <si>
    <t>Gangway 1 Lock nok ,unable to Lock</t>
  </si>
  <si>
    <t>NCR1156</t>
  </si>
  <si>
    <t>TIR1157</t>
  </si>
  <si>
    <t>NCR1157</t>
  </si>
  <si>
    <t>TIR1158</t>
  </si>
  <si>
    <t>HC1-Flange Lubricator saftey pin missing</t>
  </si>
  <si>
    <t>NCR1158</t>
  </si>
  <si>
    <t>TIR1159</t>
  </si>
  <si>
    <t>PM2230</t>
  </si>
  <si>
    <t>NCR1159</t>
  </si>
  <si>
    <t>TIR1160</t>
  </si>
  <si>
    <t>PM2225</t>
  </si>
  <si>
    <t>umc car1 0.0.0-software version Nok</t>
  </si>
  <si>
    <t>Checked the software version display OK</t>
  </si>
  <si>
    <t>hc2 gearbox no4 oil level below minimum</t>
  </si>
  <si>
    <t>TIR1162</t>
  </si>
  <si>
    <t>car1 lcd4 low brightness</t>
  </si>
  <si>
    <t>TIR1163</t>
  </si>
  <si>
    <t>PM2228</t>
  </si>
  <si>
    <t>hc1-hc2 sandng reservoir for re-filling, almost empty</t>
  </si>
  <si>
    <t>01/27/2022 : no issue found, level of sand very low need to ask to PM to normalize</t>
  </si>
  <si>
    <t>TIR1164</t>
  </si>
  <si>
    <t xml:space="preserve">Network instability </t>
  </si>
  <si>
    <t>TIR1165</t>
  </si>
  <si>
    <t>IOS196:Loss of at least 1 PEI in a class</t>
  </si>
  <si>
    <t>TIR1166</t>
  </si>
  <si>
    <t>IOS21:Minor fault on 1 brake unit</t>
  </si>
  <si>
    <t>TIR1167</t>
  </si>
  <si>
    <t>1/30: RIOM3-HC1 Pin J1-Z28 energised. We removed the RIOM and put back and  no more issue Observed.</t>
  </si>
  <si>
    <t>TIR1168</t>
  </si>
  <si>
    <t>TIR1169</t>
  </si>
  <si>
    <t>The CMV racks are equipped with wrong type screws and washer (TS 603).</t>
  </si>
  <si>
    <t>TIR1170</t>
  </si>
  <si>
    <t>18/01 : To create NCR</t>
  </si>
  <si>
    <t>TIR1171</t>
  </si>
  <si>
    <t>PM2236</t>
  </si>
  <si>
    <t xml:space="preserve">HC2-left side derailment sensor's cable support clamp found  bended,cable  is in stressed ( Refer Pic)                </t>
  </si>
  <si>
    <t>TIR1172</t>
  </si>
  <si>
    <t>PM2232</t>
  </si>
  <si>
    <t>LCD.4/V1-IP offline</t>
  </si>
  <si>
    <t>Checked LCD online and display OK</t>
  </si>
  <si>
    <t>TIR1173</t>
  </si>
  <si>
    <t>PM2233</t>
  </si>
  <si>
    <t>Heat sink one  found scratch</t>
  </si>
  <si>
    <t>Minor scratch on cvs inverter heat sink it will impact on any function</t>
  </si>
  <si>
    <t>TIR1174</t>
  </si>
  <si>
    <t>PM2234</t>
  </si>
  <si>
    <t>HC1 gear level is low in Axle1 &amp;2</t>
  </si>
  <si>
    <t>TIR1175</t>
  </si>
  <si>
    <t>PM2235</t>
  </si>
  <si>
    <t>TIR1176</t>
  </si>
  <si>
    <t>Hc2-Sand Level Low</t>
  </si>
  <si>
    <t>02/14 : to normalize the sand level</t>
  </si>
  <si>
    <t>TIR1177</t>
  </si>
  <si>
    <t>PM2231</t>
  </si>
  <si>
    <t>sand level is low</t>
  </si>
  <si>
    <t>31/01 : no issue found. Need to normalize the sand level.</t>
  </si>
  <si>
    <t>TIR1178</t>
  </si>
  <si>
    <t>Primary suspension bottom protection  cover -08 nos missing</t>
  </si>
  <si>
    <t>TIR1179</t>
  </si>
  <si>
    <t>PM2237</t>
  </si>
  <si>
    <t>TIR1180</t>
  </si>
  <si>
    <t>HC2 Saloon light cover dismantle (Near to RP3).</t>
  </si>
  <si>
    <t xml:space="preserve">24/01/2022 : issue happened 2 times. PCE software udpated </t>
  </si>
  <si>
    <t>TIR1182</t>
  </si>
  <si>
    <t>IOS015 appeared on TS419 and train return back to STBL.</t>
  </si>
  <si>
    <t>NCR1182</t>
  </si>
  <si>
    <t>23/01 : Relay 62k08 stuck and not activated. Need to replace the relay</t>
  </si>
  <si>
    <t>YES</t>
  </si>
  <si>
    <t>TIR1183</t>
  </si>
  <si>
    <t>IOS -227 loss of Traction in both CABs observed even when the Traction Power is available and both HSCBs are closed.</t>
  </si>
  <si>
    <t>TIR1186</t>
  </si>
  <si>
    <t>MANTIS</t>
  </si>
  <si>
    <t>Mantis_RST1000</t>
  </si>
  <si>
    <t>IOS249:One DCU has a communication fault</t>
  </si>
  <si>
    <t>TIR1187</t>
  </si>
  <si>
    <t>Mantis_RST999</t>
  </si>
  <si>
    <t>TIR1188</t>
  </si>
  <si>
    <t>TIR1189</t>
  </si>
  <si>
    <t>TIR1190</t>
  </si>
  <si>
    <t xml:space="preserve">reversible mode </t>
  </si>
  <si>
    <t>TIR1191</t>
  </si>
  <si>
    <t>due to reversibler mode</t>
  </si>
  <si>
    <t>TIR1192</t>
  </si>
  <si>
    <t xml:space="preserve">GCR panel cover need to fixed </t>
  </si>
  <si>
    <t>Checked and no all cover fixed.</t>
  </si>
  <si>
    <t>TIR1193</t>
  </si>
  <si>
    <t>RP locks panel need to fixed</t>
  </si>
  <si>
    <t>TIR1194</t>
  </si>
  <si>
    <t>52Q11 and 11Q02 was tripping (short circuit in AA3S)</t>
  </si>
  <si>
    <t>HIGH</t>
  </si>
  <si>
    <t>short circuit inside the  AA3S so we replaced with new AA3S.</t>
  </si>
  <si>
    <t>TIR1195</t>
  </si>
  <si>
    <t>pei5-v1 loss com</t>
  </si>
  <si>
    <t>NCR1195</t>
  </si>
  <si>
    <t>LOW</t>
  </si>
  <si>
    <t>Replaced New PEI</t>
  </si>
  <si>
    <t>TIR1196</t>
  </si>
  <si>
    <t>The light under the seat does not work in the first class cabin @615A</t>
  </si>
  <si>
    <t xml:space="preserve">shunt was losse between 23E12 and 23E13 . we fixed the shunt. </t>
  </si>
  <si>
    <t>TIR1197</t>
  </si>
  <si>
    <t xml:space="preserve">need to Reapair  and paint </t>
  </si>
  <si>
    <t>TIR1198</t>
  </si>
  <si>
    <t>Found paint signs on the surface of the train.  Ref. Pic.</t>
  </si>
  <si>
    <t>TIR1199</t>
  </si>
  <si>
    <t>Found screthes on the surface of train near Door 1 in HC2.  Ref. Pic.</t>
  </si>
  <si>
    <t>TIR1200</t>
  </si>
  <si>
    <t>PM2293</t>
  </si>
  <si>
    <t>HC1 LCD1 showing offline in IP scanner</t>
  </si>
  <si>
    <t>TIR1201</t>
  </si>
  <si>
    <t>PM2295</t>
  </si>
  <si>
    <t>HC2 LEDI1 is not working and IP also offline -blank</t>
  </si>
  <si>
    <t>checked it online and display ok</t>
  </si>
  <si>
    <t>TIR1202</t>
  </si>
  <si>
    <t>PM2296</t>
  </si>
  <si>
    <t>HC2 LEDI6,LCD6,SWD6 offline in ip scanner-physically they are working good</t>
  </si>
  <si>
    <t>TIR1203</t>
  </si>
  <si>
    <t>EB applied &amp; not getting released, EB was from ATC side due to 5 ATC cards are not working in 93A01 Rack in GCL.</t>
  </si>
  <si>
    <t>TIR1204</t>
  </si>
  <si>
    <t>TCCU2 no take over as master issue</t>
  </si>
  <si>
    <t>NCR1204</t>
  </si>
  <si>
    <t>Replaced a new TCCU and test ok</t>
  </si>
  <si>
    <t>TIR1205</t>
  </si>
  <si>
    <t>Replaces a new CVS agate and test ok</t>
  </si>
  <si>
    <t>TIR1206</t>
  </si>
  <si>
    <t>PM2304</t>
  </si>
  <si>
    <t>HC-2, CVS - Cover panel, one lock is missing</t>
  </si>
  <si>
    <t>TIR1207</t>
  </si>
  <si>
    <t>PM2305</t>
  </si>
  <si>
    <t>TIR1208</t>
  </si>
  <si>
    <t>PM2306</t>
  </si>
  <si>
    <t>HC1-HVAC1-Compressor 3 Noise</t>
  </si>
  <si>
    <t>TIR1209</t>
  </si>
  <si>
    <t>PM2313</t>
  </si>
  <si>
    <t>Hc1-First class passenger saloon light in reverse brightness</t>
  </si>
  <si>
    <t>TIR1210</t>
  </si>
  <si>
    <t>TIR1211</t>
  </si>
  <si>
    <t>PM2307</t>
  </si>
  <si>
    <t>TIR1212</t>
  </si>
  <si>
    <t xml:space="preserve">30k MAINTENANCE </t>
  </si>
  <si>
    <t xml:space="preserve">HC1 AXLE4 LHS primary suspension dummy caps (bottom part ) are missing  HC2 AXLE1 RHS and AXLE4 LHS primary suspension dummy caps (bottom part ) are missing </t>
  </si>
  <si>
    <t>03/08 : Need 8 Pcs to normalize</t>
  </si>
  <si>
    <t>TIR1213</t>
  </si>
  <si>
    <t>TIR1214</t>
  </si>
  <si>
    <t>PM2310</t>
  </si>
  <si>
    <t>IOS61 : At least one door is not operational indication</t>
  </si>
  <si>
    <t>TIR1215</t>
  </si>
  <si>
    <t>Checked PEIs all online and no ios report</t>
  </si>
  <si>
    <t>TIR1216</t>
  </si>
  <si>
    <t>PM2319</t>
  </si>
  <si>
    <t>HC1-HVAC1 compressor 1,2,3 are Noisy</t>
  </si>
  <si>
    <t>TIR1217</t>
  </si>
  <si>
    <t>HC2 Compressor -AirLeakage</t>
  </si>
  <si>
    <t>TIR1218</t>
  </si>
  <si>
    <t>HC1&amp; HC2-Cab Light Dim(inverse )</t>
  </si>
  <si>
    <t>TIR1219</t>
  </si>
  <si>
    <t>HC1- Train can't be sleep</t>
  </si>
  <si>
    <t>TIR1220</t>
  </si>
  <si>
    <t>PM2326</t>
  </si>
  <si>
    <t>HC1-Stinger 750vdc  Power connector female broken(Refer Pic)</t>
  </si>
  <si>
    <t>NCR1220</t>
  </si>
  <si>
    <t>TIR1221</t>
  </si>
  <si>
    <t>HC1-Bogie1 left side Fuse box -JB cable clamp missing(Refer Pic)</t>
  </si>
  <si>
    <t>NCR1221</t>
  </si>
  <si>
    <t>TIR1222</t>
  </si>
  <si>
    <t>PM2327</t>
  </si>
  <si>
    <t>HC1- Becon Antenna cable stressed due to unfit bracket installed</t>
  </si>
  <si>
    <t>TIR1223</t>
  </si>
  <si>
    <t>HC1-HVAC1/LP2 Low level ;HC2-HVAC1/LP2 Low Level</t>
  </si>
  <si>
    <t>TIR1224</t>
  </si>
  <si>
    <t>HC1-Bogie 1 observed abnormal sound while movment</t>
  </si>
  <si>
    <t>TIR1225</t>
  </si>
  <si>
    <t>PM2322</t>
  </si>
  <si>
    <t>Semi permament coupler earth strip missing one bolt</t>
  </si>
  <si>
    <t>TIR1226</t>
  </si>
  <si>
    <t>PM2324</t>
  </si>
  <si>
    <t>HC-02, A-matric exhaust filter Bottom side -  bolt missing and HC-01, Auxillary panel lock is missing</t>
  </si>
  <si>
    <t>NCR1226</t>
  </si>
  <si>
    <t>TIR1227</t>
  </si>
  <si>
    <t>30K maintenance</t>
  </si>
  <si>
    <t>No proper (legible ) torque marks on the axle box outer covers (all the axles )-all marks are faded;none of the ECR(EARTH CURRENT RETURN ) cables  have  proper torque marks on them</t>
  </si>
  <si>
    <t>TIR1228</t>
  </si>
  <si>
    <t>HC2 AXLE3 RHS-one of the clamp holding the odometer cable to the bogie frame is missing -already tied with cable tie</t>
  </si>
  <si>
    <t>TIR1229</t>
  </si>
  <si>
    <t>Lubricator  sticks are not available in stock  HC1- 13 sticks are needed to add; HC2-14 sticks are needed to add</t>
  </si>
  <si>
    <t>TIR1230</t>
  </si>
  <si>
    <t>HC1 HVAC1 not able to launch TEST PROTOCOL as the pre condition is not getting high-but physically  HVAC found working</t>
  </si>
  <si>
    <t>TIR1231</t>
  </si>
  <si>
    <t>PM2300</t>
  </si>
  <si>
    <t>LEDI4,LCD4,SWD4 HC1 are showing offline-Physically they are working good</t>
  </si>
  <si>
    <t>TIR1232</t>
  </si>
  <si>
    <t>PM2330</t>
  </si>
  <si>
    <t>HC1 LCD.C.5 display is black in screen (ip is online )</t>
  </si>
  <si>
    <t>TIR1233</t>
  </si>
  <si>
    <t>ONE GANGWAY PANEL DOOR IS MISSING</t>
  </si>
  <si>
    <t>TIR1234</t>
  </si>
  <si>
    <t>PM2328</t>
  </si>
  <si>
    <t>IOS264 : More than one MUC have a communication fault;In software versions the UMC1,UMC2 showing 0.0.0</t>
  </si>
  <si>
    <t>Checked both TCCU version STR570; Updated software again to follow</t>
  </si>
  <si>
    <t>TIR1235</t>
  </si>
  <si>
    <t>No proper (legible ) torque marks on the axle box outer covers (all the axles )-all marks are faded</t>
  </si>
  <si>
    <t>TIR1236</t>
  </si>
  <si>
    <t>PM2331</t>
  </si>
  <si>
    <t>HC2 DOOR-5 ROOF PANEL IS NOT LOCKED IN ONE END-LOCK ISSUE</t>
  </si>
  <si>
    <t>TIR1237</t>
  </si>
  <si>
    <t>02/08/2022 : logs checked and found MPU restarted without any reason. Train monitored 2 days in the stabling. All are ok.</t>
  </si>
  <si>
    <t>TIR1238</t>
  </si>
  <si>
    <t>IOS15 in the mainline</t>
  </si>
  <si>
    <t>NCR327</t>
  </si>
  <si>
    <t>07/02/2022 : no issue found. Relay =&gt; ok. Loop release =&gt; ok, pressure switch =&gt; ok. MPU trace armed to catch the issue if happen again.</t>
  </si>
  <si>
    <t xml:space="preserve">Traction Frimware issue </t>
  </si>
  <si>
    <t>Updated firmware of version 113, and test no traction issue port</t>
  </si>
  <si>
    <t>TIR1240</t>
  </si>
  <si>
    <t>HC1 windscreen glass broken</t>
  </si>
  <si>
    <t>TIR1241</t>
  </si>
  <si>
    <t>HC 1 Wiper</t>
  </si>
  <si>
    <t>TIR1242</t>
  </si>
  <si>
    <t>HC&amp; side pannel needs repaints</t>
  </si>
  <si>
    <t>TIR1243</t>
  </si>
  <si>
    <t>PM2334</t>
  </si>
  <si>
    <t>TIR1244</t>
  </si>
  <si>
    <t>PM2336</t>
  </si>
  <si>
    <t>TIR1245</t>
  </si>
  <si>
    <t>PM2340</t>
  </si>
  <si>
    <t>Primary 32 suspension bottom cover missing 32 nos</t>
  </si>
  <si>
    <t>TIR1246</t>
  </si>
  <si>
    <t>TIR1247</t>
  </si>
  <si>
    <t>HC1-Bogie2 Left Primary suspension bottom found corrorosion paint scracth</t>
  </si>
  <si>
    <t>TIR1248</t>
  </si>
  <si>
    <t>HC1-Door 2 has delay timing to close ( closing time is not equal to other doors)</t>
  </si>
  <si>
    <t>Tested and no issues observed.</t>
  </si>
  <si>
    <t>PM2339</t>
  </si>
  <si>
    <t>Nvr .1-offline;IOS191 : Loss of video recorder</t>
  </si>
  <si>
    <t>Configuration file missing inside NVR, reupload file and restart NVR. NVR working normally.</t>
  </si>
  <si>
    <t>TIR1250</t>
  </si>
  <si>
    <t xml:space="preserve">TS414 didn’t open doors in all stations in up direction (PF1). Down direction is OK (PF2) </t>
  </si>
  <si>
    <t>TIR1251</t>
  </si>
  <si>
    <t>After the wake-up , the Automatic Combined Test are failed and TOM unavailable in ATS HMI due to AutoTestUMC failed.</t>
  </si>
  <si>
    <t>NCR1251</t>
  </si>
  <si>
    <t>TIR1252</t>
  </si>
  <si>
    <t>At least one minor failure on PCE</t>
  </si>
  <si>
    <t>TIR1253</t>
  </si>
  <si>
    <t>One compressor out of service indication</t>
  </si>
  <si>
    <t>27/02 : no IOS  from MPU logs. Monitored last week also during TT nothing</t>
  </si>
  <si>
    <t>HC_1 Motoring push button not functioning.</t>
  </si>
  <si>
    <t>both side train moving in wash mode with S_MotBrk</t>
  </si>
  <si>
    <t>TIR1254</t>
  </si>
  <si>
    <t>HC1_Inverter cooling fan abnormal sound.</t>
  </si>
  <si>
    <t>TIR1255</t>
  </si>
  <si>
    <t>HC2 – Abnormal sound</t>
  </si>
  <si>
    <t>TIR1256</t>
  </si>
  <si>
    <t xml:space="preserve">PA not working </t>
  </si>
  <si>
    <t>Checked TCCU no received the signal of ISM live announcement, need check ISM side</t>
  </si>
  <si>
    <t>TIR1257</t>
  </si>
  <si>
    <t>Updated TCCU software manually and test Ok</t>
  </si>
  <si>
    <t>TIR1258</t>
  </si>
  <si>
    <t>TIR1259</t>
  </si>
  <si>
    <t>TIR1260</t>
  </si>
  <si>
    <t>SWD-6 HC2 not working</t>
  </si>
  <si>
    <t>TIR1261</t>
  </si>
  <si>
    <t>led2-v2,lcd2-v2,swd2-v2  showing offline in ip scanner</t>
  </si>
  <si>
    <t>TIR1262</t>
  </si>
  <si>
    <t>TIR1263</t>
  </si>
  <si>
    <t>HC2 AXLE4 gearbox oil level is low</t>
  </si>
  <si>
    <t>Need to normalize the oil level</t>
  </si>
  <si>
    <t>TIR1264</t>
  </si>
  <si>
    <t>Gangway internal Panel has minor scratch</t>
  </si>
  <si>
    <t>TIR1265</t>
  </si>
  <si>
    <t>HC1-HVAC2 LP2  Gas level Low</t>
  </si>
  <si>
    <t>TIR1266</t>
  </si>
  <si>
    <t>EB Derailment</t>
  </si>
  <si>
    <t>TIR1267</t>
  </si>
  <si>
    <t xml:space="preserve">New CVS Sw will solve the issue </t>
  </si>
  <si>
    <t>TIR1268</t>
  </si>
  <si>
    <t>TIR1269</t>
  </si>
  <si>
    <t>TIR1270</t>
  </si>
  <si>
    <t>PM2352</t>
  </si>
  <si>
    <t>led2-v2,lcd2-v2,swd2-v2- IP Offline</t>
  </si>
  <si>
    <t>TIR1271</t>
  </si>
  <si>
    <t>PM2353</t>
  </si>
  <si>
    <t xml:space="preserve">HC2 HVAC1 "EXHAUST AIR FAN LOW " and "exhaust air fan high" failed in TEST PROTOCOL procedures and error codes are DF1005,DF1006 </t>
  </si>
  <si>
    <t>TIR1272</t>
  </si>
  <si>
    <t>PM2357</t>
  </si>
  <si>
    <t>To replace SWD</t>
  </si>
  <si>
    <t>TIR1273</t>
  </si>
  <si>
    <t>PM2359</t>
  </si>
  <si>
    <t>HC1 IES stinger connector cover is broken</t>
  </si>
  <si>
    <t>TIR1274</t>
  </si>
  <si>
    <t>HC1 ACE rubber gasket is damaged around the AGATE compartment</t>
  </si>
  <si>
    <t>TIR1275</t>
  </si>
  <si>
    <t>PM2361</t>
  </si>
  <si>
    <t>HC2-Bogie2 Right side odometer cable metal plate clamp missing</t>
  </si>
  <si>
    <t>By part catalog, no metal clamp needed.</t>
  </si>
  <si>
    <t>TIR1276</t>
  </si>
  <si>
    <t>HC2-HSCB not closed after restart then closed</t>
  </si>
  <si>
    <t>Logs download and no major issues observed.</t>
  </si>
  <si>
    <t>TIR1277</t>
  </si>
  <si>
    <t>PM2362</t>
  </si>
  <si>
    <t>Interglass door function  - not open/close fully</t>
  </si>
  <si>
    <t>TIR1278</t>
  </si>
  <si>
    <t>HC1_Door no.4 4 have an  issue getting closed instandly without delay</t>
  </si>
  <si>
    <t>50 seconds delay time not applied</t>
  </si>
  <si>
    <t>TIR1279</t>
  </si>
  <si>
    <t>AGTU HC2  retrofit pending</t>
  </si>
  <si>
    <t>TIR1280</t>
  </si>
  <si>
    <t>TIR1281</t>
  </si>
  <si>
    <t>PM2369</t>
  </si>
  <si>
    <t>gear oil levels are low in HC1 Axle1,axle2,axle3</t>
  </si>
  <si>
    <t>TIR1282</t>
  </si>
  <si>
    <t>PM2370</t>
  </si>
  <si>
    <t>Need inserted tool for fix new inserted.</t>
  </si>
  <si>
    <t>TIR1283</t>
  </si>
  <si>
    <t>PM2371</t>
  </si>
  <si>
    <t>TIR1284</t>
  </si>
  <si>
    <t>PM2372</t>
  </si>
  <si>
    <t>IOS267 : At least one software version discordancy fault</t>
  </si>
  <si>
    <t>TIR1285</t>
  </si>
  <si>
    <t>PM2373</t>
  </si>
  <si>
    <t>HC2, PCE-Underframe cover - need retap</t>
  </si>
  <si>
    <t>TIR1286</t>
  </si>
  <si>
    <t>PM2374</t>
  </si>
  <si>
    <t>HC1-lcd3 offline; HC1-Lcd.3 BLANK,HC2 Lcd3 Dim</t>
  </si>
  <si>
    <t>TIR1287</t>
  </si>
  <si>
    <t>PM2375</t>
  </si>
  <si>
    <t xml:space="preserve">HC2-left side derailment sensor's cable support clamp found  bended,cable has  stressed ( Refer Pic)             </t>
  </si>
  <si>
    <t>TIR1288</t>
  </si>
  <si>
    <t>HC2-SWD 3 offline;HC2 -SWD.3 Half blank,half error message</t>
  </si>
  <si>
    <t>TIR1289</t>
  </si>
  <si>
    <t>HC1-Door 2 getting closed immediately when compare other doors</t>
  </si>
  <si>
    <t>TIR1290</t>
  </si>
  <si>
    <t>Momvement on torque marking bolt connection for automatic coupler assembly</t>
  </si>
  <si>
    <t>TIR1291</t>
  </si>
  <si>
    <t>Accident</t>
  </si>
  <si>
    <t>TIR1292</t>
  </si>
  <si>
    <t>PM2378</t>
  </si>
  <si>
    <t>IOS180 : 1 APC Major failure</t>
  </si>
  <si>
    <t>Checekd aafter CM repair all damaged part and cables. No issue observed.</t>
  </si>
  <si>
    <t>TIR1293</t>
  </si>
  <si>
    <t>PM2381</t>
  </si>
  <si>
    <t xml:space="preserve">HC1-Ledi.6;HC2-Ledi3,Lcd3,Swd3  offline [HC1-Ledi.6-software not up-to-date ,HC2 -Ledi3 Error message] </t>
  </si>
  <si>
    <t>TIR1294</t>
  </si>
  <si>
    <t>PM2382</t>
  </si>
  <si>
    <t>Train is not moving with Cab1 active</t>
  </si>
  <si>
    <t>TIR1296</t>
  </si>
  <si>
    <t>Dirty on the external paint - glue from cocoon</t>
  </si>
  <si>
    <t>TIR1297</t>
  </si>
  <si>
    <t>Loss of LED6V1. Needs to be replaced</t>
  </si>
  <si>
    <t>TIR1298</t>
  </si>
  <si>
    <t>PM2384</t>
  </si>
  <si>
    <t>IP scanner: HVAC1-v1- Offline ; HVAC 1 not communicating</t>
  </si>
  <si>
    <t>all HVAC are online</t>
  </si>
  <si>
    <t>TIR1299</t>
  </si>
  <si>
    <t>PM2387</t>
  </si>
  <si>
    <t>IP scanner: Hc1 Dcu1,3,4&amp;5 - Offline; IOS68 : Zero velocity fault detected by doors</t>
  </si>
  <si>
    <t>24/02 : all doors are online. Checked and no issue observed</t>
  </si>
  <si>
    <t>TIR1300</t>
  </si>
  <si>
    <t>IOS14 : Service brake applied loop in default indication</t>
  </si>
  <si>
    <t>02/24 : F032 : parking brake fault to open seen in BCE1 logs. trace armed and under monitoring</t>
  </si>
  <si>
    <t>TIR1301</t>
  </si>
  <si>
    <t>HVAC1-HC1 not communicating in mona for test protocol</t>
  </si>
  <si>
    <t>no issue found in test mode connection</t>
  </si>
  <si>
    <t>TIR1302</t>
  </si>
  <si>
    <t>PM2388</t>
  </si>
  <si>
    <t>IP Scanner: Swd6-V1 &amp; Swd1-V2- Offline</t>
  </si>
  <si>
    <t>TIR1303</t>
  </si>
  <si>
    <t>TIR1304</t>
  </si>
  <si>
    <t>PM2389</t>
  </si>
  <si>
    <t>TIR1305</t>
  </si>
  <si>
    <t>Partition Door not closing fully</t>
  </si>
  <si>
    <t>TIR1306</t>
  </si>
  <si>
    <t>PM2390</t>
  </si>
  <si>
    <t xml:space="preserve">IP Offline: HC1- All Ledi-V1; HC2- All Ledi-V1, Lcd5-V2                                                    PAPIS Display Visual Status:   HC1:LCD2,LEDI3-Nok; SWD3 Half display with error message; SWD5 Half display      HC2:LEDI2 Nok SW Not Up-To-Date-                                          </t>
  </si>
  <si>
    <t>TIR1307</t>
  </si>
  <si>
    <t>HC1-HVAC1 Compressor1,2,3 are Noisy</t>
  </si>
  <si>
    <t>TIR1308</t>
  </si>
  <si>
    <t>TIR1309</t>
  </si>
  <si>
    <t xml:space="preserve">TCCU hc2  offline </t>
  </si>
  <si>
    <t>Reprogram the firmware &amp; update the software 570 by Nayas</t>
  </si>
  <si>
    <t>TIR1310</t>
  </si>
  <si>
    <t>TIR1311</t>
  </si>
  <si>
    <t>TIR1312</t>
  </si>
  <si>
    <t>SWD6-V1 half display,ledi6-v1 error and offline</t>
  </si>
  <si>
    <t>NCR1312</t>
  </si>
  <si>
    <t>TIR1313</t>
  </si>
  <si>
    <t>SWD6-V2;LCD6-V2;LEDI6-V2 offline</t>
  </si>
  <si>
    <t>NCR1313</t>
  </si>
  <si>
    <t>TIR1314</t>
  </si>
  <si>
    <t>PM2397</t>
  </si>
  <si>
    <t>NCR1314</t>
  </si>
  <si>
    <t xml:space="preserve">01/03 : Need to change the CRS5 V2. delay to power on and as effect it will generate the IOS242. new crs installed and test ok. Crs took from 605 because no more spare available </t>
  </si>
  <si>
    <t>TIR1315</t>
  </si>
  <si>
    <t>TIR1316</t>
  </si>
  <si>
    <t>HVAC1-V1  gas level Low pressure 1 &amp; 2</t>
  </si>
  <si>
    <t>TIR1317</t>
  </si>
  <si>
    <t>PM2398</t>
  </si>
  <si>
    <t>TIR1318</t>
  </si>
  <si>
    <t>HC1-HVAC1 Compressor1,2,3&amp;4 are Noisy.</t>
  </si>
  <si>
    <t>HC2_not able to sleep</t>
  </si>
  <si>
    <t>TIR1320</t>
  </si>
  <si>
    <t>Long Docking happened a lots</t>
  </si>
  <si>
    <t>TIR1321</t>
  </si>
  <si>
    <t>IOS199+ IOS196</t>
  </si>
  <si>
    <t>TIR1322</t>
  </si>
  <si>
    <t>IOS243 : One TRS Or NETBOX have a communication fault.</t>
  </si>
  <si>
    <t>Same  TIR1315 =&gt; Same CMN</t>
  </si>
  <si>
    <t>TIR1323</t>
  </si>
  <si>
    <t>IOS126 appeared &amp; disappeared after “maybe because of the dust inside the tunnel”,  IOS126 : External smoke is detected.</t>
  </si>
  <si>
    <t>TIR1324</t>
  </si>
  <si>
    <t>IOS64 : Door RELEASE control fault train indication</t>
  </si>
  <si>
    <t>TIR1325</t>
  </si>
  <si>
    <t>IOS196: Loss of at least 1 PEI in a class</t>
  </si>
  <si>
    <t>TIR1326</t>
  </si>
  <si>
    <t>Under Frame noise, as per our team they suspect flat wheel.</t>
  </si>
  <si>
    <t>TIR1327</t>
  </si>
  <si>
    <t>TIR1328</t>
  </si>
  <si>
    <t>PM2404</t>
  </si>
  <si>
    <t xml:space="preserve">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t>
  </si>
  <si>
    <t>TIR1329</t>
  </si>
  <si>
    <t>wheel flat on HC2 Bogie 2- Right side Axle 3- Needs to be checked( Refer Pic)</t>
  </si>
  <si>
    <t>TIR1330</t>
  </si>
  <si>
    <t>TIR1331</t>
  </si>
  <si>
    <t>Hc2 Sleep button Not working</t>
  </si>
  <si>
    <t>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t>
  </si>
  <si>
    <t>TIR1332</t>
  </si>
  <si>
    <t>PM2408</t>
  </si>
  <si>
    <t>HC1-DCU5 offline ;  DCU failed in auto test</t>
  </si>
  <si>
    <t>all door was online and working fine</t>
  </si>
  <si>
    <t>TIR1333</t>
  </si>
  <si>
    <t xml:space="preserve">TCCU2 no communication with ISM </t>
  </si>
  <si>
    <t>NCR1333</t>
  </si>
  <si>
    <t>TIR1334</t>
  </si>
  <si>
    <t>PM2410</t>
  </si>
  <si>
    <t>HC1 AXLE 3 gear oil level is low</t>
  </si>
  <si>
    <t>TIR1335</t>
  </si>
  <si>
    <t>Both Gangway door panels are Not available</t>
  </si>
  <si>
    <t>TIR1336</t>
  </si>
  <si>
    <t>HC1 CVS gasket (surrounding the AGATE panel )came out condition</t>
  </si>
  <si>
    <t>TIR1337</t>
  </si>
  <si>
    <t>PM2412</t>
  </si>
  <si>
    <t>HC1 SWD2 half of the display is in blue colour and the other half is working normal</t>
  </si>
  <si>
    <t>TIR1338</t>
  </si>
  <si>
    <t>PM2407</t>
  </si>
  <si>
    <t>TIR1339</t>
  </si>
  <si>
    <t>PM2413</t>
  </si>
  <si>
    <t>TIR1341</t>
  </si>
  <si>
    <t>. Found also wire (41K05_XR_01/A3) damaged short with body.</t>
  </si>
  <si>
    <t>TIR1342</t>
  </si>
  <si>
    <t>PM2415</t>
  </si>
  <si>
    <t>TIR1343</t>
  </si>
  <si>
    <t>PM2416</t>
  </si>
  <si>
    <t>HC2, BOGIE-1, Right side, CCD HV cable no clamp for return line</t>
  </si>
  <si>
    <t>TIR1344</t>
  </si>
  <si>
    <t>PM2417</t>
  </si>
  <si>
    <t>TIR1345</t>
  </si>
  <si>
    <t>PM2418</t>
  </si>
  <si>
    <t>TIR1346</t>
  </si>
  <si>
    <t>PM2419</t>
  </si>
  <si>
    <t>HC2 PCE filter cover needs retapping for bolt</t>
  </si>
  <si>
    <t>TIR1347</t>
  </si>
  <si>
    <t>PM2420</t>
  </si>
  <si>
    <t>TIR1348</t>
  </si>
  <si>
    <t>PM2421</t>
  </si>
  <si>
    <t>TIR1349</t>
  </si>
  <si>
    <t>PM2422</t>
  </si>
  <si>
    <t>HC1 AXLE 3 gear box oil level is low</t>
  </si>
  <si>
    <t>Oil level ok</t>
  </si>
  <si>
    <t>TIR1350</t>
  </si>
  <si>
    <t>PM2423</t>
  </si>
  <si>
    <t>TIR1351</t>
  </si>
  <si>
    <t>PM2424</t>
  </si>
  <si>
    <t>Partition door takes too long to open</t>
  </si>
  <si>
    <t>TIR1352</t>
  </si>
  <si>
    <t>PM2425</t>
  </si>
  <si>
    <t>Gangway internal Panel has minor scratch( Refer PIC)</t>
  </si>
  <si>
    <t>TIR1353</t>
  </si>
  <si>
    <t>Issue Detected in Train 605A &amp; 605B: Missing/ Damage External Safety labels for Battery Box (see photo attached)</t>
  </si>
  <si>
    <t>NCR1353</t>
  </si>
  <si>
    <t>TIR1354</t>
  </si>
  <si>
    <t>Issue Detected in Train 409 &amp; 601: Bolt class requirement FOR AUTOMATIC COUPLER CLASS A4-80 DOES NOT MATCH with the actual installed bolts of CLASS A4-70.  (see photo attached)</t>
  </si>
  <si>
    <t>TIR1355</t>
  </si>
  <si>
    <t>Bolt were installed for earthing cable.</t>
  </si>
  <si>
    <t>TIR1356</t>
  </si>
  <si>
    <t>Issue Detected in Train 406: Automatic Coupler assembly bolt connection was having signs of movement on torque markings @ Train 406B.  (see photo attached)</t>
  </si>
  <si>
    <t>TIR1357</t>
  </si>
  <si>
    <t>Issue Detected in Train 607: Automatic Coupler assembly bolt connection was having signs of movement on torque markings @ Train 607B.  (see photo attached)</t>
  </si>
  <si>
    <t>TIR1358</t>
  </si>
  <si>
    <t>ssue Detected in Train 406 &amp; 614: Torque marking were no longer visible (fully covered with dust/dirt) to serve its purpose for easy identification for any loose bolt connection.  This condition was observed in many trains. (see photo attached)</t>
  </si>
  <si>
    <t>TIR1359</t>
  </si>
  <si>
    <t>TIR1360</t>
  </si>
  <si>
    <t xml:space="preserve">Issue Detected in Train 611: Torque marking were no longer visible (fully covered with dust/dirt) to serve its purpose for easy identification for any loose bolt connection @ Train 611B Bogie 2. </t>
  </si>
  <si>
    <t>TIR1361</t>
  </si>
  <si>
    <t>Issue Detected in Train 402: Obvious signs of movement on torque marking for bolt fasterners @ Train 402A Bogie 2 Axle no. 3 Right side odometer cover.  (see photo attached)</t>
  </si>
  <si>
    <t>TIR1362</t>
  </si>
  <si>
    <t>Issue Detected in Train 623: Material (net) stuck in Front wiper Train 623A which might affect its functionality later on.  (see photo attached)</t>
  </si>
  <si>
    <t>TIR1363</t>
  </si>
  <si>
    <t>Issue Detected in Train 615: Fire extinguisher tag not updated.  (see photo attached)</t>
  </si>
  <si>
    <t>SAFETY AND SECURITY EQUIPMENTS</t>
  </si>
  <si>
    <t>TIR1364</t>
  </si>
  <si>
    <t>HC1: LV box-battery connector hinge is missing</t>
  </si>
  <si>
    <t>TIR1365</t>
  </si>
  <si>
    <t>HC2 PCE BOX cooling fan cover needs retapping</t>
  </si>
  <si>
    <t>TIR1366</t>
  </si>
  <si>
    <t>TIR1367</t>
  </si>
  <si>
    <t>LUBE STICKS Needed HC1: L-2+2   ,R-2+1 ,HC2:L-1+1</t>
  </si>
  <si>
    <t>TIR1368</t>
  </si>
  <si>
    <t>Lube sticks - HC-1: L-2+3, R - 2+3 and HC-2, R-2+3, L- 3+2.  total - 20 Nos needed</t>
  </si>
  <si>
    <t>TIR1369</t>
  </si>
  <si>
    <t>PM2426</t>
  </si>
  <si>
    <t>HC2,  Electrical coupler isolate cock is missing (handle)</t>
  </si>
  <si>
    <t>TIR1370</t>
  </si>
  <si>
    <t>Checked and found the CVS software still not update and inside CVS history still present reversible issue as result kajor fault will appeared. (Under monitoring after software update).</t>
  </si>
  <si>
    <t>TIR1371</t>
  </si>
  <si>
    <t>LUBE STICKS Needed HC1: L-3+2,R- 3+3 HC2:L- 3+2 ,R-3 +3</t>
  </si>
  <si>
    <t>TIR1372</t>
  </si>
  <si>
    <t>PM2427</t>
  </si>
  <si>
    <t>HC2, PCE box, One screw need retap at cooling fan cover</t>
  </si>
  <si>
    <t>TIR1373</t>
  </si>
  <si>
    <t>Lube stick HC-1 : R-3+2, L-3+3. and HC-2, L-2+2, R - 2+2.  total = 19 Nos Needed</t>
  </si>
  <si>
    <t>TIR1374</t>
  </si>
  <si>
    <t>PM2428</t>
  </si>
  <si>
    <t>Ip scanner : HC2 LEDI2 ,SWD,LCD2 showing offline in  &amp; physically data not updated in display</t>
  </si>
  <si>
    <t>TIR1375</t>
  </si>
  <si>
    <t>LUBE STICKS Needed HC1: L-3+3 ,R- 3+3 HC2:L- 2+3 ,R- 2+3</t>
  </si>
  <si>
    <t>TIR1376</t>
  </si>
  <si>
    <t>PM2429</t>
  </si>
  <si>
    <t>PCE2 failed in Auto test and Offline in TCN; Ip Offline: PCE2; IOS235 : Faulty auto test on at least one    PCE; IOS245 : One PCE have a communication fault</t>
  </si>
  <si>
    <t>TIR1377</t>
  </si>
  <si>
    <t>PM2430</t>
  </si>
  <si>
    <t>IP offline : HC1-LEDI.1-offline ; HC2- LEDI2,LEDI4,LCD4,swd4  Display Visual Status: HC2- Ledi2- White, Lcd3- Dim, Lcd4- Black, Swd5- Nok Black</t>
  </si>
  <si>
    <t>TIR1378</t>
  </si>
  <si>
    <t>PM2431</t>
  </si>
  <si>
    <t xml:space="preserve">IP Offline : HC2- PEI1,3,5 &amp; LEDI 1,3,5 &amp; LCD1,3,5 &amp; SWD1,3,5 &amp; CAMI2  IOS192 : Loss of at least one camera ; IOS196 : Loss of at least 1 PEI in a class; </t>
  </si>
  <si>
    <t>TIR1379</t>
  </si>
  <si>
    <t>PM2432</t>
  </si>
  <si>
    <t>HC1-HVAC1 -Gas level low LP2</t>
  </si>
  <si>
    <t>TIR1380</t>
  </si>
  <si>
    <t>PM2438</t>
  </si>
  <si>
    <t>IP Offline : Ledi4-v1; PAPIS Display Visual Status : Ledi1- v1 Blank</t>
  </si>
  <si>
    <t>PACIS: LCD display Palm tree</t>
  </si>
  <si>
    <t>TIR1381</t>
  </si>
  <si>
    <t>PEED Reset from CC not working for all EED in the train (HC1-HC2 Both side)</t>
  </si>
  <si>
    <t>DRS: Emergency unlocking switch</t>
  </si>
  <si>
    <t>TIR1382</t>
  </si>
  <si>
    <t>Lube sticks required are at HC1 L-2+3, R- 3+3 and HC2 - L- 2+2 , R- 2+2. Total - 19 Nos</t>
  </si>
  <si>
    <t>TIR1383</t>
  </si>
  <si>
    <t>Lube sticks required are at HC1 L- 2+2, R- 2+2 and HC2  L- 2+2 , R- 2+2. Total - 16 Nos</t>
  </si>
  <si>
    <t>TIR1386</t>
  </si>
  <si>
    <t>IOS252 : One ATC have a communication fault</t>
  </si>
  <si>
    <t>03/03 : Found CRS_ATC breakers OFF. also SIG modem in HC2 ON (this breaker should be OFF in TU4. No more IOS after normalizing</t>
  </si>
  <si>
    <t>TIR1387</t>
  </si>
  <si>
    <t>HVAC1-V1 Performance issue (check  gas level )</t>
  </si>
  <si>
    <t>TIR1388</t>
  </si>
  <si>
    <t>TIR1389</t>
  </si>
  <si>
    <t>TIR1390</t>
  </si>
  <si>
    <t>TIR1391</t>
  </si>
  <si>
    <t>TIR1392</t>
  </si>
  <si>
    <t>TIR1393</t>
  </si>
  <si>
    <t>TIR1394</t>
  </si>
  <si>
    <t>ISM showing TCCU no comm</t>
  </si>
  <si>
    <t>TIR1395</t>
  </si>
  <si>
    <t>ISM showing PEI3V1 no comm</t>
  </si>
  <si>
    <t>TIR1396</t>
  </si>
  <si>
    <t>ISM showing PEI2V2 no comm</t>
  </si>
  <si>
    <t>TIR1397</t>
  </si>
  <si>
    <t>ISM showing PEI4V1 no comm</t>
  </si>
  <si>
    <t>TIR1398</t>
  </si>
  <si>
    <t>ISM showing PEI2V1 no comm</t>
  </si>
  <si>
    <t>TIR1399</t>
  </si>
  <si>
    <t>ISM showing PA_CTRL &amp; PA_Zone Train no comm</t>
  </si>
  <si>
    <t>TIR1400</t>
  </si>
  <si>
    <t>One CCD of the HC1 bogie 2, one CC arm and shoe have been damaged after an incident on the mainline</t>
  </si>
  <si>
    <t>TIR1401</t>
  </si>
  <si>
    <t>Current Collector to Fuse Box cable damaged after an incident on the mainline</t>
  </si>
  <si>
    <t>TIR1402</t>
  </si>
  <si>
    <t>Earth return unit and grounding damaged after an incident on the mainline</t>
  </si>
  <si>
    <t>TIR1403</t>
  </si>
  <si>
    <t>Two 750V cables were damaged after an incident on the mainline</t>
  </si>
  <si>
    <t>TIR1404</t>
  </si>
  <si>
    <t>3 CCDs shoes, 3 CCD arms and 3 sets of CC to fuse box cables damaged after an incident on the mainline</t>
  </si>
  <si>
    <t>TIR1405</t>
  </si>
  <si>
    <t>A derailment detector cable was damaged after an incident on the mainline</t>
  </si>
  <si>
    <t>TIR1406</t>
  </si>
  <si>
    <t>The odometer and its cover were damaged after an incident on the mainline</t>
  </si>
  <si>
    <t>TIR1407</t>
  </si>
  <si>
    <t>WSP cable damaged after an incident on the mainline</t>
  </si>
  <si>
    <t>TIR1408</t>
  </si>
  <si>
    <t xml:space="preserve">LEDI1-V2 offline </t>
  </si>
  <si>
    <t>Updated software manually and test ok</t>
  </si>
  <si>
    <t>TIR1409</t>
  </si>
  <si>
    <t>TCCU,NVR,cameras unknown status in ISM</t>
  </si>
  <si>
    <t>TIR1410</t>
  </si>
  <si>
    <t>ISM show pei3-v1,pei3-v2 no communication</t>
  </si>
  <si>
    <t>TIR1411</t>
  </si>
  <si>
    <t>TIR1412</t>
  </si>
  <si>
    <t>TCCU,NVR,cameras no communication in ISM</t>
  </si>
  <si>
    <t>TIR1413</t>
  </si>
  <si>
    <t>TIR1414</t>
  </si>
  <si>
    <t>TIR1415</t>
  </si>
  <si>
    <t>TCCU,NVR,cameras unknown in ISM</t>
  </si>
  <si>
    <t>TIR1416</t>
  </si>
  <si>
    <t>TIR1417</t>
  </si>
  <si>
    <t>TIR1418</t>
  </si>
  <si>
    <t>TIR1419</t>
  </si>
  <si>
    <t>TIR1420</t>
  </si>
  <si>
    <t>Traction 750V connector was damaged during train movement in the workshop</t>
  </si>
  <si>
    <t>TIR1421</t>
  </si>
  <si>
    <t>PEI3-V1 lost communication</t>
  </si>
  <si>
    <t>Replaced a new pei and test ok</t>
  </si>
  <si>
    <t>No</t>
  </si>
  <si>
    <t>TIR1422</t>
  </si>
  <si>
    <t>TIR status</t>
  </si>
  <si>
    <t>CM Progress</t>
  </si>
  <si>
    <t>CM PIC</t>
  </si>
  <si>
    <t>TIR Creation Date</t>
  </si>
  <si>
    <t>TIR Ref</t>
  </si>
  <si>
    <t>Troubleshooting PIC</t>
  </si>
  <si>
    <t>Troubleshooting Status</t>
  </si>
  <si>
    <t>TIR Impact</t>
  </si>
  <si>
    <t>Troubleshooting Progress</t>
  </si>
  <si>
    <t>Troubleshooting Closure</t>
  </si>
  <si>
    <t>Troubleshooting Closure Date</t>
  </si>
  <si>
    <t>CM Closure Date</t>
  </si>
  <si>
    <t>Sub-System</t>
  </si>
  <si>
    <t>Already created NCR</t>
  </si>
  <si>
    <t>Painted.</t>
  </si>
  <si>
    <t>HC1 front skirt scratched</t>
  </si>
  <si>
    <t>TIR1423</t>
  </si>
  <si>
    <t>IOS264: More than one MUC have a communication fault.</t>
  </si>
  <si>
    <t>Checked that no IOS 264 reported. Updated tccu2 software and test ok</t>
  </si>
  <si>
    <t>TIR1424</t>
  </si>
  <si>
    <t>TIR1425</t>
  </si>
  <si>
    <t>TIR1426</t>
  </si>
  <si>
    <t>IOS191 : Loss of video recorder</t>
  </si>
  <si>
    <t>Found tccu1 report wrongly, and we updated TCCU1 software and test ok</t>
  </si>
  <si>
    <t>TIR1427</t>
  </si>
  <si>
    <t>IOS195 : Loss of All PEI in the same class</t>
  </si>
  <si>
    <t>Found tccu1 report all PEI lost communication issue, and we updated software and test ok</t>
  </si>
  <si>
    <t>TIR1428</t>
  </si>
  <si>
    <t>TIR1429</t>
  </si>
  <si>
    <t>IOS192 : Loss of at least one camera</t>
  </si>
  <si>
    <t>TIR1430</t>
  </si>
  <si>
    <t>found TCCU1 lost communication, and reboot it and ok, still checking with supplier of software issue</t>
  </si>
  <si>
    <t>TIR1431</t>
  </si>
  <si>
    <t>TIR1432</t>
  </si>
  <si>
    <t>PM2497</t>
  </si>
  <si>
    <t>IP Offline : Lcd1 - v2</t>
  </si>
  <si>
    <t>TIR1433</t>
  </si>
  <si>
    <t>PM2499</t>
  </si>
  <si>
    <t>IP Offline : Lcd6,Led6,Swd6 - v1</t>
  </si>
  <si>
    <t>BRK-AIR: PRESSURE SWITCH 0,2 bar FALLING SET WITH 1 CONTACT</t>
  </si>
  <si>
    <t>PACIS: Network Video Recorder (NVR)</t>
  </si>
  <si>
    <t>PACIS: Train Control Unit (TCCU) - 42HP</t>
  </si>
  <si>
    <t>PACIS: Internal Camera FULL HD (4mm Lens) Alpha Angle</t>
  </si>
  <si>
    <t>TIR1434</t>
  </si>
  <si>
    <t>PM2517</t>
  </si>
  <si>
    <t>IP Offline : ledi2-v1, lcd1-v1, swd2-v1</t>
  </si>
  <si>
    <t>TIR1435</t>
  </si>
  <si>
    <t>PM2519</t>
  </si>
  <si>
    <t>IP Offline : ledi3-v2, lcd3-v2, swd3-v2</t>
  </si>
  <si>
    <t>TIR1436</t>
  </si>
  <si>
    <t xml:space="preserve">HC2_ROM - Missing of Male connector for 72W03+ROM_XP_ETH1 of Openbat-F Simple Radio Onboard(DTR0000397019) </t>
  </si>
  <si>
    <t>TIR1437</t>
  </si>
  <si>
    <t>IOS228 : At least one minor failure on PCE &amp; IOS226 : Loss of traction and ED brake on one PCE</t>
  </si>
  <si>
    <t>Traction: Traction control unit</t>
  </si>
  <si>
    <t>TIR1438</t>
  </si>
  <si>
    <t>TIR1439</t>
  </si>
  <si>
    <t>IOS192:Loss of at least 1 camera</t>
  </si>
  <si>
    <t>TIR1440</t>
  </si>
  <si>
    <t>TIR1441</t>
  </si>
  <si>
    <t>CRS5-HC1 Offline</t>
  </si>
  <si>
    <t>TCN: CRS V2</t>
  </si>
  <si>
    <t>TIR1442</t>
  </si>
  <si>
    <t>TIR1443</t>
  </si>
  <si>
    <t>TCCU2 faulty</t>
  </si>
  <si>
    <t>TIR1444</t>
  </si>
  <si>
    <t>CRS1-HC2 Offline</t>
  </si>
  <si>
    <t>TIR1445</t>
  </si>
  <si>
    <t>TCCU2 TCN offline</t>
  </si>
  <si>
    <t>Updated PEI software manually and test ok</t>
  </si>
  <si>
    <t>Lcd1_V2, ledi1_V2, swd1_V2 blank &amp; multimedia not update</t>
  </si>
  <si>
    <t>ledi5_V2 blank &amp; multimedia not update</t>
  </si>
  <si>
    <t xml:space="preserve">Replaced a new PEI </t>
  </si>
  <si>
    <t>HC2-SWD.3 NOK</t>
  </si>
  <si>
    <t>updated software OK</t>
  </si>
  <si>
    <t>LEDI6-V1</t>
  </si>
  <si>
    <t>LEDI4-V2 error dispaly</t>
  </si>
  <si>
    <t>LCD6-V1,SWD6-V1,LEDI6-V1 offline</t>
  </si>
  <si>
    <t>SWD4-V2 offline and dark</t>
  </si>
  <si>
    <t>SWD2-V2 half display</t>
  </si>
  <si>
    <t>Display Status [ SWD1-V1 NOK]</t>
  </si>
  <si>
    <t>Display Status [ LCD1/V2 ]</t>
  </si>
  <si>
    <t>PACIS: LCD 16/9 (18,5")</t>
  </si>
  <si>
    <t>Updated PEI software manually and test OK</t>
  </si>
  <si>
    <t>Display status: SWD6 -HC1</t>
  </si>
  <si>
    <t xml:space="preserve">Display status: SWD2-HC2 </t>
  </si>
  <si>
    <t>IP offline { SWD3V1,LCD3V1,LED3V1,10.130.143.1,10.130.142.254 Netmm.virt.local }</t>
  </si>
  <si>
    <t>1/3/2022:Netbox found the power supply cable loose, connect it and test ok</t>
  </si>
  <si>
    <t>TCN: Netbox</t>
  </si>
  <si>
    <t xml:space="preserve">Display Status { Ledi1-v1 blurring, </t>
  </si>
  <si>
    <t xml:space="preserve">1/3/2022:Updated LEDIs software manually and OK. </t>
  </si>
  <si>
    <t>Display Status { Ledi1-v2 blurring,}</t>
  </si>
  <si>
    <t>1/3/2022:Updated LEDIs software manually and OK.</t>
  </si>
  <si>
    <t>LEDI4-V1 Dark issue</t>
  </si>
  <si>
    <t xml:space="preserve">LCD2-V2 deem issue                                                                                                                         </t>
  </si>
  <si>
    <t>SWD3-V1 half display</t>
  </si>
  <si>
    <t>LCD1_V1 ,dim issue</t>
  </si>
  <si>
    <t>LCD2-V2, dim issue</t>
  </si>
  <si>
    <t>LCD5-V2 offline and dark issue</t>
  </si>
  <si>
    <t>Display Status [ HC2 {SWD2-blank }</t>
  </si>
  <si>
    <t>Display Status  {HC2 SWD5- No image }</t>
  </si>
  <si>
    <t>swd4-v2 not ok</t>
  </si>
  <si>
    <t>ledi5-v2 not ok</t>
  </si>
  <si>
    <t>Swd4-V1 Dark</t>
  </si>
  <si>
    <t>Lcd5-V1 offline</t>
  </si>
  <si>
    <t xml:space="preserve">03/21 : Check List will be open in order to check all the fleet. Ongoing discussion between Elie and frederic. </t>
  </si>
  <si>
    <t>Update PEI software manually and test Ok</t>
  </si>
  <si>
    <t>TIR created for corrective action</t>
  </si>
  <si>
    <t>TCN: BRIO02 24-110V 40E8SR2SS2EAU2EAI1SA ETH</t>
  </si>
  <si>
    <t>03/21 : Check List will be open in order to check all the fleet. Ongoing discussion between Elie and frederic.</t>
  </si>
  <si>
    <t>CVS: Agathe AA3S</t>
  </si>
  <si>
    <t>TIR1446</t>
  </si>
  <si>
    <t>TIR1447</t>
  </si>
  <si>
    <t>IOS61:At least one door is not operational indication</t>
  </si>
  <si>
    <t>TIR1448</t>
  </si>
  <si>
    <t>Air Dryer fault ( compressor 2 ).</t>
  </si>
  <si>
    <t>TIR1449</t>
  </si>
  <si>
    <t>Door RELEASE circuit breaker tripped fault.</t>
  </si>
  <si>
    <t>Circuit breaker 31Q02 feedback faulty. Need to change.</t>
  </si>
  <si>
    <t>TIR1450</t>
  </si>
  <si>
    <t>TIR1451</t>
  </si>
  <si>
    <t>TIR1452</t>
  </si>
  <si>
    <t>checked and all ok</t>
  </si>
  <si>
    <t>PEI3-V1 light keep on issue</t>
  </si>
  <si>
    <t>TIR1453</t>
  </si>
  <si>
    <t>IOS176 : 1 LV Permanent or LV Prepared application fault (protection tripped, or contactor control/command inconsistency)</t>
  </si>
  <si>
    <t>Found CB_52Q17 were switch off.</t>
  </si>
  <si>
    <t>TIR1454</t>
  </si>
  <si>
    <t>TIR1455</t>
  </si>
  <si>
    <t xml:space="preserve">Replaced a new PEI and test new PEI3-V1 light ON issue </t>
  </si>
  <si>
    <t>TIR1456</t>
  </si>
  <si>
    <t>Replaced a new PEI and test ok</t>
  </si>
  <si>
    <t>TIR1457</t>
  </si>
  <si>
    <t>TIR1458</t>
  </si>
  <si>
    <t>TIR1459</t>
  </si>
  <si>
    <t>GANGWAYS &amp; ARTICULATIONS</t>
  </si>
  <si>
    <t>DRIVER INTERFACE</t>
  </si>
  <si>
    <t>Syb-System</t>
  </si>
  <si>
    <t>Replaced a new TCCU, and test ok</t>
  </si>
  <si>
    <t>BRK-AIR: AGTU GROUP</t>
  </si>
  <si>
    <t>PM2532</t>
  </si>
  <si>
    <t>IP Offline : CTRL 2, PA2,UMC auto test fail ; UMC2 Software 0.0.0.;IOS251 : One MUC have a communication fault</t>
  </si>
  <si>
    <t>TCCU2 Off</t>
  </si>
  <si>
    <t>PM2533</t>
  </si>
  <si>
    <t>IP Offline : PEI 1 V2, PEI 5 V2</t>
  </si>
  <si>
    <t>PM2534</t>
  </si>
  <si>
    <t>Trains Readiness</t>
  </si>
  <si>
    <t>HC1-CCC panel scratched .</t>
  </si>
  <si>
    <t>CCC Panel -HC1:scratches</t>
  </si>
  <si>
    <t>TIR1460</t>
  </si>
  <si>
    <t>TIR1461</t>
  </si>
  <si>
    <t>TIR1462</t>
  </si>
  <si>
    <t>HC1- obstacle cable stressed by  bracket</t>
  </si>
  <si>
    <t>TIR1463</t>
  </si>
  <si>
    <t>IOS265 : More than one ATC have a communication fault</t>
  </si>
  <si>
    <t>Corrected with glue back the rubber gasket.</t>
  </si>
  <si>
    <t>13/3 : all damaged part already replaced and NRT done by Ahmad.</t>
  </si>
  <si>
    <t>Removed the net.</t>
  </si>
  <si>
    <t>Need new harting connetor for installation.</t>
  </si>
  <si>
    <t>TIR1464</t>
  </si>
  <si>
    <t>TIR1465</t>
  </si>
  <si>
    <t>408_HC2_CCC_BRIO3_V2 Off</t>
  </si>
  <si>
    <t>TIR1466</t>
  </si>
  <si>
    <t>IOS123</t>
  </si>
  <si>
    <t>Checked CRS1-V2 online and all devices related also online</t>
  </si>
  <si>
    <t>Checked and found the PCB card have issue and also the air dryer contaminated by oil. Need to change the Air dryer assembly</t>
  </si>
  <si>
    <t>PEI 1 V2, PEI 5 V2 Updated software manually and test ok</t>
  </si>
  <si>
    <t>IP Offline : PEI 1 V2 , TCCU loss of communication</t>
  </si>
  <si>
    <t>Checked pei and tccu2 online and version 570</t>
  </si>
  <si>
    <t>Changed new BRIO.</t>
  </si>
  <si>
    <t>No issue observed (fault apperared duemalfunction of BRIO)</t>
  </si>
  <si>
    <t>TIR1467</t>
  </si>
  <si>
    <t>TIR1468</t>
  </si>
  <si>
    <t>TIR1469</t>
  </si>
  <si>
    <t>TIR1470</t>
  </si>
  <si>
    <t>TIR1471</t>
  </si>
  <si>
    <t>TIR1472</t>
  </si>
  <si>
    <t>TIR1473</t>
  </si>
  <si>
    <t>TIR1474</t>
  </si>
  <si>
    <t>TIR1475</t>
  </si>
  <si>
    <t>TIR1476</t>
  </si>
  <si>
    <t>TIR1477</t>
  </si>
  <si>
    <t>TIR1478</t>
  </si>
  <si>
    <t>TIR1479</t>
  </si>
  <si>
    <t>TIR1480</t>
  </si>
  <si>
    <t>TIR1481</t>
  </si>
  <si>
    <t>IOS174 : MV Earthing fault ; IOS1 : One compressor out of service indication</t>
  </si>
  <si>
    <t>Found in HC1_LV Box 2 circuit breaker (52Q49 : MV Earthing CB and 52Q30 : LoadShed30sec1) was OFF/Tripped position. Need to check further or compressor-1 if there any equipment effected both CB tripped.</t>
  </si>
  <si>
    <t>TIR1482</t>
  </si>
  <si>
    <t>T410 as a sweep train, reported cannot drive from HC1. Shown IOS30 : EB control and command discordance and cannot be reset.</t>
  </si>
  <si>
    <t xml:space="preserve">Nothing found in logs and test done 3 times for both compresor no issue </t>
  </si>
  <si>
    <t>Bracket repaired and all related cable checked and no issue oberved.</t>
  </si>
  <si>
    <t>Checked with Hc1 and Hc2 active no issue found</t>
  </si>
  <si>
    <t>Need for wheel profiling.</t>
  </si>
  <si>
    <t>Bogie: Motor wheelset assembly and half-coupling</t>
  </si>
  <si>
    <t>train woke up 3 times without any issue. Logs checked and found sometime ATC lost communication with TCMS but we don't know if ATC was off or not at this time. Trace armed if issue happen again.</t>
  </si>
  <si>
    <t>PMIOS182 : One Battery is isolated, or Battery protection tripped, or Battery not charging</t>
  </si>
  <si>
    <t>IP Offline : papis pa.2-ctrl-2,UMC auto test fail ; UMC2 Software 0.0.0.;IOS251 : One MUC have a communication fault</t>
  </si>
  <si>
    <t>IOS182 : One Battery is isolated, or Battery protection tripped, or Battery not charging</t>
  </si>
  <si>
    <t>software version : UMC2 0.0.0;IOS251 : One MUC have a communication fault ; Display Status: HC1-SWD4 blank; HC2-SWD5-Half  blank</t>
  </si>
  <si>
    <t>IOS51 : Discordance between information TCMS coupled and ATC. The relays stuck at resting position but ATC status is coupled.</t>
  </si>
  <si>
    <t xml:space="preserve">IOS290 : ATC EB command discordance </t>
  </si>
  <si>
    <t>IOS125 : At least one external smoke sensor is on failure</t>
  </si>
  <si>
    <t>Checked and found 61K14 relay malfunction in HC1.</t>
  </si>
  <si>
    <t>TIR1483</t>
  </si>
  <si>
    <t xml:space="preserve">IOS252 : One ATC have a communication fault. </t>
  </si>
  <si>
    <t>Checked the MPU logs and shown “F_TCN_ATC2ComNOK”, and first fault shown since 3rd Mar 22. I asked SLV team Chandra to check their side. No more issue as per SLV team after their intervention</t>
  </si>
  <si>
    <t>TIR1484</t>
  </si>
  <si>
    <t>IOS199 : Loss of all interior LCD compact displays in the same platform</t>
  </si>
  <si>
    <t>TIR1485</t>
  </si>
  <si>
    <t>TIR1486</t>
  </si>
  <si>
    <t>TIR1487</t>
  </si>
  <si>
    <t>IOS178 : 30s shedding contactor application fault (loss of 1 air compressor, screens, full lights…), appeared then disappeared.</t>
  </si>
  <si>
    <t>TIR1488</t>
  </si>
  <si>
    <t>Feb log report Traction isolation 625</t>
  </si>
  <si>
    <t>TIR1489</t>
  </si>
  <si>
    <t>IP offline-Papis Pa2,Hc1-SWD1</t>
  </si>
  <si>
    <t>TIR1490</t>
  </si>
  <si>
    <t>HC2-HVAC1 All compressors Noise observed</t>
  </si>
  <si>
    <t>TIR1491</t>
  </si>
  <si>
    <t>TIR1492</t>
  </si>
  <si>
    <t>TIR1493</t>
  </si>
  <si>
    <t>TIR1494</t>
  </si>
  <si>
    <t>TIR1495</t>
  </si>
  <si>
    <t>TIR1496</t>
  </si>
  <si>
    <t>IOS245 : One PCE have a communication fault, IOS235 : Faulty auto test on at least one PCE &amp; IOS21 : Minor fault on 1 brake unit. After sleep/wake up, all IOSs cleared.</t>
  </si>
  <si>
    <t>TIR1497</t>
  </si>
  <si>
    <t>IOS251 : One MUC have a communication fault. Found UMC2 offline.</t>
  </si>
  <si>
    <t>TIR1498</t>
  </si>
  <si>
    <t xml:space="preserve">IOS256 : More than one TRS or NETBOX have a communication fault in single unit configuration. Found from MPU logs both “F_TCN_NBX1ComNOK” &amp; “F_TCN_NBX2ComNOK”, after reset their C.B.s IOS cleared. </t>
  </si>
  <si>
    <t>SLV issue during the ATC master changeover.</t>
  </si>
  <si>
    <t>Checked agate log and observing TCMS lost connections events many times. Agate need to replace.</t>
  </si>
  <si>
    <t>Electromagnetic Assy damaged for all PEED from factory. Need to replace</t>
  </si>
  <si>
    <t>battery isolation switch it is not normalize.</t>
  </si>
  <si>
    <t xml:space="preserve">TU4 Train </t>
  </si>
  <si>
    <t>TU4 Train</t>
  </si>
  <si>
    <t>Same issue as TIR1376_action need to be done raised.</t>
  </si>
  <si>
    <t>CM Open</t>
  </si>
  <si>
    <t>30K pm</t>
  </si>
  <si>
    <t>Need M12 AWG26-23 connector to fix.</t>
  </si>
  <si>
    <t>IP Offline : 10.138.28.71 - Papis Pa.1,Ctrl1</t>
  </si>
  <si>
    <t>IP Offline : [HC2-LEDI.5,LCD.5,SWD.5] -offline</t>
  </si>
  <si>
    <t>Checked PCE2 logs before software upgrade to V1.1.5, we have many feedback fault on this PCE. After software update, no more repeated issue observed.</t>
  </si>
  <si>
    <t>Ledi4,Lcd4,swd4 /v1</t>
  </si>
  <si>
    <t xml:space="preserve">IP offline   [HC1-Ledi4,5,6;Lcd 4,5,6;swd4,5,6] -offline}                                                                      IOS199 : Loss of all interior LCD compact displays in the same platform;                                                                       IOS200 : Loss of all superwides in the same doors platform;                                                                                                  </t>
  </si>
  <si>
    <t>TIR1499</t>
  </si>
  <si>
    <t>HC1 One bolt is broken inside the threading hole in PCE1 underframe cover.</t>
  </si>
  <si>
    <t>TIR1500</t>
  </si>
  <si>
    <t>HC2 One bolt is broken inside the threading hole in PCE2 underframe cover.</t>
  </si>
  <si>
    <t>Checked and no issues observed.</t>
  </si>
  <si>
    <t>CVS failure in reversible mode. After new CVS sotware uplaod. This issues solved.</t>
  </si>
  <si>
    <t>Checked train in workshop and no issues observed with IES and traction working normal. Normally if in workshop, if we didn’t put Maintenance switch on, we will have this IOS.</t>
  </si>
  <si>
    <t>Checked and put glue as repair action.</t>
  </si>
  <si>
    <t>Cover where not properly not allign when locking.</t>
  </si>
  <si>
    <t>Bolt already change due tool misshandling while maintenance activities.</t>
  </si>
  <si>
    <t>The bolt for this cover were  not alligned, re-fix cover properly.</t>
  </si>
  <si>
    <t>No issue observed.</t>
  </si>
  <si>
    <t>Checked and TIR created to change CCTV camera no 1 in HC1.</t>
  </si>
  <si>
    <t>TIR created for corection action (painting).</t>
  </si>
  <si>
    <t>TIR1501</t>
  </si>
  <si>
    <t>TIR1502</t>
  </si>
  <si>
    <t>TIR1503</t>
  </si>
  <si>
    <t>TIR1504</t>
  </si>
  <si>
    <t>TIR1505</t>
  </si>
  <si>
    <t>TIR1506</t>
  </si>
  <si>
    <t>TIR1507</t>
  </si>
  <si>
    <t>TIR1508</t>
  </si>
  <si>
    <t>TIR1509</t>
  </si>
  <si>
    <t>TIR created for corection action.</t>
  </si>
  <si>
    <t>Checked and no isseus observed, both safety mounting fix properly.</t>
  </si>
  <si>
    <t>TIR rasied for new bracket.</t>
  </si>
  <si>
    <t>Bogie 1 axle 2 wheel left and right have scratch marked cause by wheel chock and  need to re profile.</t>
  </si>
  <si>
    <t>Same reason as TIR1224.</t>
  </si>
  <si>
    <t>Lock missing</t>
  </si>
  <si>
    <t>replaced PEI4-V1 and test ok</t>
  </si>
  <si>
    <t>TCCU1 is off, and TCCU2 is ON</t>
  </si>
  <si>
    <t>Checked all papis online and no ios199,200 reported</t>
  </si>
  <si>
    <t>EB not release during cuple with other train</t>
  </si>
  <si>
    <t>TIR1510</t>
  </si>
  <si>
    <t>Pin no 06,07 pushed back and those are not in correct position in PECD Connenctor XR61A04 from train side in HC2.</t>
  </si>
  <si>
    <t>TIR1511</t>
  </si>
  <si>
    <t>TIR1512</t>
  </si>
  <si>
    <t>TIR1513</t>
  </si>
  <si>
    <t>TIR1514</t>
  </si>
  <si>
    <t>TIR1515</t>
  </si>
  <si>
    <t>TIR1516</t>
  </si>
  <si>
    <t>TIR1517</t>
  </si>
  <si>
    <t>TIR1518</t>
  </si>
  <si>
    <t>TIR1519</t>
  </si>
  <si>
    <t>HVAC: COMPRESSOR</t>
  </si>
  <si>
    <t>TIR created for instaaltion work (part missing)</t>
  </si>
  <si>
    <t>TCN: TRS</t>
  </si>
  <si>
    <t>IP Offline: Dcu2-v2 IOS262 : More than one DCU have a communication fault.</t>
  </si>
  <si>
    <t>reason as TIR1224 and also happen because of old parameter from BCE PCE ATC for the docking</t>
  </si>
  <si>
    <t>Bogie: Earth return unit of axle end</t>
  </si>
  <si>
    <t>Bogie: Derailment detector</t>
  </si>
  <si>
    <t>Bogie: Odometer</t>
  </si>
  <si>
    <t>BRK-AIR: KIT - AIR DRYER GRAHAM WHITE 995</t>
  </si>
  <si>
    <t>Found the PCB connection for P3 was not connected well due to not good cable arrangement. Normalized and test done  no more issue observed</t>
  </si>
  <si>
    <t>Checked MPU log and performed test, performed test for both compressor and no issue observed.</t>
  </si>
  <si>
    <t>TIR1520</t>
  </si>
  <si>
    <t>HC2 Pain Splash (front cab roof)</t>
  </si>
  <si>
    <t>Checked and need intervention from robert. Already informed by Zamhuri</t>
  </si>
  <si>
    <t>TIR1521</t>
  </si>
  <si>
    <t>LED and SWD need to be replaced</t>
  </si>
  <si>
    <t>TIR created for CM</t>
  </si>
  <si>
    <t>PM2450</t>
  </si>
  <si>
    <t>IP Offline : led2-v1, swd2-v1</t>
  </si>
  <si>
    <t>PM2452</t>
  </si>
  <si>
    <t>IP Offline : led2 v1, led1 v2, lcd2 v1, swd1 v1</t>
  </si>
  <si>
    <t>PM2455</t>
  </si>
  <si>
    <t>IP Offline : pei6 v1, led6 v1, lcd6 v1, swd5 v1   IOS: 203 &amp; 196-  Loss of at least 1 PEI in a class</t>
  </si>
  <si>
    <t>IOS2 : Two compressors out of service indication on unit on single unit configuration</t>
  </si>
  <si>
    <t>PM2457</t>
  </si>
  <si>
    <t>HC2 axle 2 oil leakage</t>
  </si>
  <si>
    <t>PM2459</t>
  </si>
  <si>
    <t>HC1 and HC2 AXLE 1,AXLE 2 gear oil level is at minimum</t>
  </si>
  <si>
    <t>30k overhaul (which includes the gearbox oil change)  03/17/2022</t>
  </si>
  <si>
    <t>TCU card needs replacement. SWD is okay -&gt; NFF</t>
  </si>
  <si>
    <t>car2 /lcd5 not working physically off</t>
  </si>
  <si>
    <t>HC2 sanding for refilling</t>
  </si>
  <si>
    <t>CAR2 swd6,swd3 NOT WORKING AND PGYSICALLY OFF CONDITION;IOS191 : Loss of video recorder</t>
  </si>
  <si>
    <t>HC2 right sanding for refilling</t>
  </si>
  <si>
    <t>CAR2  lcd.5   low brightness</t>
  </si>
  <si>
    <t>HC-02, Both sand reservior low level</t>
  </si>
  <si>
    <t>INSIDE TRAIN ONE GANGWAY DOOR NOT AVAILABLE</t>
  </si>
  <si>
    <t>UMC CAR1 IP OFFLINE;PAPIS CTRL1, PAPIS PAI1;IOS251 : One MUC have a communication fault</t>
  </si>
  <si>
    <t>car1 palm tree3 led display have lines. car1 swd4 one display physically off</t>
  </si>
  <si>
    <t>IOS251 : One MUC have a communication fault; papis ctrl1,papis pa1 off</t>
  </si>
  <si>
    <t>HC1-SWD2-Nok screen blurring with Green bottom line</t>
  </si>
  <si>
    <t>Gangway Light as DIM ( working inverse) and HC2- Cab light as DIM(working inverse)</t>
  </si>
  <si>
    <t>TIR1522</t>
  </si>
  <si>
    <t>IOS175:LV Earthing fault</t>
  </si>
  <si>
    <t>Checked and LED2_V1 were online with dsiplay workng normally.</t>
  </si>
  <si>
    <t>IOS appeared if LO_30sLoadShed forced to false when tarinhave no HV or CVS in reversible mode.</t>
  </si>
  <si>
    <t>HC1 and Hc2 paint splash Exterior</t>
  </si>
  <si>
    <t>TIR1523</t>
  </si>
  <si>
    <t>TIR1524</t>
  </si>
  <si>
    <t>swd1-v1 error display</t>
  </si>
  <si>
    <t>Updated SWD software and test ok</t>
  </si>
  <si>
    <t>Cable damaged and TIR created.</t>
  </si>
  <si>
    <t>04/04/2022 : Checked in mainline no IOS at ATS level.</t>
  </si>
  <si>
    <t xml:space="preserve">04/04/2022: TIR created for CM correction. </t>
  </si>
  <si>
    <t>TIR1525</t>
  </si>
  <si>
    <t>TIR1526</t>
  </si>
  <si>
    <t>TIR1527</t>
  </si>
  <si>
    <t>IOS175 : LV Earthing fault. Found Compressor 1 keep running non stop, due to this its make the Circuit breaker 52Q13 in LV Box tripped both car.</t>
  </si>
  <si>
    <t>No issue observed</t>
  </si>
  <si>
    <t xml:space="preserve">update LEDI4-V1 software and test ok. Need to replace SWD4 </t>
  </si>
  <si>
    <t>ELEC: Circuit Breaker AM1R-Y189-7(3-20)</t>
  </si>
  <si>
    <t xml:space="preserve">4/6/2022 : Normal to have this IOS in TU4 configuration. The input for ATC DSI8 (NATU) is connected only to the ATC1 which is OFF in this configuration. </t>
  </si>
  <si>
    <t>car1 swd1 one display off</t>
  </si>
  <si>
    <t>HC- 01, Axle 01 and 02 , HC-02, axle-01, GB oil level low</t>
  </si>
  <si>
    <t>car1 ledi3,lcd3,swd3,swd6 off, swd1 car2 off but physically working</t>
  </si>
  <si>
    <t>IP  offline-HC1-Ledi3,swd3, HC2 -Ledi2; Display status: HC1:LEDI3-Nok BLANK; SWD3 Half display with error message; SWD5 Half display,HC2:LEDI2 Nok SW Not Up-to date</t>
  </si>
  <si>
    <t>GCL-saloon light off</t>
  </si>
  <si>
    <t>HC2 SWD-5 Half Display</t>
  </si>
  <si>
    <t>HC1- Electrical Coupler fail to to close</t>
  </si>
  <si>
    <t>TIR1528</t>
  </si>
  <si>
    <t>HC1-Electric coupler spring is missing at one side of the cover</t>
  </si>
  <si>
    <t>TIR1529</t>
  </si>
  <si>
    <t>IOS175 : LV Earthing fault</t>
  </si>
  <si>
    <t>TIR1530</t>
  </si>
  <si>
    <t>SWD1,LEDI1,LCD1 of HC2 showing offline in ip scanner</t>
  </si>
  <si>
    <t>TIR1531</t>
  </si>
  <si>
    <t>{pei4 v1, ledi4 v1, ledi1 v2, lcd4 v1, lcd1 v2, swd4 v1, swd1 v2 ip offline  IOS196 : Loss of at least 1 PEI in a class;IOS203</t>
  </si>
  <si>
    <t>TIR1532</t>
  </si>
  <si>
    <t>HC2-Horn Nok</t>
  </si>
  <si>
    <t>TIR1533</t>
  </si>
  <si>
    <t>HC2-Ledi.3.Lcd3,Swd.3 IP offline</t>
  </si>
  <si>
    <t>TIR1534</t>
  </si>
  <si>
    <t>TIR1535</t>
  </si>
  <si>
    <t>Hc2 Gearbox #4 leakage on door</t>
  </si>
  <si>
    <t>TIR1536</t>
  </si>
  <si>
    <t>IOS283 : EVR Minor Fault</t>
  </si>
  <si>
    <t>TIR1537</t>
  </si>
  <si>
    <t>TIR1538</t>
  </si>
  <si>
    <t>TIR1539</t>
  </si>
  <si>
    <t>TIR1540</t>
  </si>
  <si>
    <t>TIR1541</t>
  </si>
  <si>
    <t>Checked and found that CRS3_V1 were slow to start when power supplied, TIR created for corrective action.</t>
  </si>
  <si>
    <t>Found PEI2_V2 report lost com. And we updated software and test ok</t>
  </si>
  <si>
    <t>TIR1542</t>
  </si>
  <si>
    <t>IOS175 : LV Earthing fault. CB 52Q13 OFF inside LV Box both car.</t>
  </si>
  <si>
    <t>TIR1543</t>
  </si>
  <si>
    <t>IOS175 : LV Earthing fault. CB 52Q13 OFF inside LV Box both car. Normalize the CB but its tripped again.. Need to check further.</t>
  </si>
  <si>
    <t>TIR1544</t>
  </si>
  <si>
    <t>TIR1545</t>
  </si>
  <si>
    <t>TIR1546</t>
  </si>
  <si>
    <t>TIR1547</t>
  </si>
  <si>
    <t>TIR1548</t>
  </si>
  <si>
    <t>TIR1549</t>
  </si>
  <si>
    <t>7/4 : 52Q17 and 52Q49 were switched off. Switch on and tested issue not repeated.</t>
  </si>
  <si>
    <t>TIR1550</t>
  </si>
  <si>
    <t>TIR1551</t>
  </si>
  <si>
    <t>IOS222 : Motor/Brake Train line failure</t>
  </si>
  <si>
    <t>TIR1552</t>
  </si>
  <si>
    <t>HC1 – Motoring push button hard to push</t>
  </si>
  <si>
    <t>TIR1553</t>
  </si>
  <si>
    <t>Ledi5_v2-offline, lcd5_v2-offline &amp;screen shown half , swd5_v2-offline</t>
  </si>
  <si>
    <t>TIR1554</t>
  </si>
  <si>
    <t>IOS180 : 1 APC Major failure, IOS144 : 1 APC HV presence inconsistent with Train HV presence</t>
  </si>
  <si>
    <t>TIR1555</t>
  </si>
  <si>
    <t>TIR1556</t>
  </si>
  <si>
    <t xml:space="preserve">IOS196 : Loss of at least 1 PEI in a class,IOS203 </t>
  </si>
  <si>
    <t>TIR1557</t>
  </si>
  <si>
    <t>HC1 PALM tree light no-2 is not glowing</t>
  </si>
  <si>
    <t>TIR1558</t>
  </si>
  <si>
    <t>HC1-Ledi.4,LCD4,SWD4 -IP offline</t>
  </si>
  <si>
    <t>TIR1559</t>
  </si>
  <si>
    <t>TIR1560</t>
  </si>
  <si>
    <t>HC2-LEDI1,LCD1,SWD1-OFFLINE</t>
  </si>
  <si>
    <t>TIR1561</t>
  </si>
  <si>
    <t>TIR1562</t>
  </si>
  <si>
    <t>IOS175:  LV Earthing fault</t>
  </si>
  <si>
    <t>TIR1563</t>
  </si>
  <si>
    <t>IOS196:  Loss of at least 1 PEI in a class. Found PEI2_V1 and PEI1,3,5_V2 are offline. After resetted, PEI2_V1 still the same.</t>
  </si>
  <si>
    <t>TIR1564</t>
  </si>
  <si>
    <t>IOS196:  Loss of at least 1 PEI in a class. Found PEI5_V1 is offline. After resetted it, became online and the IOS cleared.</t>
  </si>
  <si>
    <t>IOS triggered when the EAD is wrongly applied.</t>
  </si>
  <si>
    <t>TIR1565</t>
  </si>
  <si>
    <t>SLV issue: Losing communication with DCS on track</t>
  </si>
  <si>
    <t>TIR1566</t>
  </si>
  <si>
    <t>Fault cause by PECD no 5 have grounding issue when train in sweep.</t>
  </si>
  <si>
    <t>Fault happened due to PECD no 5 have grounding issue.</t>
  </si>
  <si>
    <t>ACE1 HV Volt not available, will continue next week. 10/4 : detected AUX fuse 500A in traction malfunction ad TIR created for corrective work.</t>
  </si>
  <si>
    <t xml:space="preserve">connector was not installed properly </t>
  </si>
  <si>
    <t>TIR1567</t>
  </si>
  <si>
    <t>TIR1568</t>
  </si>
  <si>
    <t>TIR1569</t>
  </si>
  <si>
    <t>TIR1570</t>
  </si>
  <si>
    <t>TIR1571</t>
  </si>
  <si>
    <t>TIR1572</t>
  </si>
  <si>
    <t>IOS125:At least one external smoke sensor is on failure</t>
  </si>
  <si>
    <t>TIR1573</t>
  </si>
  <si>
    <t>IOS264 : More than one UMC have a communication fault</t>
  </si>
  <si>
    <t>TIR1574</t>
  </si>
  <si>
    <t>IOS198:Loss of LCD 16/9 in the same class + IOS199:Loss of all interior LCD compact displays in the same platform + IOS200:Loss of all superwides in the same doors platforms</t>
  </si>
  <si>
    <t>TIR1575</t>
  </si>
  <si>
    <t>IOS196:  Loss of at least 1 PEI in a class</t>
  </si>
  <si>
    <t>TIR1576</t>
  </si>
  <si>
    <t>TIR1577</t>
  </si>
  <si>
    <t>TIR1578</t>
  </si>
  <si>
    <t>TIR1579</t>
  </si>
  <si>
    <t>4/11/2022:Found LCD3-V1 shortcircuit and we replaced a new one and test it Ok</t>
  </si>
  <si>
    <t>Both E1 and E2 port no communicztion, display blank and reboot sound repeated. TIR created for corrective work (replace).</t>
  </si>
  <si>
    <t>4/11/2022:Found PEI3-V2 lost communication and we replaced a new one and all this loop online</t>
  </si>
  <si>
    <t>Format the hard disk and NVR OK</t>
  </si>
  <si>
    <t>Installed the screws</t>
  </si>
  <si>
    <t>TIR Created for corrective action (part need to change).</t>
  </si>
  <si>
    <t>TIR create for corrective action</t>
  </si>
  <si>
    <t>TIR1580</t>
  </si>
  <si>
    <t>TIR1581</t>
  </si>
  <si>
    <t>TIR1582</t>
  </si>
  <si>
    <t>TS404: Train attendant reported an issue with PECD fixed connector.</t>
  </si>
  <si>
    <t>TIR1583</t>
  </si>
  <si>
    <t>TS407 not able to associate to Time table due to IOS40. Train sent back to depot from Transfer track.</t>
  </si>
  <si>
    <t>12/4 : Found lakage comes from air dryer assmebly (near to back side tower)</t>
  </si>
  <si>
    <t xml:space="preserve">no issue found </t>
  </si>
  <si>
    <t>NIL</t>
  </si>
  <si>
    <t>HVAC: Exhaust Fan</t>
  </si>
  <si>
    <t>NO</t>
  </si>
  <si>
    <t>12/4 : cut out cock isolated.</t>
  </si>
  <si>
    <t>52Q13 CB switch on and no IOS.</t>
  </si>
  <si>
    <t>TIR1584</t>
  </si>
  <si>
    <t>4/12/2022:Found it offline and fail to ping, need to replace a new one</t>
  </si>
  <si>
    <t>TIR1585</t>
  </si>
  <si>
    <t>SWD6-V2  offline and dark issue</t>
  </si>
  <si>
    <t xml:space="preserve">13/04 : MPU logs were deleted. IOS 2 was not triggered during the TimeTable. </t>
  </si>
  <si>
    <t>Normalise 52Q13 in bith cab after root cause rectified (cause by shortage in PECD).</t>
  </si>
  <si>
    <t>V2-LCD3 screws missing</t>
  </si>
  <si>
    <t>TIR1586</t>
  </si>
  <si>
    <t>TIR1587</t>
  </si>
  <si>
    <t>TIR1588</t>
  </si>
  <si>
    <t>low oil level gearbox C310 Hc2</t>
  </si>
  <si>
    <t>TIR1589</t>
  </si>
  <si>
    <t>SWD5 has an unfunctional spot</t>
  </si>
  <si>
    <t>TIR1590</t>
  </si>
  <si>
    <t>interior door function test failed. its should be five times closes after that the door should stop moving</t>
  </si>
  <si>
    <t>TIR1591</t>
  </si>
  <si>
    <t>Hc2 SWD6 Half display</t>
  </si>
  <si>
    <t>TIR1592</t>
  </si>
  <si>
    <t>Low oil level for gear box Hc2 Axle4</t>
  </si>
  <si>
    <t>TIR1593</t>
  </si>
  <si>
    <t>fire Extinguisher not inspected since February2022 HC2</t>
  </si>
  <si>
    <t>TIR1594</t>
  </si>
  <si>
    <t>missing signs on battery box</t>
  </si>
  <si>
    <t>TIR1595</t>
  </si>
  <si>
    <t>FIRE Extinguishers have not been inspected since December 2021</t>
  </si>
  <si>
    <t>TIR1596</t>
  </si>
  <si>
    <t>Overfilling gearbox oil B2 Axle1</t>
  </si>
  <si>
    <t>Due to TCCU1 is off,TCCU2 is ON</t>
  </si>
  <si>
    <t>IP offline-dcu4-v1, dcu6-v1; DCU auto test fail</t>
  </si>
  <si>
    <t>IP offline-HVAC1/V1; VAC auto test fail</t>
  </si>
  <si>
    <t>HC2-Electrical coupler fail to close</t>
  </si>
  <si>
    <t>Gangway and cab 1 &amp;2 saloon  light brightness in reverse</t>
  </si>
  <si>
    <t>HC1-Lcd.1  IP offline and HC1-Lcd.1 Display blank</t>
  </si>
  <si>
    <t>HC2 HVAC2 failed in autotest (compressor 3 and compressor 4 showing failed )_error code is DF_1016</t>
  </si>
  <si>
    <t>HC1 HVAC1 showing heater-2 failed in TEST PROTOCOL</t>
  </si>
  <si>
    <t>TIR1597</t>
  </si>
  <si>
    <t>IOS 2 is appearing in the train. 2 compressor out of service indication on unit on single unit configuration.</t>
  </si>
  <si>
    <t>TIR1598</t>
  </si>
  <si>
    <t>IOS 38 is appearing in the train. After checking with Mona found that HVAC2-V2 LP1 &amp; LP2 not ok.</t>
  </si>
  <si>
    <t>TIR1599</t>
  </si>
  <si>
    <t>Pin no 53 is bent and shorted with Pin no 52 in Pecd connector in HC1</t>
  </si>
  <si>
    <t>TIR1600</t>
  </si>
  <si>
    <t>IOS 38 is appearing in the train. One Hvac unit cooling fault with normal temperature.</t>
  </si>
  <si>
    <t>TIR1601</t>
  </si>
  <si>
    <t xml:space="preserve">Horn is not working in HC2 </t>
  </si>
  <si>
    <t>TIR1602</t>
  </si>
  <si>
    <t>EAD is not functioning in HC2 right side</t>
  </si>
  <si>
    <t>TIR1603</t>
  </si>
  <si>
    <t>IOS37 : Loss of 100% of heating of at least one HVAC unit</t>
  </si>
  <si>
    <t>TIR1604</t>
  </si>
  <si>
    <t>IOS243 : One TRS Or NETBOX have a communication fault; netmm2.local offline</t>
  </si>
  <si>
    <t>TIR1605</t>
  </si>
  <si>
    <t>TIR1606</t>
  </si>
  <si>
    <t>HC2 Door no 2 indication is broken</t>
  </si>
  <si>
    <t>TIR1607</t>
  </si>
  <si>
    <t>Pin no 11 found bended in 6104_XR-01 PECD Connector HC1</t>
  </si>
  <si>
    <t>TIR1608</t>
  </si>
  <si>
    <t>TIR1609</t>
  </si>
  <si>
    <t>TIR1610</t>
  </si>
  <si>
    <t>TIR1611</t>
  </si>
  <si>
    <t>TIR1612</t>
  </si>
  <si>
    <t>Pin no 71 found bended and shorted with 70 in 6104_XR-01 PECD Connector HC1</t>
  </si>
  <si>
    <t>TIR1613</t>
  </si>
  <si>
    <t>Pin no 71 found fully bended and 99 found minor bended in 6104_XR-01 PECD Connector HC2</t>
  </si>
  <si>
    <t>TIR1614</t>
  </si>
  <si>
    <t>HC1 right side of head light LED's are not working.</t>
  </si>
  <si>
    <t>TIR1615</t>
  </si>
  <si>
    <t>TIR1616</t>
  </si>
  <si>
    <t>Pin no 11 found bended in 6104_XR-01 PECD Connector HC2</t>
  </si>
  <si>
    <t>TIR1617</t>
  </si>
  <si>
    <t>TIR1618</t>
  </si>
  <si>
    <t>Pin no 71 found minor bended in 6104_XR-01 PECD Connector HC1</t>
  </si>
  <si>
    <t>TIR1619</t>
  </si>
  <si>
    <t>Pin no 8 found bended in 6104_XR-01 PECD Connector HC1</t>
  </si>
  <si>
    <t>TIR1620</t>
  </si>
  <si>
    <t>Pin no 101 found minor bended in 6104_XR-01 PECD Connector HC2</t>
  </si>
  <si>
    <t>TIR1621</t>
  </si>
  <si>
    <t>Pin no 99 found burnt and pushed back in 6104_XR-01 PECD Connector HC1</t>
  </si>
  <si>
    <t>TIR1622</t>
  </si>
  <si>
    <t>Pin no 101 found bended in 6104_XR-01 PECD Connector HC1</t>
  </si>
  <si>
    <t>TIR1623</t>
  </si>
  <si>
    <t>Pin no 53 found bended in 6104_XR-01 PECD Connector HC2</t>
  </si>
  <si>
    <t>TIR1624</t>
  </si>
  <si>
    <t>Pin no 20 &amp; 45 found bended in 6104_XR-01 PECD Connector HC2</t>
  </si>
  <si>
    <t>TIR1625</t>
  </si>
  <si>
    <t>Pin no 106 found bended and shorted with 105, Pin no 72 also found bended in 6104_XR-01 PECD Connector HC1</t>
  </si>
  <si>
    <t>TIR1626</t>
  </si>
  <si>
    <t>Pin no 69 found bended and shorted with 70, Pin no 101 also found bended in 6104_XR-01 PECD Connector HC2</t>
  </si>
  <si>
    <t>TIR1627</t>
  </si>
  <si>
    <t>Train readiness</t>
  </si>
  <si>
    <t>TIR1628</t>
  </si>
  <si>
    <t>TIR1629</t>
  </si>
  <si>
    <t>TIR1630</t>
  </si>
  <si>
    <t>Deep scratch HC1 door 1, side panel.</t>
  </si>
  <si>
    <t>CCC Panel -HC1/HC2 MISSING.</t>
  </si>
  <si>
    <t>HC1- Under seat ligh -not working.</t>
  </si>
  <si>
    <t>TIR1631</t>
  </si>
  <si>
    <t>HVAC1 HC1 -heater 2 showing not released and Heater one fault code is DF 1043 is active</t>
  </si>
  <si>
    <t>TIR1632</t>
  </si>
  <si>
    <t>TIR1633</t>
  </si>
  <si>
    <t>HC1-SWD2 Nok Half blue color</t>
  </si>
  <si>
    <t>TIR1634</t>
  </si>
  <si>
    <t>HC2-DCR_EB Push Button dosent hold when pressed</t>
  </si>
  <si>
    <t>TIR1635</t>
  </si>
  <si>
    <t>IP offline -(Papis Pa1,HC2-Pei3,Cami2};IOS192 : Loss of at least one camera;IOS196 : Loss of at least 1 PEI in a class</t>
  </si>
  <si>
    <t>TIR1636</t>
  </si>
  <si>
    <t>HC1-Door1,2  close immediately  and intailly both  DCU goes to offline after reset DCU then become online</t>
  </si>
  <si>
    <t>TIR1637</t>
  </si>
  <si>
    <t>IOS191:  Loss of video recorder.</t>
  </si>
  <si>
    <t>TIR1638</t>
  </si>
  <si>
    <t>IOS179:  1 APC MV Status false, IOS180:  1 APC Major failure and IOS185:  1 APC LV Status false. Found major fault as permanent failure of ACE1.</t>
  </si>
  <si>
    <t>The connector of KLIX loops were disconnected.</t>
  </si>
  <si>
    <t>22/03/2+L786022</t>
  </si>
  <si>
    <t>28/03/2+022</t>
  </si>
  <si>
    <t>It's normal due to one TCCU is OFF</t>
  </si>
  <si>
    <t>oil level low and bogie 2 car B,  oil color change</t>
  </si>
  <si>
    <t>IOS196 : Loss of at least 1 PEI in a class; HC2-PEI5 Offline</t>
  </si>
  <si>
    <t>Checked TCCU1 is online and communication is ok,updated software and to follow</t>
  </si>
  <si>
    <t xml:space="preserve">removed the some oil </t>
  </si>
  <si>
    <t>issue related to TIR 1638</t>
  </si>
  <si>
    <t>IOS75 due to PECD no.5 earthing issue and after normalise. No more IOS appeared.</t>
  </si>
  <si>
    <t>TIR1639</t>
  </si>
  <si>
    <t>TIR1640</t>
  </si>
  <si>
    <t>TIR1641</t>
  </si>
  <si>
    <t>Not moving in UTO</t>
  </si>
  <si>
    <t>Checked by MPU and confirmed by OCC, have EB_RSRM and after release and relocated train. No more issues observed.</t>
  </si>
  <si>
    <t>TIR1642</t>
  </si>
  <si>
    <t>TIR1643</t>
  </si>
  <si>
    <t>Overfilled gearbox oil HC2 bogie 1 axle 2</t>
  </si>
  <si>
    <t>TIR1644</t>
  </si>
  <si>
    <t>Inspection tag is missing on the fire extinguisher HC1 and HC2</t>
  </si>
  <si>
    <t>TIR1645</t>
  </si>
  <si>
    <t>SWD 15.5 not working as it should be hc2</t>
  </si>
  <si>
    <t>TIR1646</t>
  </si>
  <si>
    <t>Fire extinguisher has not been inspected since January 2022</t>
  </si>
  <si>
    <t>TIR1647</t>
  </si>
  <si>
    <t>Gearbox Oil leakage HC2 bogie 1 axle 2</t>
  </si>
  <si>
    <t>Checked NVR is normal. Update software again and test it good</t>
  </si>
  <si>
    <t>TIR1648</t>
  </si>
  <si>
    <t>HC1 Bogie1 break not relise during the moment</t>
  </si>
  <si>
    <t>Checked and confirmed A-Matric in HC1 malfunction ( swapped with A-Matric from 617_HC1.</t>
  </si>
  <si>
    <t>TIR1649</t>
  </si>
  <si>
    <t>TIR created for correction actioni (Amatric comes from T626).</t>
  </si>
  <si>
    <t>TIR1650</t>
  </si>
  <si>
    <t>TIR1651</t>
  </si>
  <si>
    <t>TIR1652</t>
  </si>
  <si>
    <t>Semi-permanent coupler earth brain cable was founded missing.</t>
  </si>
  <si>
    <t>Network/CRS issue see it in March log (confirmed CRS2_V1 malfunction : take time to on)</t>
  </si>
  <si>
    <t>Network/CRS issue  see it in March log (same root cause as TIR1567).</t>
  </si>
  <si>
    <t>working fine</t>
  </si>
  <si>
    <t>TIR created for corrective action.</t>
  </si>
  <si>
    <t>TIR1653</t>
  </si>
  <si>
    <t>HC-02 BCU matrix  - Exhaust filter screw missing</t>
  </si>
  <si>
    <t>TIR1654</t>
  </si>
  <si>
    <t>TIR1648 ,Checked and confirmed A-Matric in HC1 malfunction ( swapped with A-Matric from 617_HC1.</t>
  </si>
  <si>
    <t>TIR1655</t>
  </si>
  <si>
    <t>HC1- Horn volume Low</t>
  </si>
  <si>
    <t>TIR1656</t>
  </si>
  <si>
    <t>NCR0361 NCR0362</t>
  </si>
  <si>
    <t xml:space="preserve">need to install new </t>
  </si>
  <si>
    <t>TIR1657</t>
  </si>
  <si>
    <t>HC1-Door.5 getting closed immediately without delay</t>
  </si>
  <si>
    <t>TIR1658</t>
  </si>
  <si>
    <t>HC1- Horn Volume Low</t>
  </si>
  <si>
    <t>TIR1659</t>
  </si>
  <si>
    <t>TIR1660</t>
  </si>
  <si>
    <t>CCDs isolated</t>
  </si>
  <si>
    <t>TIR1661</t>
  </si>
  <si>
    <t>TIR1662</t>
  </si>
  <si>
    <t>HC2- S_BrkIso 1 Brake Isolation 1 switch getting rotate as not fixed properly</t>
  </si>
  <si>
    <t>TIR1663</t>
  </si>
  <si>
    <t>IOS251 : One MUC have a communication fault;UMC1(0.0.0)</t>
  </si>
  <si>
    <t>TIR1664</t>
  </si>
  <si>
    <t>HC1&amp;2- Horn Volume Low</t>
  </si>
  <si>
    <t>TIR1665</t>
  </si>
  <si>
    <t>HC2- CVS bottom Filter cover alen screw Missing=1 no.</t>
  </si>
  <si>
    <t>TIR1666</t>
  </si>
  <si>
    <t>IOS73 : Hold door closed fault indication</t>
  </si>
  <si>
    <t>Test swd many times and display ok</t>
  </si>
  <si>
    <t>Found PEI2-V2 lost communication and updated software and test ok</t>
  </si>
  <si>
    <t>normalise the CCC</t>
  </si>
  <si>
    <t>Found PEI5-V1 lost communication and updated software and test ok</t>
  </si>
  <si>
    <t>TIR1667</t>
  </si>
  <si>
    <t>TIR1668</t>
  </si>
  <si>
    <t>train TS615 is not able to be associated to TT from transfer area. TOM unknown</t>
  </si>
  <si>
    <t>TIR1669</t>
  </si>
  <si>
    <t>Checked DCU2_V2 offline physically, need to replaced it</t>
  </si>
  <si>
    <t>TIR1670</t>
  </si>
  <si>
    <t>IOS035 : Loss of 50% of ventilation of at least one HVAC unit</t>
  </si>
  <si>
    <t>TIR1671</t>
  </si>
  <si>
    <t>IES issue and checked it make it lock and test ok</t>
  </si>
  <si>
    <t>TIR1672</t>
  </si>
  <si>
    <t>Found the brake valve isolated UF and correct it and test ok</t>
  </si>
  <si>
    <t>TIR1673</t>
  </si>
  <si>
    <t>IOS123 : At least one internal smoke sensor is on failure</t>
  </si>
  <si>
    <t>after Mechanical adjustment working fine</t>
  </si>
  <si>
    <t>did the pin straight</t>
  </si>
  <si>
    <t>Checked and confirmed no output from DSO7 and TIR create for corrective action.</t>
  </si>
  <si>
    <t>TIR1674</t>
  </si>
  <si>
    <t>HC2 LHS sanding hose missing</t>
  </si>
  <si>
    <t>TIR1675</t>
  </si>
  <si>
    <t>LCD2 V2  Showing  IP offline</t>
  </si>
  <si>
    <t>TIR1676</t>
  </si>
  <si>
    <t>Investigation ongoing with SLV for Issue Com in depot.</t>
  </si>
  <si>
    <t>TIR1677</t>
  </si>
  <si>
    <t>Found LCD2-V2 offline and fail to recover it.Replaced a new LCD and test ok</t>
  </si>
  <si>
    <t>TIR1678</t>
  </si>
  <si>
    <t>IP offline: ledi4-v2 , lcd5-v2 Display status-HC2-SWD3 Nok</t>
  </si>
  <si>
    <t>TIR1679</t>
  </si>
  <si>
    <t>IOS4 : Inconsistancy between LMRG</t>
  </si>
  <si>
    <t>TIR1680</t>
  </si>
  <si>
    <t>HC2 gearbox door leakage</t>
  </si>
  <si>
    <t>TIR1681</t>
  </si>
  <si>
    <t>TIR1682</t>
  </si>
  <si>
    <t>IP Offline- HC1-LCD5 ; Display Status - HC1-LCD5 Error message ;HC2 -LCD5 BLANK,SWD1 BLANK</t>
  </si>
  <si>
    <t>QF21 was tripped</t>
  </si>
  <si>
    <t>Normalise the CB and isseus were comes from PECD No. 5</t>
  </si>
  <si>
    <t>straighted the pin</t>
  </si>
  <si>
    <t>TIR1683</t>
  </si>
  <si>
    <t>LCD4 V2  Showing offline</t>
  </si>
  <si>
    <t>TIR1684</t>
  </si>
  <si>
    <t>HC1 AXLE2 RHS ECR cable is damaged-insulation damage at the end of the fixing</t>
  </si>
  <si>
    <t>TIR1685</t>
  </si>
  <si>
    <t>EB for Train 417 in 4G1 turnback (IOS 30 : Emergency brake control and command discordance).</t>
  </si>
  <si>
    <t>TIR1686</t>
  </si>
  <si>
    <t>IOS21,IOS246 at transfert track</t>
  </si>
  <si>
    <t>Found Ethernet connection is disconnect in HC1 bogie1,connect it and test ok</t>
  </si>
  <si>
    <t>all tags are updated</t>
  </si>
  <si>
    <t>PECD: Cables/Connectors</t>
  </si>
  <si>
    <t>Updated HC2 SWD-5  sw and test ok</t>
  </si>
  <si>
    <t>BRK-AIR: COMPRESSOR BURAN 5</t>
  </si>
  <si>
    <t>PACIS: Hardisk</t>
  </si>
  <si>
    <t>Traction: AUX fuse 500A</t>
  </si>
  <si>
    <t>Pin no 13(pin6 not 13) found bended in 6104_XR-01 PECD Connector HC1</t>
  </si>
  <si>
    <t>straighted the Pin</t>
  </si>
  <si>
    <t>BRK-AIR: A-MATRIC WITH ETHERNET</t>
  </si>
  <si>
    <t>IOS249 : One DCU have a communication fault, found DCU3_V1 is offline.</t>
  </si>
  <si>
    <t>Checked and found HVAC2_V2 ventolation fault and need more investigation due to all HVAC have same issues intermittently. 08-May-22 ( need to replace KM7 it was fulty)</t>
  </si>
  <si>
    <t>25/4 - checked and found HVAC2_V2 ventilation fault and need more investiagtion due to all HVAC have same issue interrmittently. 08-May-22 ( need to replace KM7 it was fulty)</t>
  </si>
  <si>
    <t>TIR1687</t>
  </si>
  <si>
    <t>Updated PEI5_V2 and SWD4_V2 sw and test ok</t>
  </si>
  <si>
    <t>TIR1688</t>
  </si>
  <si>
    <t>HC2 Papis.pa2 offline .</t>
  </si>
  <si>
    <t>Updated pa2 sw and test ok</t>
  </si>
  <si>
    <t>TIR1689</t>
  </si>
  <si>
    <t>EAD not working from Right side HC2</t>
  </si>
  <si>
    <t>TIR1690</t>
  </si>
  <si>
    <t>SWD4-V1 and LCD4_V1 not cummunicating in Software update console. Software couldn't update.</t>
  </si>
  <si>
    <t>Updated SWD4-V1 and LCD4_V1  sw and test ok</t>
  </si>
  <si>
    <t>TIR1691</t>
  </si>
  <si>
    <t>LCD5 HC2 showing offline</t>
  </si>
  <si>
    <t>TIR1692</t>
  </si>
  <si>
    <t>TIR1693</t>
  </si>
  <si>
    <t xml:space="preserve">HC2 LCD1 showing offline ;HC2 LCD1-showing black screen with reboot message </t>
  </si>
  <si>
    <t>TIR1694</t>
  </si>
  <si>
    <t>IOS91 : ONE LMRG Bypass active on unit .Active in HC2 via PECD and found Bypass switch is Normal so  Need  to be further check.</t>
  </si>
  <si>
    <t>TIR1695</t>
  </si>
  <si>
    <t>HC-1 LCD 2 is blank, HC-1 SWD 4 is blank</t>
  </si>
  <si>
    <t>TIR1696</t>
  </si>
  <si>
    <t>Hc-01 (within tolerance),  - HC-02, right side value are - 125 kg, 126 kg. But left side obstacle not detecting even 140 kg</t>
  </si>
  <si>
    <t>TIR1697</t>
  </si>
  <si>
    <t>T651 EB not relase during cuple with other train , I check modification wiring there is no issue.</t>
  </si>
  <si>
    <t>TIR1698</t>
  </si>
  <si>
    <t>Following devices are offline while updating the new papis software. Ledi3-v1, Lcd3-v1, Ledi2-v2, Lcd2-v2</t>
  </si>
  <si>
    <t>TIR1699</t>
  </si>
  <si>
    <t>Swd2-V2 is not working. (Black).</t>
  </si>
  <si>
    <t>TIR1700</t>
  </si>
  <si>
    <t>Media content software is not completed. After extraction deploying of new software not starting.</t>
  </si>
  <si>
    <t>TIR1701</t>
  </si>
  <si>
    <t>LCD1-V2 is not working. (Black).</t>
  </si>
  <si>
    <t>TIR1702</t>
  </si>
  <si>
    <t>Following devices are offline in software update console. Pei5-v2, Ledi2-v1, Swd2-v1</t>
  </si>
  <si>
    <t xml:space="preserve">need to be check Exhaust AIR FAN </t>
  </si>
  <si>
    <t xml:space="preserve">need to be check with supplier </t>
  </si>
  <si>
    <t xml:space="preserve">straighted the pin </t>
  </si>
  <si>
    <t xml:space="preserve">all Tags was updated </t>
  </si>
  <si>
    <t>all are  fine</t>
  </si>
  <si>
    <t>Updated SWD3-V2 software and test ok</t>
  </si>
  <si>
    <t>TIR1703</t>
  </si>
  <si>
    <t>HC1,HC2: Sand Level Low</t>
  </si>
  <si>
    <t>TIR1704</t>
  </si>
  <si>
    <t>Display status: HC 1-SWD1 half blank</t>
  </si>
  <si>
    <t>TIR1705</t>
  </si>
  <si>
    <t>HC2- Near to Door no.6 bottom cover found loose fitting</t>
  </si>
  <si>
    <t>TIR1706</t>
  </si>
  <si>
    <t>SWD5-V2 half display not ok but ip online.</t>
  </si>
  <si>
    <t>TIR1707</t>
  </si>
  <si>
    <t xml:space="preserve">LCD1-V2 is offline in software console application while updating the new papis software. </t>
  </si>
  <si>
    <t>TIR1708</t>
  </si>
  <si>
    <t>Following devices are offline in ip scanner but physically ok while updating the new papis software. Ledi3-v2, Lcd3-v2, Swd3-v2</t>
  </si>
  <si>
    <t>TIR1709</t>
  </si>
  <si>
    <t>PEI3-V2 is offline in ip scanner while updating the new papis software.</t>
  </si>
  <si>
    <t>TIR1710</t>
  </si>
  <si>
    <t>Following devices are offline in ip scanner but physically ok while updating the new papis software. Ledi5_v2, Lcd5-v2, Swd5-v2</t>
  </si>
  <si>
    <t>TIR1711</t>
  </si>
  <si>
    <t>TIR1712</t>
  </si>
  <si>
    <t>TIR1713</t>
  </si>
  <si>
    <t>TIR1714</t>
  </si>
  <si>
    <t>TIR1715</t>
  </si>
  <si>
    <t>TIR1716</t>
  </si>
  <si>
    <t>Updated PEI2-V1 software and test ok</t>
  </si>
  <si>
    <t>Updated LCD software and test ok</t>
  </si>
  <si>
    <t>Updated SWD4-V1 software and test ok</t>
  </si>
  <si>
    <t>Leakage confirmed and TIR open for corrective action</t>
  </si>
  <si>
    <t>Updated SWD5-V2 software and test ok</t>
  </si>
  <si>
    <t>need to update software locally or replalce it</t>
  </si>
  <si>
    <t>HC1-LCD.6  cover fitting  found loose</t>
  </si>
  <si>
    <t>HC1- Exterior Side panel including door panel need to be polish/clean(ReferPicture)</t>
  </si>
  <si>
    <t>HC2-HVAC2 heater 1 and 2 not Running even reset Mona  software application as well as HVAC CB</t>
  </si>
  <si>
    <t>HC1&amp;2-  Head light brightness/Dim not change</t>
  </si>
  <si>
    <t>TIR1717</t>
  </si>
  <si>
    <t>SWD1_V2" its communications not stable and hence affecting the connected device communication to it "LEDI1_V2"</t>
  </si>
  <si>
    <t>TIR1718</t>
  </si>
  <si>
    <t>TIR1719</t>
  </si>
  <si>
    <t>Updated software and test ok</t>
  </si>
  <si>
    <t>SWD5_V2 visually half screen NOK</t>
  </si>
  <si>
    <t>TIR1720</t>
  </si>
  <si>
    <t>IOS: 41 is appearing.</t>
  </si>
  <si>
    <t>TIR1721</t>
  </si>
  <si>
    <t>IOS: 191,195,196,199,200,202,204 are appearing.</t>
  </si>
  <si>
    <t>TIR1722</t>
  </si>
  <si>
    <t>IOS: 298 is appearing.</t>
  </si>
  <si>
    <t>TIR1723</t>
  </si>
  <si>
    <t>TIR1724</t>
  </si>
  <si>
    <t>IOS: 264 is appearing.</t>
  </si>
  <si>
    <t>TIR1725</t>
  </si>
  <si>
    <t>TIR1726</t>
  </si>
  <si>
    <t xml:space="preserve">Device offline in Software Update Console before the updating the new papis software - LCD3-V1, LEDI3-V1, SWD3-V1 and LEDI6-V2 </t>
  </si>
  <si>
    <t>TIR1727</t>
  </si>
  <si>
    <t>TIR1728</t>
  </si>
  <si>
    <t>cuple train (509&amp;519) EB not relase during cuple with other train , I check modification wiring there is no issue.</t>
  </si>
  <si>
    <t>TIR1729</t>
  </si>
  <si>
    <t>TIR1730</t>
  </si>
  <si>
    <t>TIR1731</t>
  </si>
  <si>
    <t>TIR1732</t>
  </si>
  <si>
    <t>TIR1733</t>
  </si>
  <si>
    <t>TIR Status</t>
  </si>
  <si>
    <t>Closure Status</t>
  </si>
  <si>
    <t>Status</t>
  </si>
  <si>
    <t>Ahmad</t>
  </si>
  <si>
    <t>Charaf</t>
  </si>
  <si>
    <t>Elie</t>
  </si>
  <si>
    <t>Guan</t>
  </si>
  <si>
    <t>Jahan</t>
  </si>
  <si>
    <t>Mohamed</t>
  </si>
  <si>
    <t>Origin Status</t>
  </si>
  <si>
    <t>Checked and confirmed display have power issue and can be repair by STE.
4/5/2022:replaced the pcb card of SWD and Updated the software of the SWD, and test OK</t>
  </si>
  <si>
    <t>HC1 { LEDI4,5,6 } IP Offline and display also NOK
HC2 { LED1,2,3,4,5,6, LCD1,SWD2,3 } IP Offline and display also NOK</t>
  </si>
  <si>
    <t xml:space="preserve">HC1- LEDI3 Display NOK
HC1- SWD3 Broken
HC2-LCD3 Display NOK
</t>
  </si>
  <si>
    <t xml:space="preserve">IP Offline - HC2 {Ledi1, Lcd3, Lcd4}
Display Status - HC2 { (Ledi1-White)(Lcd3-Nok)(Lcd4-Dim) </t>
  </si>
  <si>
    <t xml:space="preserve">IP Offline { Papis.Ctrl2, Papis.Pa2 }
Display Status { Swd1-v1 Half </t>
  </si>
  <si>
    <t>HC2_DOOR2not function properly, in UTO mode not getting open 
( Motor brake issue)</t>
  </si>
  <si>
    <t xml:space="preserve"> IOS274: Communication Loss of CRS. We found CRS vs2 HC_2 is totally death and unable to recover manually</t>
  </si>
  <si>
    <t>LCD missing, need to confirmed with STE and installed.
4/11/2022:  Installed LCD and test ok</t>
  </si>
  <si>
    <t xml:space="preserve"> SOFTWARE invalid  UMC1-0.0.0</t>
  </si>
  <si>
    <t>driver highlighted with WM+DM train moved in fast way than normal, and from SLV record shown reached max. speed 18 Kph “normally should be max. 10 Kph”! 
 Again, on 09th Jan 2022, TOO said "while moving trains from stabling to workshop, TS501 was moving in DM to from transfer-track to W03, Train driver onboard report that the train was moving more that 10kph</t>
  </si>
  <si>
    <t xml:space="preserve">his issue happened 3 times that day, 
even after first restart of the train, next sleep/wake up rised again "ACE2".
18/01: Software and Dataplug upload </t>
  </si>
  <si>
    <t>18/01 : Network inspection 
20/02/2022 : issue stil present . 23/2/2022 checked and found one CRS5_v2 delay to power on and as effect, it will generate IOS244. (UNDER MONITORING)</t>
  </si>
  <si>
    <t xml:space="preserve">wrong MPU Sw is install in the train 
07/02 : MPUs updated and no more ios </t>
  </si>
  <si>
    <t xml:space="preserve">Break issue with below recorded IOS
IOS295, IOS246, IOS21 </t>
  </si>
  <si>
    <t xml:space="preserve">06-02-2022 :Need to check 
08/02 : found the cabling between A_x0002_Matric and Ethernet switch not well connected.woke up the train 3 times and no IOS observed. </t>
  </si>
  <si>
    <t xml:space="preserve">when the train is correctly docked and PEED of the door towards the track is applied and the train driving mood is switched from ATPM to UTO the door towards the track opens (less than 2.5 cm) and closes immediately. 
o When the door opening alarm is triggered by ATC area securing zone is applied. 
o Issue is observed only on the mainline.  </t>
  </si>
  <si>
    <t xml:space="preserve">Found connector inside GCL and GCR for ATC rack loosen.
20/02/2022 issue still present
21/02/2022 : issue resovled now ok. No issue found with traction, issue coming from the FWD input not receiving at tcms level. Apres checking foung the connector XR01 RP3 was loose. </t>
  </si>
  <si>
    <t>IP Offline: HC1- All Ledi-V1; HC2- All Ledi-V1, Lcd5-V2                                         
           PAPIS Display Visual Status: HC1 &amp; HC2- All Ledi Error Message; HC2-Lcd 2 &amp; 5 Blank                                                                                                                                             IOS199 : Loss of all interior LCD compact displays in the same platform</t>
  </si>
  <si>
    <t>IP scanner : MPU2 Offline, TCN: MPU2 Offline                                              
            IOS242 : One MPU have a communication fault</t>
  </si>
  <si>
    <t>PEI5_V2 :Checked and confirmed device have communication issue.
4/5/2022:Zouhair replaced a new PEI and test OK</t>
  </si>
  <si>
    <t>IP scanner : HC1-swd4; Hc2-Ledi3,Lcd3,Pei3,swd3- Offline;                      
  PAPIS Display Visual Status : SWD3-V1 half blank, SWD4-V1 black                                                            
IOS196 : Loss of at least 1 PEI in a class</t>
  </si>
  <si>
    <t xml:space="preserve">IP scanner : HC1-ledi4 &amp; 5; Swd2 &amp; 6; lcd6                                                        
PAPIS Display Visual Status : HC1-swd.2-Half error message &amp;half blank; Ledi4 black                                                                                                              IOS199 : Loss of all interior LCD compact displays in the same platform </t>
  </si>
  <si>
    <t>Checked and confirmed LED4_V1 online and LED1_V1 have display isseu, TIR creted for part replacement.
4/4/2022:Reload LED4-V1 software and test ok.
Found LEID1-V1 wire loose connection. Tight it and test ok</t>
  </si>
  <si>
    <t>HC1 ( Pei4,6 Ledi4,6 Lcd4,5,6 Swd4,5,6 ) IP Offline
NVR Offline ( Removed for retrofit)
HC1 ( Lcd4,5 Ledi4 Swd5 ) Display NOK</t>
  </si>
  <si>
    <t>HC1 ( Ledi5 , Lcd5, Swd5 ) IP Offline
HC2 ( Ledi5) IP Offline</t>
  </si>
  <si>
    <t>HC1 ( Ledi4,5, Lcd4,5, SWD4,5) IP Offline
HC2 ( Ledi4) IP Offline
HC1 ( Swd2,Lcd3 ) Display NOK
HC2 ( Ledi4) Display NOK</t>
  </si>
  <si>
    <t>LESS REFRIGERANT(BOTH LINE) _REFILLED 2KG.
TCN fail show as red Hvac2 but IP online. We checked
and found CPU output CSS16 DQ_4  KA4 contactor not energized Properly after replaced, Its working fine tested several time by reset CB as well as Re start Train.</t>
  </si>
  <si>
    <t>HVAC1-V2 Exhaust Air Fan low and high faulty.
HVAC2-V2 Exhaust Air Fan low and high faulty.</t>
  </si>
  <si>
    <t>IP offline { Papis.Ctrl2,Papis.Pa2 ,Ledi1-V2}
Display Status { SWD5-v2 Half, Ledi1-v2 NOK}</t>
  </si>
  <si>
    <t>IP offline { Papis.Pa1 }
Display status { Swd5-v1 NOK }</t>
  </si>
  <si>
    <t>IP offline-HC2 { Pei6,Ledi6,Lcd5,Swd6,NVR } 
{ NVR removed for Retrofit }</t>
  </si>
  <si>
    <t>Checked again the offline devices all good,
NVR also normalised.</t>
  </si>
  <si>
    <t>IP Offline { (Papis.Ctrl2,Pa2 )(Pei1,2,3-v2)(Ledi1,3,5-v2)(Lcd1,3,5-
v2)(Swd1,3,5)(Cami2-v2) }</t>
  </si>
  <si>
    <t>12/12 : leakage found from the spring brake part. (BRAKE UNIT WITH PARKING BRAKE).
Need to normalize by replacing the brake part.</t>
  </si>
  <si>
    <t>422
602
608
612
615
617
503
509
512
514
519</t>
  </si>
  <si>
    <t>601
607
624</t>
  </si>
  <si>
    <t xml:space="preserve">
603
619
622
510</t>
  </si>
  <si>
    <t>Train driver and preventive team reported when HC2 cab active,
 no cab actvie and EB not release.</t>
  </si>
  <si>
    <t>IOS226 : Loss of traction and ED brajke on one PCE and issue reported
when train want to depart from satbling to mainline.</t>
  </si>
  <si>
    <t>406
615
609
412</t>
  </si>
  <si>
    <t>406 : 4/11/2021 : New NVR online and working normally.
615 : 4/11/2021 : New NVR online and working normally.</t>
  </si>
  <si>
    <t>NCR323
NCR324
NCR326
NCR328
NCR325</t>
  </si>
  <si>
    <t xml:space="preserve"> We found pei fail to ping and unable to recover</t>
  </si>
  <si>
    <t>HC1- While CVS transformer cables inspection, found leakage from the
input Capacitor on</t>
  </si>
  <si>
    <t>401
405</t>
  </si>
  <si>
    <t>405 - 3/11/2021 : Reprogram manually NVR by STE local support.
401 - Hard disk was not properly inserted</t>
  </si>
  <si>
    <t>17 train carrousel _ 13/11/2021
PEI4 V1 not working</t>
  </si>
  <si>
    <t xml:space="preserve">
LCD3_V1 no 110V supply, ALSTOM to check?Found wire W47781 loose, tight it and updated software,OK.
PEI4,LCD4,SWD4,LEDI4_V1 lost com issue? Replaced a new PEI4 and updated the software and all this loop online.</t>
  </si>
  <si>
    <t>13 Nov Mainline launching D4/6 :
IOS247: One ACE have a communication fault</t>
  </si>
  <si>
    <t>17 train carrousel _ 13/11/2021
TS421: IOS179,185</t>
  </si>
  <si>
    <t>17 train carrousel _ 13/11/2021
IOS17</t>
  </si>
  <si>
    <t xml:space="preserve">15 Nov Mainline launching D4/6
Pei5 hc2 offline </t>
  </si>
  <si>
    <t>15 Nov Mainline launching D4/6
IOS94 : Zero velocity fault</t>
  </si>
  <si>
    <t>NCR331
NCR329</t>
  </si>
  <si>
    <t>15 Nov Mainline launching D4/6
IOS196 : Pei1 hc2 offline
IOS198:Loss of LCD 16/9 in the same class</t>
  </si>
  <si>
    <t xml:space="preserve"> All 12 SWDs , LCDs were reported offline . 
10 of 12 SWDs recovered and 3 LCDs recovered , the Pending ones are already corrupted ,cannot recover . will have to test AD boards for these pending issues , if cannot recover , need to replace AD boards.
Incomplete / Bad installation by the User while doing Auto software installation
11/25/2021:Recovered all devices </t>
  </si>
  <si>
    <t xml:space="preserve">15 Nov Mainline launching D4/6
IOS196  </t>
  </si>
  <si>
    <t>Compressor already tested, 
checked from our side and confirmed that leakage come from Supplier ( Factory/manufacturer fault).</t>
  </si>
  <si>
    <t>Alarms from CCR
IOS264:More than one UMC have a communication fault</t>
  </si>
  <si>
    <t>Alarms from CCR
IOS250:One HVAC has a communication fault</t>
  </si>
  <si>
    <t>Alarms from CCR
IOS196:Loss of at least 1 PEI in a class</t>
  </si>
  <si>
    <t>15 Nov Mainline launching D4/6 :
IOS250 : HVAC1_V1 offline</t>
  </si>
  <si>
    <t xml:space="preserve">15 Nov Mainline launching D4/6 :
IOS249 : Door6-hc1 no communication </t>
  </si>
  <si>
    <t>15 Nov Mainline launching D4/6 :
SWD4_V2 is offline after reset became OK</t>
  </si>
  <si>
    <t xml:space="preserve">15 Nov PACIS issues on Mainline
TCCU 1 Faulty and PEI1 _V1 offline </t>
  </si>
  <si>
    <t xml:space="preserve">15 Nov PACIS issues on Mainline
Pei 1_v2 and Pei 6 _v1 Offline </t>
  </si>
  <si>
    <t>NCR333
NCR334</t>
  </si>
  <si>
    <t>15 Nov PACIS issues on Mainline
No CAM working(tccu 1 need to check)</t>
  </si>
  <si>
    <t>15 Nov PACIS issues on Mainline
IOS196 " PEI of line "</t>
  </si>
  <si>
    <t>15 Nov PACIS issues on Mainline No COM with ism 
reported on mainline
IOS264:More than one UMC have a communication fault
LEDI1_V2 is offline</t>
  </si>
  <si>
    <t xml:space="preserve">15 Nov PACIS issues on Mainline
No COM with ism reported on mainline </t>
  </si>
  <si>
    <t>15 Nov PACIS issues on Mainline
IOS196 :pei5_v1 offline</t>
  </si>
  <si>
    <t>15 Nov Mainline launching D4/6 :
IOS247: One ACE have a communication fault</t>
  </si>
  <si>
    <t>15 Nov Mainline launching D4/6 :
IOS250 : IOS252 and F_TCN_ATC2ComNOK</t>
  </si>
  <si>
    <t>IOS196 : Loss of at least 1 PEI in a class, from the MPU logs shown that
PEI4_V2 communication not stable</t>
  </si>
  <si>
    <t xml:space="preserve"> updated software OK</t>
  </si>
  <si>
    <t>IOS196 : Loss of at least 1 PEI in a class, from the MPU logs shown that
PEI5_V1 communication not stable
SWD1_V1 is offline and LCD2_V1 &amp; LCD2_V2 are dim</t>
  </si>
  <si>
    <t>Checked this Pei ping OK. But we found in Pei logs System Setup Info fail . 
Need to replace a new PEI.</t>
  </si>
  <si>
    <t xml:space="preserve">Recovered automatically , Reboot NVR to simulate the issue .
still NVR video recording </t>
  </si>
  <si>
    <t xml:space="preserve">TS605 door did not open at 4C1 PF1. 
TS605 dwelled and departed on time </t>
  </si>
  <si>
    <t>Mainline launching D4/6.
Checked and found HVAC2_V1 heating fault.</t>
  </si>
  <si>
    <t>Heating issue (IOS37 : Loss of 100% of heating of at least one HVAC unit)
23/11/21 – Check the heater- OK, wiring OK. Tested the heater functionality – OK. Keep for monitoring.</t>
  </si>
  <si>
    <t xml:space="preserve">Mainline launching D4/6.
IOS196 " PEI of line " , PEI1_V1 </t>
  </si>
  <si>
    <t xml:space="preserve">Mainline launching D4/6.
LEDI1_V2 and (LEDI, LCD &amp; SWD 2_V2) are offline </t>
  </si>
  <si>
    <t>LCD5_V2 Off line 
LCD2_V1 &amp; SWD4_V1 are shown faulty screens</t>
  </si>
  <si>
    <t>ventilation fault 
HVAC2-V2</t>
  </si>
  <si>
    <t xml:space="preserve">Mainline launching D4/6.
the driver noticed during departure from 6F1 train jerking and like sparking </t>
  </si>
  <si>
    <t>CCD Cable missing 
HC1-BOGIE2_Fuse box to JB one HV cable not available.</t>
  </si>
  <si>
    <t>Mainline launching D4/6.
IOS179</t>
  </si>
  <si>
    <t>12/9/2021:To investigate
12/26/2021:Updated again software manually and test it online and display OK</t>
  </si>
  <si>
    <t xml:space="preserve">update the software Manually all PEI Online. Date:24/11/2021 again cross In ism(pei2_v1,pei1_v2,pei5_v2) need to replace </t>
  </si>
  <si>
    <t xml:space="preserve"> combine test RST NOK</t>
  </si>
  <si>
    <t>06/12 : daily brake test failed and stopped in step4. BCE1/BCE2 logs with TCMS trace sent to faively. Under investigation and waiting their analysis.
07/12 : As per Faively team this issue will be corrected by new BCE software.
18/01 : New Sw planned 28/01
23/01 : New Sw planned 28/01 , the train will be not ready before</t>
  </si>
  <si>
    <t>·       TS416: ”IOS179: 1 APC MV status false”, 
“IOS185: 1APC HV Status false or communication lost”, “IOS180: 1 APC major failure”</t>
  </si>
  <si>
    <t>·       TS403: ”IOS179: 1 APC MV status false”, 
“IOS185: 1APC HV Status false or communication lost”, “IOS180: 1 APC major failure”</t>
  </si>
  <si>
    <t>18/01 : to check if is link to reversible mode issue
23/01 : to check if is link to reversible mode issue
27/01/2022 : reversible mode issue</t>
  </si>
  <si>
    <t>Found NVR IP is online but TOM NOK also from the MPU logs shown
 “F_NVR1LostCom then F_NVR1Fault” and shown faulty LED light on the device</t>
  </si>
  <si>
    <t>Highlighted by TC thru Irvin ~12:49 but train is moving,
 Checked and found in PCE1 have QNEB failure many times.</t>
  </si>
  <si>
    <t>IOS196 " PEI of line "
LCD5-V2 error display
LEDI5-V2 error display</t>
  </si>
  <si>
    <t>IOS263/IOS250
both V2 HVAC NOK then only HVAC1_V2 NOK</t>
  </si>
  <si>
    <t>Mode not available + 
Sleeping issue IOS084</t>
  </si>
  <si>
    <t>as per DC has sleeping issue even can’t manually sleep it, 
and the driver onboarded said that 1st time auto-sleep sent received then gone, 2nd he tried both cabs to sleep it manually but couldn’t and then as per DC after ~ 15 min. he sent auto-sleep and received successfully.
=&gt; 1/12 : issue SLV side : communication not established between ats and ATC, also operating mode was unavailable. tested 2 times yesterday, wake -up and sleep command working fine.</t>
  </si>
  <si>
    <t>DRM4 , DRM5 , LCD5 , LID4 , LID5 
loss of communication</t>
  </si>
  <si>
    <t>PEI E2 port faulty - to be replaced with new one
2/6/2022: found PEI3-V1 report lost communication; Updated software manually and test ok</t>
  </si>
  <si>
    <t xml:space="preserve">TS612 got stuck at stabling 2 entrance (Block: B_380) while coming back from ML and no IOS was raised. Train was moved manually by a driver
 in Depot mode. As per, SLV first investigation the train traction was lost at stabling entrance </t>
  </si>
  <si>
    <t xml:space="preserve">TS 407: “IOS96 : Discrepancy between K_ZeroVel relay and BCE or PCE or ATC”,
</t>
  </si>
  <si>
    <t>12/9/2021:To investigate
12/19/2021:Adjust the light parameters and light is OK</t>
  </si>
  <si>
    <t>12/9/2021:To investigate
1/9/2022:update PEI OK,   checked other devices ok.</t>
  </si>
  <si>
    <t>12/9/2021:To investigate
1/9/2022:update media OK,   checked other devices ok.</t>
  </si>
  <si>
    <t xml:space="preserve">5/12: PIN 24/27 can't be connected properly in the connector XP03+GCL .Need to change the connector XP03+GCL (HC2).
Waiting for the new conector </t>
  </si>
  <si>
    <t>19/12 : leakage found from the spring brake part. (BRAKE UNIT WITH PARKING BRAKE).
Need to normalize by replacing the brake part.</t>
  </si>
  <si>
    <t>Becon Antenna screw not there(4 missing),
HC2-Left side hose not availabe,</t>
  </si>
  <si>
    <t>T623_HC2_RHS_ Sanding rubber hoses damaged - 
1 nos. (DTR0000550155)</t>
  </si>
  <si>
    <t>Train rescue by Train attendance and train move manually.
- OCC give a command move to transfer area, train moving in UTO(HC 2 lead car). 
- After that, OCC give command move from transfer track to S1 but train not moving(HC1 lead car).
- Train drove inside S1 manually. 
Attached logs for further action.</t>
  </si>
  <si>
    <t>IOS185:1 APC LV Status false, 
IOS179:1 APC MV Status false</t>
  </si>
  <si>
    <t>12/9/2021:To investigat
1/2/2022:Updated LEDI software manually and OK</t>
  </si>
  <si>
    <t>12/9/2021:To investigate
1/3/2022:Updated software manually and test OK</t>
  </si>
  <si>
    <t>LEDI4-V1 dark and offline
SWD5-V1 dark and offline
LCD5-V1 error display and offline</t>
  </si>
  <si>
    <t>12/9/2021:To investigate
1/26/2022:Updated software manually and test OK</t>
  </si>
  <si>
    <t>12/9/2021:To investigate
1/5/2022:Updated PEI software manually and test OK</t>
  </si>
  <si>
    <t>12/9/2021:To investigate
1/5/2022:Updated software manually and test OK</t>
  </si>
  <si>
    <t>HC1-Traction box bottom  cover 1 screw threat issue and 1 screw  broken,
HC2-Palm 3 cover Nok.</t>
  </si>
  <si>
    <t>IP offline [ HC1 {  Ledi6 } HC2 { Ledi4 } ]
Display Status [ HC1 {Ledi6(NOK) } ,HC2 {Ledi4-ERROR} ]</t>
  </si>
  <si>
    <t>IP offline: HC1-SWD3, PEI3 HC2- ACE 
                                                           Display Status: SWD3-V1</t>
  </si>
  <si>
    <t>Checked swd6-v1 display ok and online
1/9/2022:Updated SWD software manually and test OK</t>
  </si>
  <si>
    <t>SWD2-V2 half display, need to replace it
1/9/2022:Updated SWD software manually and test OK</t>
  </si>
  <si>
    <t>HC1:Driver Cab Light not Lit ,Passenger Saloon Light nok(+RP1,RP3),        
                                                                                                                                                                  HC1&amp;2-Gangway Light Dim</t>
  </si>
  <si>
    <t xml:space="preserve">HC1-CAB HEAD LIGHT LHS_WHITE one LED NOT LIT                      
                                                                                                                                                                                    HC1-PALM TREE LIGHT NOT LIT           </t>
  </si>
  <si>
    <t>IP-lcd2.v2,lcd5.v2,led5.v2,swd2.v2 offline, 
Display status-LCD1.V1,LCD4.V1,LCD5.V2,LCD3.V2(low light)</t>
  </si>
  <si>
    <t>Semi permanent coupler earthing bolt is missing,and Earth 
strip is lose both sides.</t>
  </si>
  <si>
    <t xml:space="preserve">IP offline - Swd2-v2 
Display status -Swd2-v2 ( NOK ) </t>
  </si>
  <si>
    <t>IP offline [ HC2 -SWD5  ]
Display Status [ HC2 {SWD2 HALF }  { SWD5 NOK }</t>
  </si>
  <si>
    <t>HC1-GCL fire extinguisher holding plate not assembled
(so Fire extinguisher not available)</t>
  </si>
  <si>
    <t>HC1- Near Door3 saloon light spot more brightness,Gangway Light Dim,    
 HC2-Passenger Saloon Light Not Lit(+RP3)</t>
  </si>
  <si>
    <t>19/12 : Found in many trains same issue. Plastic washer broken, email sent to davide from FAIVELEY to know if need to change or not. waiting for his answer
20/12 : No need to change the plastic washer as per Faively. NCR canceled</t>
  </si>
  <si>
    <t>HC1-BOGIE 2 RIGHT HAND SIDE (WFL)WHEEL FLANGE LUBRICATOR 
STICK HOLDING SAFETY PIN MISSING</t>
  </si>
  <si>
    <t>HC1: TRACTION BOX PANEL COVER( LINE CONTACTING COVER)
 LOCK IS NOT WORKING )</t>
  </si>
  <si>
    <t>413
615
612</t>
  </si>
  <si>
    <t>Found SI_XP-FAN3 connector disconnected as per picture below. 
Normalized and tested. No more failure observed</t>
  </si>
  <si>
    <t>HC1 SEALING PANEL NO 1  2ALLEN SCREWS ARE MISSING.
HC2 SEALING PANEL NEAR TO GANGWAY ALLEN SCREW HEAD DAMAGE.
HC2 PANEL 1  HAND RAIL SCREW MISSING AND 2ALLEN SCREW MISSING.</t>
  </si>
  <si>
    <t>HC1&amp;HC2 NEAR TO GANGWAY SEALING PANEL 2ALLEN SCREW MISSING
HC2 HAND RAIL NEAR TO DOOR NO3 SCREW WAS MISSING</t>
  </si>
  <si>
    <t>HC2 PANEL NO1 ALLEN SCREW MISSING.
HC2 NEAR DOOR2 SEALING PANEL ALLEN SCREW MISSING.
HC1&amp;HC2NEAR TO GANGWAY PANEL ALLEN SCREWS ARE MISSING.</t>
  </si>
  <si>
    <t>HC2 NEAR GANGWAY PANEL1-1ALLEN SREW 1DAMAGE.
HC1 NEAR GANGWAY PANEL1-1ALLEN SREW 1DAMAGE.
HC2 ROOF PANEL1-1ALLEN SCREW MISSING.
HC2 HANDRAIL SCREW ONE DAMAGE.</t>
  </si>
  <si>
    <t>HC1 ROOF PANEL1 ALLEN SREW 1MISSING AND 1DAMAGE
HC2 ROOF PANEL1 ALLEN SREW1DAMAGE.</t>
  </si>
  <si>
    <t>24/01/2022 : TCMS Trace armed. 
27/01 : Issue coming fom SLV side. we found that the IOS85 is triggered because we lose the ZVI signal coming the ATC for unknown reason.</t>
  </si>
  <si>
    <t>25/01 : Log checked from MPU and found LB_TBS_BCE1Axl1ValidSpd =Flase. And from BCE log we have F009 that mean there is a failure on the 
impedance read on the speed sensor by the A-Matric. Same like TIR1166</t>
  </si>
  <si>
    <t>HC2 PANEL 1 - 1 ALLEN SCREW MISSING
HC1 PANEL NEAR TO GANGWAY - 1 ALLEN SCREW MISSING</t>
  </si>
  <si>
    <t>HC2 ROOF PANEL 1-2ALLEN SCREWS ARE MISSING.
HC1 ROOF PANEL 1-2ALLEN SCREWS ARE MISSING.</t>
  </si>
  <si>
    <t>HC2 PANEL 1 - 1ALLEN SCREW MISSING, 1 DAMAGE
HC1 PANEL NEAR TO GANGWAY - 1 ALLEN SCREW MISSING</t>
  </si>
  <si>
    <t>HC1 PANEL 1 -1 ALLEN SCREW MISSING
HC2 PANEL 1 -1ALLEN SCREW MISSING
HC2 HAND RAIL SCREW 1 MISSING</t>
  </si>
  <si>
    <t>IP- lcd3-v1 offline ,Display status-Not WORKING
LCD3 HC1</t>
  </si>
  <si>
    <t>Display Status: Not WORKING
LCD 4 HC1</t>
  </si>
  <si>
    <t>IP-OFFLINE- ledi4-v2   Display Status: not working SWD-2&amp;6 HC1
LED 4 HC2</t>
  </si>
  <si>
    <t>lcd5 car2 in ip scanner shows red but physically working good.
led5 car2 display on but image not available.
led1 car2 not powered up.
pei5 car2 shows in ip scanner red but physically activated. IOS196 : Loss of at least 1 PEI in a class</t>
  </si>
  <si>
    <t>CAR2 HVAC1,HVAC2,DF 1005_EXFL,DF 1006_EMEXF,
EXHAUST AIR FAN LOW,
EXHAUST AIR FAN HIGH.</t>
  </si>
  <si>
    <t>1/13/2022:To update LED software manually 
2/23/2022:Updated software manually and test ok</t>
  </si>
  <si>
    <t xml:space="preserve"> NCR0362</t>
  </si>
  <si>
    <t xml:space="preserve">HC2 PANEL NO1 ALLEN SCREW MISSING.
HC2 NEAR DOOR2 SEALING PANEL ALLEN SCREW MISSING.
HC1&amp;HC2NEAR TO GANGWAY PANEL ALLEN SCREWS ARE MISSING </t>
  </si>
  <si>
    <t>31/01 : level is low. No leakage found. Need to normalize the oil level.
30K PM done</t>
  </si>
  <si>
    <t xml:space="preserve">18/01 : missing part , To create NCR
23/01 : the train will be not ready fo 33 train of Wednesday
</t>
  </si>
  <si>
    <t>02/01/2022 : checked no leakage found. Need to normalize the oil level
30K PM done</t>
  </si>
  <si>
    <t>Detected during BOGIE VISUAL INSPECTION GLOBAL – Inspection of the Wheel Slide Protection (WSP) Sensor 
Train 602A, Bogie 2 Right Side – WSP cable was found damaged.</t>
  </si>
  <si>
    <t>IOS185 : 1 APC LV Status false, 
IOS179 : 1 APC MV Status false</t>
  </si>
  <si>
    <t>Reset HC2_CVS via WebScope, 
But still CVS not working. In Event showing permanent fault of converter &amp; others fault. Checked and found resistance for Primary 1 were high and after visual checked, no burn spot observed.</t>
  </si>
  <si>
    <t>IOS191 : Loss of video recorder
IOS196 : Loss of at least 1 PEI in a class
ISO200 : Loss of all superwides in the same doors platform
IOS199 : Loss of all interior LCD compact displays in the same platform
IOS198 : Loss of LCD 16/9 in the same class</t>
  </si>
  <si>
    <t>IOS185 : 1 APC LV Status false,
IOS179 : 1 APC MV Status false</t>
  </si>
  <si>
    <t>HC1 PANEL 1- 1 ALLEN SCREW MISSING
HC2 PANEL1 - 1 ALLEN SCREW MISSING</t>
  </si>
  <si>
    <t xml:space="preserve">IOS196 : Loss of at least 1 PEI in a class                                                                pei3 car1,ledi3 car1 ip off but physically good,
lcd3 car1 ip off but physically good,swd3 car1 ip scanner status off but physically ok                             Display Status: lcd6 car1 physically off condition   </t>
  </si>
  <si>
    <t xml:space="preserve">25/01 : Log checked from MPU and found LB_TBS_BCE1Axl1ValidSpd =Flase. And from BCE log we have F009 that mean there is a failure on the 
impedance read on the speed sensor by the A-Matric. </t>
  </si>
  <si>
    <t>HC1 gear oil level is low in Axle 1&amp;4 and also in HC2 axle 1
30K PM</t>
  </si>
  <si>
    <t>Auto-Combine Test (ACT) failed 
+ IOS245: One PCE have a communication fault, + IOS235: Faulty auto test on at least one PCE and + IOS021: Minor fault on 1 brake unit</t>
  </si>
  <si>
    <t>IOS21:Minor fault on 1 brake unit
IOS245:One PCE has a communication faul
IOS235:Faulty auto test on at least one PCE</t>
  </si>
  <si>
    <t>IOS179:1 APC MV Status false
IOS185:1 APC LV Status false</t>
  </si>
  <si>
    <t>3/2/2022 : SLV issue confirmed. Issue coming from the PPU card doesn't power the others cards. Slv will inform us when they rectify the issue.
Now ok Card replaced</t>
  </si>
  <si>
    <t xml:space="preserve"> HC2-PCE cooling fan cover one screw need to re-tap</t>
  </si>
  <si>
    <t>HC1 Bogie 2 Horizontal damper doesnt have torque marks on its bolts on one end ( two bolts );ALL ECR(earth current return ) cables are without proper torque marks on them (HC1 +HC2)
all axle box outer covers are without proper legible  torque marks on them (marks are mostly faded are not good)</t>
  </si>
  <si>
    <t>IOS191:Loss of video recorder
IOS200:Loss of all superwides in the same doors platform
IOS199:Loss of all interior LCD compact displays in the same platform
IOS198:Loss of LCD 16/9 in the same class
IOS195:Loss of All PEI in the same class
IOS196:Loss of at least 1 PEI in a class</t>
  </si>
  <si>
    <t xml:space="preserve">02/13 : Mohamed :  Automatic combined test failed because the Autotest for ACE1 and UMC are failed.
Autotest ACE now ok : ACE1 was locked, reset done and no more issue.
Guan : UMCAutoTest nok : Need to replace Both TCCU
2/14/2022:Replaced TCCU1 and autotest OK
</t>
  </si>
  <si>
    <t>IOS179: 1 APC MV Status false,
IOS185: 1 APC LV Status false.</t>
  </si>
  <si>
    <t xml:space="preserve"> HC2, PCE-underframe cover one screw need re-tap</t>
  </si>
  <si>
    <t xml:space="preserve"> HC2, CVS earth cable lose</t>
  </si>
  <si>
    <t>13/3 : all damaged part already replaced and NRT still pending.
20/03 NRT done on test track by Ahmad</t>
  </si>
  <si>
    <t>HC1 lube sticks required are 14 nos 
HC2 lube sticks required are 11 nos (total 25 nos of sticks are needed for this train)</t>
  </si>
  <si>
    <t>HC1 lube sticks required are 14 nos 
HC2 lube sticks required are 14 nos (total 28 nos of sticks are needed for this train)</t>
  </si>
  <si>
    <t>HC1 lube sticks required are 4 nos 
HC2 lube sticks required are 4 nos (total 8 nos of sticks are needed for this train)</t>
  </si>
  <si>
    <t>HC1 lube sticks required are 8 nos 
HC2 lube sticks required are 9 nos (total 17 nos of sticks are needed for this train)</t>
  </si>
  <si>
    <t>HC1 lube sticks required are 16 nos 
HC2 lube sticks required are 16 nos (total 32 nos of sticks are needed for this train)</t>
  </si>
  <si>
    <t>HC1 lube sticks required are 13 nos 
HC2 lube sticks required are 11 nos (total 24 nos of sticks are needed for this train)</t>
  </si>
  <si>
    <t xml:space="preserve">PM2423	
</t>
  </si>
  <si>
    <t xml:space="preserve">PM2439	
</t>
  </si>
  <si>
    <t xml:space="preserve">PM2440	
</t>
  </si>
  <si>
    <t>Checked and found issue with the ambient 
temperature sensor</t>
  </si>
  <si>
    <t xml:space="preserve"> Need retighten the hose properly. Done</t>
  </si>
  <si>
    <t>IOS175 : LV Earthing fault.
IOS174 : MV Earthing fault.</t>
  </si>
  <si>
    <t>4/24/2022:Found pei3-v2 offline and updated software and test ok
Found PEI2-V1 offline and replaced a new PEI and test ok</t>
  </si>
  <si>
    <t>Pin no 52 found bended in 6104_XR-01 PECD Connector HC1
Pin no 13 &amp; 100 found bended in 6104_XR-01 PECD Connector HC2</t>
  </si>
  <si>
    <t>Pin no 20 found bended in 6104_XR-01 PECD Connector HC1
Pin no 71 found bended in 6104_XR-01 PECD Connector HC2</t>
  </si>
  <si>
    <t>Pin no 13 found bended in 6104_XR-01 PECD Connector HC1
Pin no 12 &amp; 13 found bended in 6104_XR-01 PECD Connector HC2</t>
  </si>
  <si>
    <t>Pin no 101 found bended in 6104_XR-01 PECD Connector HC1
Pin no 101 found bended in 6104_XR-01 PECD Connector HC2</t>
  </si>
  <si>
    <t>Pin no 18 found pushed back in 6104_XR-01 PECD Connector HC1
Pin no 19 found bended and shorted with 20 in 6104_XR-01 PECD Connector HC2</t>
  </si>
  <si>
    <t xml:space="preserve"> fire extinguisher’s holding belt and plate is missing in HC1</t>
  </si>
  <si>
    <t xml:space="preserve"> IOS196 : Loss of at least 1 PEI in a class;IOS203. </t>
  </si>
  <si>
    <t>Auto Combine Test (ACT) failed
IOS249 : One DCU have a communication fault;DCU2_V2 is offline</t>
  </si>
  <si>
    <t>IOS179 : 1 APC MV Status false
IOS185 : 1 APC LV Status false
IOS228 : At least one minor failure on PCE
IOS001 : One compressor out of service indication</t>
  </si>
  <si>
    <t>ACT NOK
IOS061 : At least one door is not operational indication
IOS071 : Discrepency between EED status provided by EDCU and ATC information
IOS025 : Two brake units isolated on single unit configuration
IOS015 : Service brake released loop in default indication</t>
  </si>
  <si>
    <t>IOS 191 &amp; 195 is appearing.
Mode is also not available and Autotest got failed as well.</t>
  </si>
  <si>
    <t xml:space="preserve">Checked the issue is due to TCCU reported, and when checked in train no issue found. We updated both TCCU software and test ok.
4/27/2022:install wireshark in tccu and to follow </t>
  </si>
  <si>
    <t>•	The EB was apply at COE  
•	All the Train EB causes was not active ( derailment , obstacle , No cabin active , EB PB  , EB LMRG )
•	The EB was release before driver arrive to the train. 
•	The train start moving without any action from the driver 
5/8/2022:Installed the tracer to follow it</t>
  </si>
  <si>
    <t xml:space="preserve">Noticed before the new SW update on TS423, two devices their communications not stable as also confirmed from the MPU logs that available in the train "PEI5_V2 and SWD4_V2".
So far, the update done successfully. However,it needs to confirm their stability.
</t>
  </si>
  <si>
    <t>Ledi5-v1 is offline in ip scanner but physically ok while updating the new papis software. 
One swd is showing offlin in MCDT application.</t>
  </si>
  <si>
    <t>Updated LEDI software and test ok</t>
  </si>
  <si>
    <t>PEI5_V1 IP is online but from Software Update Console is offline.</t>
  </si>
  <si>
    <t>TCCU1 is off, and TCCU2 is ON.  To follow TCCU1 status</t>
  </si>
  <si>
    <t>ACE1 is faulty due to Major faults are appearing. 
IOS:179.180,185</t>
  </si>
  <si>
    <t>Permanent Fault of the converter need to replaced (Auxiliary converter Module B-DFB (BOOST DCDC MODULE)</t>
  </si>
  <si>
    <t>Updated TCCU2 software and test ok</t>
  </si>
  <si>
    <t xml:space="preserve">Device offline in Software Update Console before the updating the new papis software - LCD3-V1, LEDI3-V1, SWD3-V1 and LEDI6-V2 
</t>
  </si>
  <si>
    <t xml:space="preserve"> "PEI1_V1 and PEI2_V2" IP is offline and hence the following devices in the loop connected to them e.g. LCD18.5", SWD and LCD15" are offline</t>
  </si>
  <si>
    <t>HC1 - SWD4,LCD4,LCDI4 showing offline (Displays are good but date and time are not updated )</t>
  </si>
  <si>
    <t xml:space="preserve">IOS196  : Loss of at least 1 PEI in a class ,IOS 203 </t>
  </si>
  <si>
    <t>TIR1734</t>
  </si>
  <si>
    <t>IP-offline _lcd4-v2 , swd4-v2 , ledi4-v2</t>
  </si>
  <si>
    <t>TIR1735</t>
  </si>
  <si>
    <t>swd6-v2-IP offline</t>
  </si>
  <si>
    <t>TIR1736</t>
  </si>
  <si>
    <t>TIR1737</t>
  </si>
  <si>
    <t>HC1/HC2 - light under seats not working.</t>
  </si>
  <si>
    <t>TIR1738</t>
  </si>
  <si>
    <t>TIR1739</t>
  </si>
  <si>
    <t>combined test issue</t>
  </si>
  <si>
    <t>TIR1740</t>
  </si>
  <si>
    <t>hvac water drainage distribution box hose damaged during PM simulation</t>
  </si>
  <si>
    <t>TIR1741</t>
  </si>
  <si>
    <t>TIR10000</t>
  </si>
  <si>
    <t>Gangway panel interior minor scratch</t>
  </si>
  <si>
    <t>TIR10001</t>
  </si>
  <si>
    <t>TIR10002</t>
  </si>
  <si>
    <t>HC1-Ledi2/Lcd2/Swd2/Swd4  IP offline</t>
  </si>
  <si>
    <t>TIR10003</t>
  </si>
  <si>
    <t>HC2-HVAC1 All Compressors  have  Noise/vibration</t>
  </si>
  <si>
    <t>TIR10004</t>
  </si>
  <si>
    <t>HC2-HVAC2 compressor 3 &amp;4  not started to run due to Gas level low LP2</t>
  </si>
  <si>
    <t>KHEMMAL Ishak</t>
  </si>
  <si>
    <t>Interiors</t>
  </si>
  <si>
    <t>Train not able to sleep remotely. Intervention need with Slv to check</t>
  </si>
  <si>
    <t>TIR1742</t>
  </si>
  <si>
    <t>Torqueing to be checked after dismounting the motor for noise test</t>
  </si>
  <si>
    <t>Bogie</t>
  </si>
  <si>
    <t>TIR1743</t>
  </si>
  <si>
    <t>Seals and motor covers damaged after noise test</t>
  </si>
  <si>
    <t>5/17/2022 : no material</t>
  </si>
  <si>
    <t>5/16/22 : no material 
5/17/2022 : still no material</t>
  </si>
  <si>
    <t>need to replace the 3 nut(out of stock 05-Jan-2022)
5/17/2022 : still no material</t>
  </si>
  <si>
    <t>TIR1744</t>
  </si>
  <si>
    <t>HC1- LCD 2 media content not available but display good</t>
  </si>
  <si>
    <t>TIR1745</t>
  </si>
  <si>
    <t>HC1-SWD1 IP offline but physically good</t>
  </si>
  <si>
    <t>TIR1746</t>
  </si>
  <si>
    <t>hvac1 car1 heater2 not released</t>
  </si>
  <si>
    <t>TIR1747</t>
  </si>
  <si>
    <t>auto test hvac fail; hvac1 car1 heater2 not released</t>
  </si>
  <si>
    <t>TIR1748</t>
  </si>
  <si>
    <t>UMC Auto test fail; Papis ctrl1,papis pai1-IP offline;IOS251 : One MUC have a communication fault</t>
  </si>
  <si>
    <t>TIR1749</t>
  </si>
  <si>
    <t>iOS 192:Loss of at least one camera</t>
  </si>
  <si>
    <t>TIR10005</t>
  </si>
  <si>
    <t>Display Status : HC2-SWD.5 Half Blank</t>
  </si>
  <si>
    <t>TIR10006</t>
  </si>
  <si>
    <t>HC2- Family class Fire extingusier holding belt Missing</t>
  </si>
  <si>
    <t>TIR10007</t>
  </si>
  <si>
    <t>HC2-Right side Flange Lubricator's  saftey pin missing</t>
  </si>
  <si>
    <t xml:space="preserve">need to be Replace the TEG for inspection </t>
  </si>
  <si>
    <t>need to be replace the head light or head light power supply board</t>
  </si>
  <si>
    <t>All are installed</t>
  </si>
  <si>
    <t>TIR1750</t>
  </si>
  <si>
    <t>Something unknown is restricting the internal gangway panel movement.</t>
  </si>
  <si>
    <t>TIR1751</t>
  </si>
  <si>
    <t xml:space="preserve">The left internal Gangway panel was found missing. </t>
  </si>
  <si>
    <t>TIR1752</t>
  </si>
  <si>
    <t>Lights are not working. depot 4&amp;6 _T409 _HC2.</t>
  </si>
  <si>
    <t>TIR1753</t>
  </si>
  <si>
    <t>The LCD frame need to be installed properly; the cover/frame is movable.</t>
  </si>
  <si>
    <t>TIR1754</t>
  </si>
  <si>
    <t>The left internal Gangway panel was found missing.</t>
  </si>
  <si>
    <t>TIR1755</t>
  </si>
  <si>
    <t>swd1  v1 off ,lcd1 v1 off physically working but no media content</t>
  </si>
  <si>
    <t>TIR1756</t>
  </si>
  <si>
    <t>TIR1757</t>
  </si>
  <si>
    <t>PACIS</t>
  </si>
  <si>
    <t>HVAC</t>
  </si>
  <si>
    <t>CVS</t>
  </si>
  <si>
    <t>TCMS &amp; EVR</t>
  </si>
  <si>
    <t>Charafeddine</t>
  </si>
  <si>
    <t>TCCU1 OFF</t>
  </si>
  <si>
    <t>TIR1758</t>
  </si>
  <si>
    <t>IOS13 : BCE autotest result failed,BCE1 0.0.0</t>
  </si>
  <si>
    <t>TIR1759</t>
  </si>
  <si>
    <t>IOS235 : Faulty auto test on at least one PCE;PCE1-0.0.0</t>
  </si>
  <si>
    <t>TIR1760</t>
  </si>
  <si>
    <t>DCU3 V1 IP offline,DRS Auto test fail</t>
  </si>
  <si>
    <t>TIR1761</t>
  </si>
  <si>
    <t>TIR1762</t>
  </si>
  <si>
    <t>TIR1763</t>
  </si>
  <si>
    <t>IOS25 : Two brake units isolated on single unit configuration</t>
  </si>
  <si>
    <t>TIR1764</t>
  </si>
  <si>
    <t>HC1- SWD.6,HC2-SWD1 -IP  Offline</t>
  </si>
  <si>
    <t>TIR1765</t>
  </si>
  <si>
    <t>TIR1766</t>
  </si>
  <si>
    <t>TIR1767</t>
  </si>
  <si>
    <t>Ios249: one DCU has a communication fault. Door#5 hc2 DCU fault with code 17.</t>
  </si>
  <si>
    <t>TCMS</t>
  </si>
  <si>
    <t>TIR10008</t>
  </si>
  <si>
    <t>HC1-CVS ( s.no CRL0107) Cover oxidation such corrosion</t>
  </si>
  <si>
    <t>TIR10009</t>
  </si>
  <si>
    <t>HC2-CVS(S.no. CRL0109) Cover oxidation such corrosion</t>
  </si>
  <si>
    <t>TIR10010</t>
  </si>
  <si>
    <t>HC1- Battery  box ( SN 883723/100)Cover oxidation such corrosion</t>
  </si>
  <si>
    <t>TIR10011</t>
  </si>
  <si>
    <t xml:space="preserve">Papis -ctrl2,Pa2-IP offline; Display status: [HC1-SWD5 Half blank,HC2 -Swd 2 blank] </t>
  </si>
  <si>
    <t>TIR10012</t>
  </si>
  <si>
    <t xml:space="preserve">Papis Pa-2 showing offline in ip scanner. Software and media update pending.   </t>
  </si>
  <si>
    <t>TIR10013</t>
  </si>
  <si>
    <t>Following devices are onlineline in ip scanner but from software update tool showing false (Lcd3-v2)</t>
  </si>
  <si>
    <t>TIR10014</t>
  </si>
  <si>
    <t>HC2-Bogie2 Left side Collector shoe tilded- [Refer Picture]</t>
  </si>
  <si>
    <t>TIR10015</t>
  </si>
  <si>
    <t>HC2-Sand level is low</t>
  </si>
  <si>
    <t>TIR10016</t>
  </si>
  <si>
    <t>IP offline: HC1- HVAC2 IOS250 : One HVAC have a communication fault</t>
  </si>
  <si>
    <t xml:space="preserve">05/22/2022 : cleaning was done in bogie 2 and the marques of torquing are clear </t>
  </si>
  <si>
    <t>Ad board firmware reinstalled</t>
  </si>
  <si>
    <t>All equipment online - NFF</t>
  </si>
  <si>
    <t>HC1-LCD1 Media content missing</t>
  </si>
  <si>
    <t>IOS93 : Two driving modes are selected in the same time</t>
  </si>
  <si>
    <t>See TIR019</t>
  </si>
  <si>
    <t>ATC EB</t>
  </si>
  <si>
    <t>DCU OFF</t>
  </si>
  <si>
    <t>Brake isolated</t>
  </si>
  <si>
    <t>TIR1768</t>
  </si>
  <si>
    <t>car2 saloon light off near door2</t>
  </si>
  <si>
    <t>TIR1769</t>
  </si>
  <si>
    <t>car2 horn pushbutton not working</t>
  </si>
  <si>
    <t>TIR1770</t>
  </si>
  <si>
    <t>car1 lcd1 no media content</t>
  </si>
  <si>
    <t>TIR1771</t>
  </si>
  <si>
    <t>swd1 car2, lcd4 car2,ledi4 car2 ip off physically good</t>
  </si>
  <si>
    <t>TIR1772</t>
  </si>
  <si>
    <t xml:space="preserve"> the rubber of the primery suspension damaged</t>
  </si>
  <si>
    <t>TIR1773</t>
  </si>
  <si>
    <t>HC1 - LIGHT UNDER SEAT NOT WORKING.</t>
  </si>
  <si>
    <t>TIR1774</t>
  </si>
  <si>
    <t>HVAC failed auto test(Location is not accurate as marked in Picture)</t>
  </si>
  <si>
    <t>TIR1775</t>
  </si>
  <si>
    <t>HC2-led 4 , lcd 4 , swd4 IP offline</t>
  </si>
  <si>
    <t>TIR1776</t>
  </si>
  <si>
    <t>EVR Not Respond to download Logs</t>
  </si>
  <si>
    <t>TIR1777</t>
  </si>
  <si>
    <t>TIR1778</t>
  </si>
  <si>
    <t>Corrective Maintenance</t>
  </si>
  <si>
    <t xml:space="preserve">battery warning signages are missing (safety labels) </t>
  </si>
  <si>
    <t xml:space="preserve">05/23/22 : Confirmed with picture. No material available </t>
  </si>
  <si>
    <t>TIR1779</t>
  </si>
  <si>
    <t>Safety missing in wheel flange lubricator in hc2</t>
  </si>
  <si>
    <t>TIR10017</t>
  </si>
  <si>
    <t>HC2-Bogie1 Right 1 Collector shoe tilted (as Picture Shown)</t>
  </si>
  <si>
    <t>TIR10018</t>
  </si>
  <si>
    <t>TIR10019</t>
  </si>
  <si>
    <t>HC1-LEDI6,LCD6,SWD6  -IP offline</t>
  </si>
  <si>
    <t>HC2 - LIGHT UNDER SEAT NOT WORKING.</t>
  </si>
  <si>
    <t>straighted  the pin</t>
  </si>
  <si>
    <t>Gangway panel was found missing.</t>
  </si>
  <si>
    <t>Need to reinstall the software</t>
  </si>
  <si>
    <t>TIR1780</t>
  </si>
  <si>
    <t xml:space="preserve">401 has CAB2 beacon reading issue </t>
  </si>
  <si>
    <t>5/24/2022 : After trouble shooting it seems that the issue is the antenna. Need to change it</t>
  </si>
  <si>
    <t>TIR1782</t>
  </si>
  <si>
    <t>IOS250 : One HVAC have a communication fault</t>
  </si>
  <si>
    <t>TIR10020</t>
  </si>
  <si>
    <t>HC1-LHS  ESG Tail Light Red one LED not Lit</t>
  </si>
  <si>
    <t>LIG: HEAD LIGHT LEFT</t>
  </si>
  <si>
    <t>TIR10021</t>
  </si>
  <si>
    <t>HC1-Bogie1 oil Leakage from Gasket S.No .392</t>
  </si>
  <si>
    <t>TIR10022</t>
  </si>
  <si>
    <t>HC1-B2-(S.No. 472) found minor leakage from Gasket</t>
  </si>
  <si>
    <t>TIR10023</t>
  </si>
  <si>
    <t>HC2-Gangway Interior Light  always bright not change to DIM</t>
  </si>
  <si>
    <t>TIR10024</t>
  </si>
  <si>
    <t>SWD4-V1 &amp; LEDI4-V1 Offline in IP scanner.</t>
  </si>
  <si>
    <t>TIR10025</t>
  </si>
  <si>
    <t>Ledi4-V1 &amp; Swd2-V1 offline in IP scanner.</t>
  </si>
  <si>
    <t>TIR10026</t>
  </si>
  <si>
    <t>HC1 EAD not working from right side.</t>
  </si>
  <si>
    <t>TIR10027</t>
  </si>
  <si>
    <t xml:space="preserve">Following devices are offline ,Papis.pa2,Swd1-v1,Swd4-v1
</t>
  </si>
  <si>
    <t>TIR10028</t>
  </si>
  <si>
    <t xml:space="preserve">pei3-V2,LCD3-V2,SWD3-V2 is offline while updating the new papis software. 
</t>
  </si>
  <si>
    <t>TIR10029</t>
  </si>
  <si>
    <t xml:space="preserve">ledi2-V2 is offline while updating the new papis software. </t>
  </si>
  <si>
    <t>TIR10030</t>
  </si>
  <si>
    <t xml:space="preserve">TCCU_2 showing online in ip scanner but fail to update via papis software update tools. MCDT still pending due to this.
</t>
  </si>
  <si>
    <t>Smart module card reflash. Problem solved</t>
  </si>
  <si>
    <t>TIR1781</t>
  </si>
  <si>
    <t>TIR1783</t>
  </si>
  <si>
    <t>HVAC -Auto test fail</t>
  </si>
  <si>
    <t>TIR1784</t>
  </si>
  <si>
    <t>TIR1785</t>
  </si>
  <si>
    <t>HC1-Ledi4,Lcd4,swd4 IP offline.</t>
  </si>
  <si>
    <t>TIR1786</t>
  </si>
  <si>
    <t>IOS41 : HVAC unit no fault with interior temperature higher than Max Threshold   </t>
  </si>
  <si>
    <t>TIR1787</t>
  </si>
  <si>
    <t>HC2 HVAC 1 very strange sound is coming from the hvac unit while start up.</t>
  </si>
  <si>
    <t>TIR1788</t>
  </si>
  <si>
    <t>HC2 GCL Panel one holding clip missing.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</si>
</sst>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d/mmm/yy;@"/>
  </numFmts>
  <fonts count="8" x14ac:knownFonts="1">
    <font>
      <sz val="11"/>
      <color theme="1"/>
      <name val="Calibri"/>
      <family val="2"/>
      <scheme val="minor"/>
    </font>
    <font>
      <b/>
      <sz val="11"/>
      <color theme="1"/>
      <name val="Calibri"/>
      <family val="2"/>
      <scheme val="minor"/>
    </font>
    <font>
      <u/>
      <sz val="11"/>
      <color theme="10"/>
      <name val="Calibri"/>
      <family val="2"/>
      <scheme val="minor"/>
    </font>
    <font>
      <sz val="9"/>
      <name val="Calibri"/>
      <family val="2"/>
      <scheme val="minor"/>
    </font>
    <font>
      <b/>
      <sz val="14"/>
      <color theme="0"/>
      <name val="Calibri"/>
      <family val="2"/>
      <scheme val="minor"/>
    </font>
    <font>
      <sz val="11"/>
      <name val="Calibri"/>
      <family val="2"/>
      <scheme val="minor"/>
    </font>
    <font>
      <sz val="11"/>
      <color rgb="FF444444"/>
      <name val="Calibri"/>
      <family val="2"/>
    </font>
    <font>
      <sz val="11"/>
      <color rgb="FF444444"/>
      <name val="Calibri"/>
      <family val="2"/>
      <charset val="1"/>
    </font>
  </fonts>
  <fills count="12">
    <fill>
      <patternFill patternType="none"/>
    </fill>
    <fill>
      <patternFill patternType="gray125"/>
    </fill>
    <fill>
      <patternFill patternType="solid">
        <fgColor rgb="FF00FF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53">
    <xf numFmtId="0" fontId="0" fillId="0" borderId="0" xfId="0"/>
    <xf numFmtId="0" fontId="0" fillId="0" borderId="0" xfId="0" applyAlignment="1">
      <alignment horizontal="center" vertical="center"/>
    </xf>
    <xf numFmtId="0" fontId="1" fillId="4" borderId="5"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center" vertical="center" wrapText="1"/>
    </xf>
    <xf numFmtId="164" fontId="5" fillId="0" borderId="1" xfId="1" applyNumberFormat="1" applyFont="1" applyBorder="1" applyAlignment="1">
      <alignment horizontal="center" vertical="center" wrapText="1"/>
    </xf>
    <xf numFmtId="164" fontId="0" fillId="0" borderId="1" xfId="0" applyNumberFormat="1" applyBorder="1" applyAlignment="1">
      <alignment horizontal="center" vertical="center"/>
    </xf>
    <xf numFmtId="164" fontId="3" fillId="2" borderId="1" xfId="1" applyNumberFormat="1" applyFont="1" applyFill="1" applyBorder="1" applyAlignment="1">
      <alignment horizontal="center" vertical="center" wrapText="1"/>
    </xf>
    <xf numFmtId="164" fontId="1" fillId="4" borderId="5" xfId="0" applyNumberFormat="1" applyFont="1" applyFill="1" applyBorder="1" applyAlignment="1">
      <alignment horizontal="center" vertical="center" wrapText="1"/>
    </xf>
    <xf numFmtId="0" fontId="1" fillId="5"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1" xfId="0" applyBorder="1" applyAlignment="1">
      <alignment horizontal="left" vertical="center" wrapText="1"/>
    </xf>
    <xf numFmtId="0" fontId="0" fillId="6" borderId="1" xfId="0" applyFill="1" applyBorder="1" applyAlignment="1">
      <alignment horizontal="center" vertical="center"/>
    </xf>
    <xf numFmtId="0" fontId="0" fillId="7" borderId="1" xfId="0" applyFill="1" applyBorder="1" applyAlignment="1">
      <alignment horizontal="center" vertical="center"/>
    </xf>
    <xf numFmtId="15" fontId="3" fillId="2" borderId="1" xfId="1" applyNumberFormat="1"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1" fillId="10" borderId="5" xfId="0" applyFont="1" applyFill="1" applyBorder="1" applyAlignment="1">
      <alignment horizontal="center" vertical="center" wrapText="1"/>
    </xf>
    <xf numFmtId="0" fontId="1" fillId="11" borderId="5" xfId="0" applyFont="1" applyFill="1" applyBorder="1" applyAlignment="1">
      <alignment horizontal="center" vertical="center" wrapText="1"/>
    </xf>
    <xf numFmtId="15" fontId="0" fillId="0" borderId="1" xfId="0" applyNumberFormat="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xf numFmtId="165" fontId="5" fillId="0" borderId="1" xfId="1" applyNumberFormat="1" applyFont="1" applyBorder="1" applyAlignment="1">
      <alignment horizontal="center" vertical="center" wrapText="1"/>
    </xf>
    <xf numFmtId="14" fontId="0" fillId="0" borderId="1" xfId="0" applyNumberFormat="1" applyBorder="1" applyAlignment="1">
      <alignment horizontal="center" vertical="center"/>
    </xf>
    <xf numFmtId="0" fontId="0" fillId="0" borderId="1" xfId="0" applyBorder="1"/>
    <xf numFmtId="0" fontId="0" fillId="0" borderId="1" xfId="0" applyBorder="1" applyAlignment="1">
      <alignment horizontal="right"/>
    </xf>
    <xf numFmtId="0" fontId="0" fillId="0" borderId="1" xfId="0" applyBorder="1" applyAlignment="1">
      <alignment horizontal="left"/>
    </xf>
    <xf numFmtId="0" fontId="4" fillId="3" borderId="6" xfId="0" quotePrefix="1" applyFont="1" applyFill="1" applyBorder="1" applyAlignment="1">
      <alignment vertical="center"/>
    </xf>
    <xf numFmtId="0" fontId="4" fillId="3" borderId="7" xfId="0" quotePrefix="1" applyFont="1" applyFill="1" applyBorder="1" applyAlignment="1">
      <alignment vertical="center"/>
    </xf>
    <xf numFmtId="165" fontId="5" fillId="0" borderId="1" xfId="1" applyNumberFormat="1" applyFont="1" applyFill="1" applyBorder="1" applyAlignment="1">
      <alignment horizontal="center" vertical="center" wrapText="1"/>
    </xf>
    <xf numFmtId="0" fontId="6" fillId="0" borderId="0" xfId="0" applyFont="1"/>
    <xf numFmtId="0" fontId="0" fillId="0" borderId="8" xfId="0" applyBorder="1" applyAlignment="1">
      <alignment horizontal="center" vertical="center"/>
    </xf>
    <xf numFmtId="0" fontId="0" fillId="0" borderId="8" xfId="0" applyBorder="1" applyAlignment="1">
      <alignment horizontal="center" vertical="center" wrapText="1"/>
    </xf>
    <xf numFmtId="0" fontId="0" fillId="0" borderId="8" xfId="0" applyBorder="1" applyAlignment="1">
      <alignment horizontal="left" vertical="center"/>
    </xf>
    <xf numFmtId="165" fontId="0" fillId="0" borderId="8" xfId="0" applyNumberFormat="1" applyBorder="1" applyAlignment="1">
      <alignment horizontal="center" vertical="center"/>
    </xf>
    <xf numFmtId="164" fontId="0" fillId="0" borderId="8" xfId="0" applyNumberFormat="1" applyBorder="1" applyAlignment="1">
      <alignment horizontal="center" vertical="center"/>
    </xf>
    <xf numFmtId="0" fontId="0" fillId="0" borderId="9" xfId="0"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left" vertical="center"/>
    </xf>
    <xf numFmtId="165" fontId="0" fillId="0" borderId="9" xfId="0" applyNumberFormat="1" applyBorder="1" applyAlignment="1">
      <alignment horizontal="center" vertical="center"/>
    </xf>
    <xf numFmtId="164" fontId="0" fillId="0" borderId="9" xfId="0" applyNumberFormat="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horizontal="center" vertical="center" wrapText="1"/>
    </xf>
    <xf numFmtId="0" fontId="7" fillId="0" borderId="0" xfId="0" applyFont="1"/>
    <xf numFmtId="0" fontId="0" fillId="0" borderId="10" xfId="0" applyBorder="1" applyAlignment="1">
      <alignment horizontal="left" vertical="center" wrapText="1"/>
    </xf>
    <xf numFmtId="165" fontId="0" fillId="0" borderId="10" xfId="0" applyNumberFormat="1" applyBorder="1" applyAlignment="1">
      <alignment horizontal="center" vertical="center"/>
    </xf>
    <xf numFmtId="164" fontId="0" fillId="0" borderId="10" xfId="0" applyNumberFormat="1" applyBorder="1" applyAlignment="1">
      <alignment horizontal="center" vertical="center"/>
    </xf>
  </cellXfs>
  <cellStyles count="2">
    <cellStyle name="Hyperlink" xfId="1" builtinId="8"/>
    <cellStyle name="Normal" xfId="0" builtinId="0"/>
  </cellStyles>
  <dxfs count="31">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SUMMARY.xlsm]KPI!Tableau croisé dynamique1</c:name>
    <c:fmtId val="2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fr-FR" b="1">
                <a:solidFill>
                  <a:schemeClr val="tx1"/>
                </a:solidFill>
              </a:rPr>
              <a:t>Origin</a:t>
            </a:r>
          </a:p>
        </c:rich>
      </c:tx>
      <c:layout>
        <c:manualLayout>
          <c:xMode val="edge"/>
          <c:yMode val="edge"/>
          <c:x val="0.46063218390804606"/>
          <c:y val="6.6540293574414308E-2"/>
        </c:manualLayout>
      </c:layout>
      <c:overlay val="0"/>
      <c:spPr>
        <a:noFill/>
        <a:ln>
          <a:noFill/>
        </a:ln>
        <a:effectLst/>
      </c:sp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2"/>
          </a:solidFill>
          <a:ln w="25400">
            <a:solidFill>
              <a:schemeClr val="lt1"/>
            </a:solidFill>
          </a:ln>
          <a:effectLst/>
          <a:sp3d contourW="25400">
            <a:contourClr>
              <a:schemeClr val="lt1"/>
            </a:contourClr>
          </a:sp3d>
        </c:spPr>
      </c:pivotFmt>
      <c:pivotFmt>
        <c:idx val="21"/>
        <c:spPr>
          <a:solidFill>
            <a:schemeClr val="accent3"/>
          </a:solidFill>
          <a:ln w="25400">
            <a:solidFill>
              <a:schemeClr val="lt1"/>
            </a:solidFill>
          </a:ln>
          <a:effectLst/>
          <a:sp3d contourW="25400">
            <a:contourClr>
              <a:schemeClr val="lt1"/>
            </a:contourClr>
          </a:sp3d>
        </c:spPr>
      </c:pivotFmt>
      <c:pivotFmt>
        <c:idx val="22"/>
        <c:spPr>
          <a:solidFill>
            <a:schemeClr val="accent4"/>
          </a:solidFill>
          <a:ln w="25400">
            <a:solidFill>
              <a:schemeClr val="lt1"/>
            </a:solidFill>
          </a:ln>
          <a:effectLst/>
          <a:sp3d contourW="25400">
            <a:contourClr>
              <a:schemeClr val="lt1"/>
            </a:contourClr>
          </a:sp3d>
        </c:spPr>
      </c:pivotFmt>
      <c:pivotFmt>
        <c:idx val="23"/>
        <c:spPr>
          <a:solidFill>
            <a:schemeClr val="accent5"/>
          </a:solidFill>
          <a:ln w="25400">
            <a:solidFill>
              <a:schemeClr val="lt1"/>
            </a:solidFill>
          </a:ln>
          <a:effectLst/>
          <a:sp3d contourW="25400">
            <a:contourClr>
              <a:schemeClr val="lt1"/>
            </a:contourClr>
          </a:sp3d>
        </c:spPr>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2"/>
          </a:solidFill>
          <a:ln w="25400">
            <a:solidFill>
              <a:schemeClr val="lt1"/>
            </a:solidFill>
          </a:ln>
          <a:effectLst/>
          <a:sp3d contourW="25400">
            <a:contourClr>
              <a:schemeClr val="lt1"/>
            </a:contourClr>
          </a:sp3d>
        </c:spPr>
      </c:pivotFmt>
      <c:pivotFmt>
        <c:idx val="27"/>
        <c:spPr>
          <a:solidFill>
            <a:schemeClr val="accent3"/>
          </a:solidFill>
          <a:ln w="25400">
            <a:solidFill>
              <a:schemeClr val="lt1"/>
            </a:solidFill>
          </a:ln>
          <a:effectLst/>
          <a:sp3d contourW="25400">
            <a:contourClr>
              <a:schemeClr val="lt1"/>
            </a:contourClr>
          </a:sp3d>
        </c:spPr>
      </c:pivotFmt>
      <c:pivotFmt>
        <c:idx val="28"/>
        <c:spPr>
          <a:solidFill>
            <a:schemeClr val="accent4"/>
          </a:solidFill>
          <a:ln w="25400">
            <a:solidFill>
              <a:schemeClr val="lt1"/>
            </a:solidFill>
          </a:ln>
          <a:effectLst/>
          <a:sp3d contourW="25400">
            <a:contourClr>
              <a:schemeClr val="lt1"/>
            </a:contourClr>
          </a:sp3d>
        </c:spPr>
      </c:pivotFmt>
      <c:pivotFmt>
        <c:idx val="29"/>
        <c:spPr>
          <a:solidFill>
            <a:schemeClr val="accent5"/>
          </a:solidFill>
          <a:ln w="25400">
            <a:solidFill>
              <a:schemeClr val="lt1"/>
            </a:solidFill>
          </a:ln>
          <a:effectLst/>
          <a:sp3d contourW="25400">
            <a:contourClr>
              <a:schemeClr val="lt1"/>
            </a:contourClr>
          </a:sp3d>
        </c:spPr>
      </c:pivotFmt>
      <c:pivotFmt>
        <c:idx val="3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2"/>
          </a:solidFill>
          <a:ln w="25400">
            <a:solidFill>
              <a:schemeClr val="lt1"/>
            </a:solidFill>
          </a:ln>
          <a:effectLst/>
          <a:sp3d contourW="25400">
            <a:contourClr>
              <a:schemeClr val="lt1"/>
            </a:contourClr>
          </a:sp3d>
        </c:spPr>
      </c:pivotFmt>
      <c:pivotFmt>
        <c:idx val="33"/>
        <c:spPr>
          <a:solidFill>
            <a:schemeClr val="accent3"/>
          </a:solidFill>
          <a:ln w="25400">
            <a:solidFill>
              <a:schemeClr val="lt1"/>
            </a:solidFill>
          </a:ln>
          <a:effectLst/>
          <a:sp3d contourW="25400">
            <a:contourClr>
              <a:schemeClr val="lt1"/>
            </a:contourClr>
          </a:sp3d>
        </c:spPr>
      </c:pivotFmt>
      <c:pivotFmt>
        <c:idx val="34"/>
        <c:spPr>
          <a:solidFill>
            <a:schemeClr val="accent4"/>
          </a:solidFill>
          <a:ln w="25400">
            <a:solidFill>
              <a:schemeClr val="lt1"/>
            </a:solidFill>
          </a:ln>
          <a:effectLst/>
          <a:sp3d contourW="25400">
            <a:contourClr>
              <a:schemeClr val="lt1"/>
            </a:contourClr>
          </a:sp3d>
        </c:spPr>
      </c:pivotFmt>
      <c:pivotFmt>
        <c:idx val="35"/>
        <c:spPr>
          <a:solidFill>
            <a:schemeClr val="accent5"/>
          </a:solidFill>
          <a:ln w="25400">
            <a:solidFill>
              <a:schemeClr val="lt1"/>
            </a:solidFill>
          </a:ln>
          <a:effectLst/>
          <a:sp3d contourW="25400">
            <a:contourClr>
              <a:schemeClr val="lt1"/>
            </a:contourClr>
          </a:sp3d>
        </c:spPr>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2"/>
          </a:solidFill>
          <a:ln w="25400">
            <a:solidFill>
              <a:schemeClr val="lt1"/>
            </a:solidFill>
          </a:ln>
          <a:effectLst/>
          <a:sp3d contourW="25400">
            <a:contourClr>
              <a:schemeClr val="lt1"/>
            </a:contourClr>
          </a:sp3d>
        </c:spPr>
      </c:pivotFmt>
      <c:pivotFmt>
        <c:idx val="39"/>
        <c:spPr>
          <a:solidFill>
            <a:schemeClr val="accent3"/>
          </a:solidFill>
          <a:ln w="25400">
            <a:solidFill>
              <a:schemeClr val="lt1"/>
            </a:solidFill>
          </a:ln>
          <a:effectLst/>
          <a:sp3d contourW="25400">
            <a:contourClr>
              <a:schemeClr val="lt1"/>
            </a:contourClr>
          </a:sp3d>
        </c:spPr>
      </c:pivotFmt>
      <c:pivotFmt>
        <c:idx val="40"/>
        <c:spPr>
          <a:solidFill>
            <a:schemeClr val="accent4"/>
          </a:solidFill>
          <a:ln w="25400">
            <a:solidFill>
              <a:schemeClr val="lt1"/>
            </a:solidFill>
          </a:ln>
          <a:effectLst/>
          <a:sp3d contourW="25400">
            <a:contourClr>
              <a:schemeClr val="lt1"/>
            </a:contourClr>
          </a:sp3d>
        </c:spPr>
      </c:pivotFmt>
      <c:pivotFmt>
        <c:idx val="41"/>
        <c:spPr>
          <a:solidFill>
            <a:schemeClr val="accent5"/>
          </a:solidFill>
          <a:ln w="25400">
            <a:solidFill>
              <a:schemeClr val="lt1"/>
            </a:solidFill>
          </a:ln>
          <a:effectLst/>
          <a:sp3d contourW="25400">
            <a:contourClr>
              <a:schemeClr val="lt1"/>
            </a:contourClr>
          </a:sp3d>
        </c:spPr>
      </c:pivotFmt>
      <c:pivotFmt>
        <c:idx val="4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2"/>
          </a:solidFill>
          <a:ln w="25400">
            <a:solidFill>
              <a:schemeClr val="lt1"/>
            </a:solidFill>
          </a:ln>
          <a:effectLst/>
          <a:sp3d contourW="25400">
            <a:contourClr>
              <a:schemeClr val="lt1"/>
            </a:contourClr>
          </a:sp3d>
        </c:spPr>
      </c:pivotFmt>
      <c:pivotFmt>
        <c:idx val="45"/>
        <c:spPr>
          <a:solidFill>
            <a:schemeClr val="accent3"/>
          </a:solidFill>
          <a:ln w="25400">
            <a:solidFill>
              <a:schemeClr val="lt1"/>
            </a:solidFill>
          </a:ln>
          <a:effectLst/>
          <a:sp3d contourW="25400">
            <a:contourClr>
              <a:schemeClr val="lt1"/>
            </a:contourClr>
          </a:sp3d>
        </c:spPr>
      </c:pivotFmt>
      <c:pivotFmt>
        <c:idx val="46"/>
        <c:spPr>
          <a:solidFill>
            <a:schemeClr val="accent4"/>
          </a:solidFill>
          <a:ln w="25400">
            <a:solidFill>
              <a:schemeClr val="lt1"/>
            </a:solidFill>
          </a:ln>
          <a:effectLst/>
          <a:sp3d contourW="25400">
            <a:contourClr>
              <a:schemeClr val="lt1"/>
            </a:contourClr>
          </a:sp3d>
        </c:spPr>
      </c:pivotFmt>
      <c:pivotFmt>
        <c:idx val="47"/>
        <c:spPr>
          <a:solidFill>
            <a:schemeClr val="accent5"/>
          </a:solidFill>
          <a:ln w="25400">
            <a:solidFill>
              <a:schemeClr val="lt1"/>
            </a:solidFill>
          </a:ln>
          <a:effectLst/>
          <a:sp3d contourW="25400">
            <a:contourClr>
              <a:schemeClr val="lt1"/>
            </a:contourClr>
          </a:sp3d>
        </c:spPr>
      </c:pivotFmt>
      <c:pivotFmt>
        <c:idx val="4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2"/>
          </a:solidFill>
          <a:ln w="25400">
            <a:solidFill>
              <a:schemeClr val="lt1"/>
            </a:solidFill>
          </a:ln>
          <a:effectLst/>
          <a:sp3d contourW="25400">
            <a:contourClr>
              <a:schemeClr val="lt1"/>
            </a:contourClr>
          </a:sp3d>
        </c:spPr>
      </c:pivotFmt>
      <c:pivotFmt>
        <c:idx val="51"/>
        <c:spPr>
          <a:solidFill>
            <a:schemeClr val="accent3"/>
          </a:solidFill>
          <a:ln w="25400">
            <a:solidFill>
              <a:schemeClr val="lt1"/>
            </a:solidFill>
          </a:ln>
          <a:effectLst/>
          <a:sp3d contourW="25400">
            <a:contourClr>
              <a:schemeClr val="lt1"/>
            </a:contourClr>
          </a:sp3d>
        </c:spPr>
      </c:pivotFmt>
      <c:pivotFmt>
        <c:idx val="52"/>
        <c:spPr>
          <a:solidFill>
            <a:schemeClr val="accent4"/>
          </a:solidFill>
          <a:ln w="25400">
            <a:solidFill>
              <a:schemeClr val="lt1"/>
            </a:solidFill>
          </a:ln>
          <a:effectLst/>
          <a:sp3d contourW="25400">
            <a:contourClr>
              <a:schemeClr val="lt1"/>
            </a:contourClr>
          </a:sp3d>
        </c:spPr>
      </c:pivotFmt>
      <c:pivotFmt>
        <c:idx val="53"/>
        <c:spPr>
          <a:solidFill>
            <a:schemeClr val="accent5"/>
          </a:solidFill>
          <a:ln w="25400">
            <a:solidFill>
              <a:schemeClr val="lt1"/>
            </a:solidFill>
          </a:ln>
          <a:effectLst/>
          <a:sp3d contourW="25400">
            <a:contourClr>
              <a:schemeClr val="lt1"/>
            </a:contourClr>
          </a:sp3d>
        </c:spPr>
      </c:pivotFmt>
      <c:pivotFmt>
        <c:idx val="5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2"/>
          </a:solidFill>
          <a:ln w="25400">
            <a:solidFill>
              <a:schemeClr val="lt1"/>
            </a:solidFill>
          </a:ln>
          <a:effectLst/>
          <a:sp3d contourW="25400">
            <a:contourClr>
              <a:schemeClr val="lt1"/>
            </a:contourClr>
          </a:sp3d>
        </c:spPr>
      </c:pivotFmt>
      <c:pivotFmt>
        <c:idx val="57"/>
        <c:spPr>
          <a:solidFill>
            <a:schemeClr val="accent3"/>
          </a:solidFill>
          <a:ln w="25400">
            <a:solidFill>
              <a:schemeClr val="lt1"/>
            </a:solidFill>
          </a:ln>
          <a:effectLst/>
          <a:sp3d contourW="25400">
            <a:contourClr>
              <a:schemeClr val="lt1"/>
            </a:contourClr>
          </a:sp3d>
        </c:spPr>
      </c:pivotFmt>
      <c:pivotFmt>
        <c:idx val="58"/>
        <c:spPr>
          <a:solidFill>
            <a:schemeClr val="accent4"/>
          </a:solidFill>
          <a:ln w="25400">
            <a:solidFill>
              <a:schemeClr val="lt1"/>
            </a:solidFill>
          </a:ln>
          <a:effectLst/>
          <a:sp3d contourW="25400">
            <a:contourClr>
              <a:schemeClr val="lt1"/>
            </a:contourClr>
          </a:sp3d>
        </c:spPr>
      </c:pivotFmt>
      <c:pivotFmt>
        <c:idx val="59"/>
        <c:spPr>
          <a:solidFill>
            <a:schemeClr val="accent5"/>
          </a:solidFill>
          <a:ln w="25400">
            <a:solidFill>
              <a:schemeClr val="lt1"/>
            </a:solidFill>
          </a:ln>
          <a:effectLst/>
          <a:sp3d contourW="25400">
            <a:contourClr>
              <a:schemeClr val="lt1"/>
            </a:contourClr>
          </a:sp3d>
        </c:spPr>
      </c:pivotFmt>
      <c:pivotFmt>
        <c:idx val="6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2"/>
          </a:solidFill>
          <a:ln w="25400">
            <a:solidFill>
              <a:schemeClr val="lt1"/>
            </a:solidFill>
          </a:ln>
          <a:effectLst/>
          <a:sp3d contourW="25400">
            <a:contourClr>
              <a:schemeClr val="lt1"/>
            </a:contourClr>
          </a:sp3d>
        </c:spPr>
      </c:pivotFmt>
      <c:pivotFmt>
        <c:idx val="63"/>
        <c:spPr>
          <a:solidFill>
            <a:schemeClr val="accent3"/>
          </a:solidFill>
          <a:ln w="25400">
            <a:solidFill>
              <a:schemeClr val="lt1"/>
            </a:solidFill>
          </a:ln>
          <a:effectLst/>
          <a:sp3d contourW="25400">
            <a:contourClr>
              <a:schemeClr val="lt1"/>
            </a:contourClr>
          </a:sp3d>
        </c:spPr>
      </c:pivotFmt>
      <c:pivotFmt>
        <c:idx val="64"/>
        <c:spPr>
          <a:solidFill>
            <a:schemeClr val="accent4"/>
          </a:solidFill>
          <a:ln w="25400">
            <a:solidFill>
              <a:schemeClr val="lt1"/>
            </a:solidFill>
          </a:ln>
          <a:effectLst/>
          <a:sp3d contourW="25400">
            <a:contourClr>
              <a:schemeClr val="lt1"/>
            </a:contourClr>
          </a:sp3d>
        </c:spPr>
      </c:pivotFmt>
      <c:pivotFmt>
        <c:idx val="65"/>
        <c:spPr>
          <a:solidFill>
            <a:schemeClr val="accent5"/>
          </a:solidFill>
          <a:ln w="25400">
            <a:solidFill>
              <a:schemeClr val="lt1"/>
            </a:solidFill>
          </a:ln>
          <a:effectLst/>
          <a:sp3d contourW="25400">
            <a:contourClr>
              <a:schemeClr val="lt1"/>
            </a:contourClr>
          </a:sp3d>
        </c:spPr>
      </c:pivotFmt>
      <c:pivotFmt>
        <c:idx val="6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2"/>
          </a:solidFill>
          <a:ln w="25400">
            <a:solidFill>
              <a:schemeClr val="lt1"/>
            </a:solidFill>
          </a:ln>
          <a:effectLst/>
          <a:sp3d contourW="25400">
            <a:contourClr>
              <a:schemeClr val="lt1"/>
            </a:contourClr>
          </a:sp3d>
        </c:spPr>
      </c:pivotFmt>
      <c:pivotFmt>
        <c:idx val="69"/>
        <c:spPr>
          <a:solidFill>
            <a:schemeClr val="accent3"/>
          </a:solidFill>
          <a:ln w="25400">
            <a:solidFill>
              <a:schemeClr val="lt1"/>
            </a:solidFill>
          </a:ln>
          <a:effectLst/>
          <a:sp3d contourW="25400">
            <a:contourClr>
              <a:schemeClr val="lt1"/>
            </a:contourClr>
          </a:sp3d>
        </c:spPr>
      </c:pivotFmt>
      <c:pivotFmt>
        <c:idx val="70"/>
        <c:spPr>
          <a:solidFill>
            <a:schemeClr val="accent4"/>
          </a:solidFill>
          <a:ln w="25400">
            <a:solidFill>
              <a:schemeClr val="lt1"/>
            </a:solidFill>
          </a:ln>
          <a:effectLst/>
          <a:sp3d contourW="25400">
            <a:contourClr>
              <a:schemeClr val="lt1"/>
            </a:contourClr>
          </a:sp3d>
        </c:spPr>
      </c:pivotFmt>
      <c:pivotFmt>
        <c:idx val="71"/>
        <c:spPr>
          <a:solidFill>
            <a:schemeClr val="accent5"/>
          </a:solidFill>
          <a:ln w="25400">
            <a:solidFill>
              <a:schemeClr val="lt1"/>
            </a:solidFill>
          </a:ln>
          <a:effectLst/>
          <a:sp3d contourW="25400">
            <a:contourClr>
              <a:schemeClr val="lt1"/>
            </a:contourClr>
          </a:sp3d>
        </c:spPr>
      </c:pivotFmt>
      <c:pivotFmt>
        <c:idx val="7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2"/>
          </a:solidFill>
          <a:ln w="25400">
            <a:solidFill>
              <a:schemeClr val="lt1"/>
            </a:solidFill>
          </a:ln>
          <a:effectLst/>
          <a:sp3d contourW="25400">
            <a:contourClr>
              <a:schemeClr val="lt1"/>
            </a:contourClr>
          </a:sp3d>
        </c:spPr>
      </c:pivotFmt>
      <c:pivotFmt>
        <c:idx val="75"/>
        <c:spPr>
          <a:solidFill>
            <a:schemeClr val="accent3"/>
          </a:solidFill>
          <a:ln w="25400">
            <a:solidFill>
              <a:schemeClr val="lt1"/>
            </a:solidFill>
          </a:ln>
          <a:effectLst/>
          <a:sp3d contourW="25400">
            <a:contourClr>
              <a:schemeClr val="lt1"/>
            </a:contourClr>
          </a:sp3d>
        </c:spPr>
      </c:pivotFmt>
      <c:pivotFmt>
        <c:idx val="76"/>
        <c:spPr>
          <a:solidFill>
            <a:schemeClr val="accent4"/>
          </a:solidFill>
          <a:ln w="25400">
            <a:solidFill>
              <a:schemeClr val="lt1"/>
            </a:solidFill>
          </a:ln>
          <a:effectLst/>
          <a:sp3d contourW="25400">
            <a:contourClr>
              <a:schemeClr val="lt1"/>
            </a:contourClr>
          </a:sp3d>
        </c:spPr>
      </c:pivotFmt>
      <c:pivotFmt>
        <c:idx val="77"/>
        <c:spPr>
          <a:solidFill>
            <a:schemeClr val="accent5"/>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KPI!$B$26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0C1-468B-905E-6DDB67B4B9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0C1-468B-905E-6DDB67B4B9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0C1-468B-905E-6DDB67B4B9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0C1-468B-905E-6DDB67B4B9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0C1-468B-905E-6DDB67B4B95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KPI!$A$27:$A$35</c:f>
              <c:strCache>
                <c:ptCount val="8"/>
                <c:pt idx="0">
                  <c:v>8D</c:v>
                </c:pt>
                <c:pt idx="1">
                  <c:v>Depot Movement</c:v>
                </c:pt>
                <c:pt idx="2">
                  <c:v>Mainline running</c:v>
                </c:pt>
                <c:pt idx="3">
                  <c:v>Preventive Maintenance</c:v>
                </c:pt>
                <c:pt idx="4">
                  <c:v>Quality alert</c:v>
                </c:pt>
                <c:pt idx="5">
                  <c:v>Reliability Review</c:v>
                </c:pt>
                <c:pt idx="6">
                  <c:v>Testing</c:v>
                </c:pt>
                <c:pt idx="7">
                  <c:v>MANTIS</c:v>
                </c:pt>
              </c:strCache>
            </c:strRef>
          </c:cat>
          <c:val>
            <c:numRef>
              <c:f>KPI!$B$27:$B$35</c:f>
              <c:numCache>
                <c:formatCode>General</c:formatCode>
                <c:ptCount val="8"/>
                <c:pt idx="0">
                  <c:v>5</c:v>
                </c:pt>
                <c:pt idx="1">
                  <c:v>20</c:v>
                </c:pt>
                <c:pt idx="2">
                  <c:v>166</c:v>
                </c:pt>
                <c:pt idx="3">
                  <c:v>429</c:v>
                </c:pt>
                <c:pt idx="4">
                  <c:v>14</c:v>
                </c:pt>
                <c:pt idx="5">
                  <c:v>22</c:v>
                </c:pt>
                <c:pt idx="6">
                  <c:v>67</c:v>
                </c:pt>
                <c:pt idx="7">
                  <c:v>2</c:v>
                </c:pt>
              </c:numCache>
            </c:numRef>
          </c:val>
          <c:extLst>
            <c:ext xmlns:c16="http://schemas.microsoft.com/office/drawing/2014/chart" uri="{C3380CC4-5D6E-409C-BE32-E72D297353CC}">
              <c16:uniqueId val="{0000000A-C0C1-468B-905E-6DDB67B4B95C}"/>
            </c:ext>
          </c:extLst>
        </c:ser>
        <c:dLbls>
          <c:showLegendKey val="0"/>
          <c:showVal val="0"/>
          <c:showCatName val="0"/>
          <c:showSerName val="0"/>
          <c:showPercent val="0"/>
          <c:showBubbleSize val="0"/>
          <c:showLeaderLines val="1"/>
        </c:dLbls>
      </c:pie3D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SUMMARY.xlsm]KPI!PivotTable3</c:name>
    <c:fmtId val="25"/>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TIR Status</a:t>
            </a:r>
          </a:p>
        </c:rich>
      </c:tx>
      <c:layout>
        <c:manualLayout>
          <c:xMode val="edge"/>
          <c:yMode val="edge"/>
          <c:x val="0.37372267928392361"/>
          <c:y val="6.820729955925321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7"/>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KPI!$B$2</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8AE-490C-8AEF-80F07F7F64B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8AE-490C-8AEF-80F07F7F64B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8AE-490C-8AEF-80F07F7F64BA}"/>
              </c:ext>
            </c:extLst>
          </c:dPt>
          <c:dLbls>
            <c:dLbl>
              <c:idx val="0"/>
              <c:layout>
                <c:manualLayout>
                  <c:x val="-9.3484110349515731E-2"/>
                  <c:y val="-0.3888925533522969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8AE-490C-8AEF-80F07F7F64BA}"/>
                </c:ext>
              </c:extLst>
            </c:dLbl>
            <c:dLbl>
              <c:idx val="1"/>
              <c:layout>
                <c:manualLayout>
                  <c:x val="0.13129496402877697"/>
                  <c:y val="-0.1443661165390975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AE-490C-8AEF-80F07F7F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KPI!$A$3:$A$5</c:f>
              <c:strCache>
                <c:ptCount val="2"/>
                <c:pt idx="0">
                  <c:v>Closed</c:v>
                </c:pt>
                <c:pt idx="1">
                  <c:v>Open</c:v>
                </c:pt>
              </c:strCache>
            </c:strRef>
          </c:cat>
          <c:val>
            <c:numRef>
              <c:f>KPI!$B$3:$B$5</c:f>
              <c:numCache>
                <c:formatCode>General</c:formatCode>
                <c:ptCount val="2"/>
                <c:pt idx="0">
                  <c:v>488</c:v>
                </c:pt>
                <c:pt idx="1">
                  <c:v>253</c:v>
                </c:pt>
              </c:numCache>
            </c:numRef>
          </c:val>
          <c:extLst>
            <c:ext xmlns:c16="http://schemas.microsoft.com/office/drawing/2014/chart" uri="{C3380CC4-5D6E-409C-BE32-E72D297353CC}">
              <c16:uniqueId val="{00000006-68AE-490C-8AEF-80F07F7F64B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SUMMARY.xlsm]KPI!PivotTable1</c:name>
    <c:fmtId val="3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fr-FR" b="1">
                <a:solidFill>
                  <a:schemeClr val="tx1"/>
                </a:solidFill>
              </a:rPr>
              <a:t>Closure status</a:t>
            </a:r>
          </a:p>
        </c:rich>
      </c:tx>
      <c:layout>
        <c:manualLayout>
          <c:xMode val="edge"/>
          <c:yMode val="edge"/>
          <c:x val="0.46063218390804606"/>
          <c:y val="6.654029357441430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4C-425C-8FCA-11C6A38508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4C-425C-8FCA-11C6A38508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4C-425C-8FCA-11C6A385081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4C-425C-8FCA-11C6A385081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4C-425C-8FCA-11C6A385081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KPI!$A$8:$A$11</c:f>
              <c:strCache>
                <c:ptCount val="3"/>
                <c:pt idx="0">
                  <c:v>NFF</c:v>
                </c:pt>
                <c:pt idx="1">
                  <c:v>Corrected</c:v>
                </c:pt>
                <c:pt idx="2">
                  <c:v>Corrective Action Required</c:v>
                </c:pt>
              </c:strCache>
            </c:strRef>
          </c:cat>
          <c:val>
            <c:numRef>
              <c:f>KPI!$B$8:$B$11</c:f>
              <c:numCache>
                <c:formatCode>General</c:formatCode>
                <c:ptCount val="3"/>
                <c:pt idx="0">
                  <c:v>180</c:v>
                </c:pt>
                <c:pt idx="1">
                  <c:v>308</c:v>
                </c:pt>
                <c:pt idx="2">
                  <c:v>103</c:v>
                </c:pt>
              </c:numCache>
            </c:numRef>
          </c:val>
          <c:extLst>
            <c:ext xmlns:c16="http://schemas.microsoft.com/office/drawing/2014/chart" uri="{C3380CC4-5D6E-409C-BE32-E72D297353CC}">
              <c16:uniqueId val="{0000000A-664C-425C-8FCA-11C6A385081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SUMMARY.xlsm]KPI!PivotTable2</c:name>
    <c:fmtId val="2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PIC on open TIR</a:t>
            </a:r>
          </a:p>
        </c:rich>
      </c:tx>
      <c:layout>
        <c:manualLayout>
          <c:xMode val="edge"/>
          <c:yMode val="edge"/>
          <c:x val="0.35157999247235594"/>
          <c:y val="5.85534654548020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KPI!$B$17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02A-4DB9-A4C9-F391FD72C82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02A-4DB9-A4C9-F391FD72C82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02A-4DB9-A4C9-F391FD72C82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02A-4DB9-A4C9-F391FD72C82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02A-4DB9-A4C9-F391FD72C829}"/>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02A-4DB9-A4C9-F391FD72C82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KPI!$A$18:$A$24</c:f>
              <c:strCache>
                <c:ptCount val="6"/>
                <c:pt idx="0">
                  <c:v>Ahmad</c:v>
                </c:pt>
                <c:pt idx="1">
                  <c:v>Charaf</c:v>
                </c:pt>
                <c:pt idx="2">
                  <c:v>Elie</c:v>
                </c:pt>
                <c:pt idx="3">
                  <c:v>Guan</c:v>
                </c:pt>
                <c:pt idx="4">
                  <c:v>Jahan</c:v>
                </c:pt>
                <c:pt idx="5">
                  <c:v>Mohamed</c:v>
                </c:pt>
              </c:strCache>
            </c:strRef>
          </c:cat>
          <c:val>
            <c:numRef>
              <c:f>KPI!$B$18:$B$24</c:f>
              <c:numCache>
                <c:formatCode>General</c:formatCode>
                <c:ptCount val="6"/>
                <c:pt idx="0">
                  <c:v>52</c:v>
                </c:pt>
                <c:pt idx="1">
                  <c:v>2</c:v>
                </c:pt>
                <c:pt idx="2">
                  <c:v>1</c:v>
                </c:pt>
                <c:pt idx="3">
                  <c:v>92</c:v>
                </c:pt>
                <c:pt idx="4">
                  <c:v>69</c:v>
                </c:pt>
                <c:pt idx="5">
                  <c:v>23</c:v>
                </c:pt>
              </c:numCache>
            </c:numRef>
          </c:val>
          <c:extLst>
            <c:ext xmlns:c16="http://schemas.microsoft.com/office/drawing/2014/chart" uri="{C3380CC4-5D6E-409C-BE32-E72D297353CC}">
              <c16:uniqueId val="{0000000C-C02A-4DB9-A4C9-F391FD72C829}"/>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status</a:t>
            </a:r>
          </a:p>
        </c:rich>
      </c:tx>
      <c:layout>
        <c:manualLayout>
          <c:xMode val="edge"/>
          <c:yMode val="edge"/>
          <c:x val="4.9639180696042479E-2"/>
          <c:y val="2.8278540506671286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KPIx!$B$19</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3A0E-4B61-948D-5BFF8F9CFBCE}"/>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A0E-4B61-948D-5BFF8F9CFBCE}"/>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3A0E-4B61-948D-5BFF8F9CFBCE}"/>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A0E-4B61-948D-5BFF8F9CFBCE}"/>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3A0E-4B61-948D-5BFF8F9CFBCE}"/>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A0E-4B61-948D-5BFF8F9CFBCE}"/>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3A0E-4B61-948D-5BFF8F9CFBCE}"/>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A0E-4B61-948D-5BFF8F9CFBCE}"/>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3A0E-4B61-948D-5BFF8F9CFBCE}"/>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3A0E-4B61-948D-5BFF8F9CFBCE}"/>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A0E-4B61-948D-5BFF8F9CFBCE}"/>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A0E-4B61-948D-5BFF8F9CFBCE}"/>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A0E-4B61-948D-5BFF8F9CFBCE}"/>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3A0E-4B61-948D-5BFF8F9CFBCE}"/>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A0E-4B61-948D-5BFF8F9CFBCE}"/>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3A0E-4B61-948D-5BFF8F9CFBCE}"/>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A0E-4B61-948D-5BFF8F9CFBCE}"/>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3A0E-4B61-948D-5BFF8F9CFBCE}"/>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KPIx!$A$20:$A$25</c:f>
              <c:strCache>
                <c:ptCount val="6"/>
                <c:pt idx="0">
                  <c:v>Not Started</c:v>
                </c:pt>
                <c:pt idx="1">
                  <c:v>Under Investigation</c:v>
                </c:pt>
                <c:pt idx="2">
                  <c:v>NFF</c:v>
                </c:pt>
                <c:pt idx="3">
                  <c:v>CM Open</c:v>
                </c:pt>
                <c:pt idx="4">
                  <c:v>No Material</c:v>
                </c:pt>
                <c:pt idx="5">
                  <c:v>Corrected</c:v>
                </c:pt>
              </c:strCache>
            </c:strRef>
          </c:cat>
          <c:val>
            <c:numRef>
              <c:f>KPIx!$B$20:$B$25</c:f>
              <c:numCache>
                <c:formatCode>General</c:formatCode>
                <c:ptCount val="6"/>
                <c:pt idx="0">
                  <c:v>194</c:v>
                </c:pt>
                <c:pt idx="1">
                  <c:v>6</c:v>
                </c:pt>
                <c:pt idx="2">
                  <c:v>325</c:v>
                </c:pt>
                <c:pt idx="3">
                  <c:v>51</c:v>
                </c:pt>
                <c:pt idx="4">
                  <c:v>84</c:v>
                </c:pt>
                <c:pt idx="5">
                  <c:v>472</c:v>
                </c:pt>
              </c:numCache>
            </c:numRef>
          </c:val>
          <c:extLst>
            <c:ext xmlns:c16="http://schemas.microsoft.com/office/drawing/2014/chart" uri="{C3380CC4-5D6E-409C-BE32-E72D297353CC}">
              <c16:uniqueId val="{00000000-3A0E-4B61-948D-5BFF8F9CFBCE}"/>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238380320803843"/>
          <c:h val="0.47900994687203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Origin</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KPIx!$B$8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879-4587-A77C-EAA54CD072F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879-4587-A77C-EAA54CD072F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879-4587-A77C-EAA54CD072F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879-4587-A77C-EAA54CD072FB}"/>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879-4587-A77C-EAA54CD072FB}"/>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879-4587-A77C-EAA54CD072FB}"/>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879-4587-A77C-EAA54CD072F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879-4587-A77C-EAA54CD072F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879-4587-A77C-EAA54CD072FB}"/>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879-4587-A77C-EAA54CD072FB}"/>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879-4587-A77C-EAA54CD072FB}"/>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879-4587-A77C-EAA54CD072FB}"/>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879-4587-A77C-EAA54CD072FB}"/>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879-4587-A77C-EAA54CD072FB}"/>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879-4587-A77C-EAA54CD072FB}"/>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879-4587-A77C-EAA54CD072FB}"/>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879-4587-A77C-EAA54CD072FB}"/>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879-4587-A77C-EAA54CD072FB}"/>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KPIx!$A$9:$A$16</c:f>
              <c:strCache>
                <c:ptCount val="8"/>
                <c:pt idx="0">
                  <c:v>8D</c:v>
                </c:pt>
                <c:pt idx="1">
                  <c:v>Depot Movement</c:v>
                </c:pt>
                <c:pt idx="2">
                  <c:v>Mainline running</c:v>
                </c:pt>
                <c:pt idx="3">
                  <c:v>Preventive Maintenance</c:v>
                </c:pt>
                <c:pt idx="4">
                  <c:v>Quality alert</c:v>
                </c:pt>
                <c:pt idx="5">
                  <c:v>Reliability Review</c:v>
                </c:pt>
                <c:pt idx="6">
                  <c:v>Testing</c:v>
                </c:pt>
                <c:pt idx="7">
                  <c:v>MANTIS</c:v>
                </c:pt>
              </c:strCache>
            </c:strRef>
          </c:cat>
          <c:val>
            <c:numRef>
              <c:f>KPIx!$B$9:$B$16</c:f>
              <c:numCache>
                <c:formatCode>General</c:formatCode>
                <c:ptCount val="8"/>
                <c:pt idx="0">
                  <c:v>5</c:v>
                </c:pt>
                <c:pt idx="1">
                  <c:v>31</c:v>
                </c:pt>
                <c:pt idx="2">
                  <c:v>238</c:v>
                </c:pt>
                <c:pt idx="3">
                  <c:v>675</c:v>
                </c:pt>
                <c:pt idx="4">
                  <c:v>15</c:v>
                </c:pt>
                <c:pt idx="5">
                  <c:v>36</c:v>
                </c:pt>
                <c:pt idx="6">
                  <c:v>116</c:v>
                </c:pt>
                <c:pt idx="7">
                  <c:v>2</c:v>
                </c:pt>
              </c:numCache>
            </c:numRef>
          </c:val>
          <c:extLst>
            <c:ext xmlns:c16="http://schemas.microsoft.com/office/drawing/2014/chart" uri="{C3380CC4-5D6E-409C-BE32-E72D297353CC}">
              <c16:uniqueId val="{00000012-1879-4587-A77C-EAA54CD072F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TIR PIC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KPIx!$B$34</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KPIx!$A$35:$A$53</c:f>
              <c:strCache>
                <c:ptCount val="19"/>
                <c:pt idx="0">
                  <c:v>MUSSA Taha</c:v>
                </c:pt>
                <c:pt idx="1">
                  <c:v>SUKIMAN Zamhuri</c:v>
                </c:pt>
                <c:pt idx="2">
                  <c:v>MUHAMMAD ALIF BIN ALI</c:v>
                </c:pt>
                <c:pt idx="3">
                  <c:v>KHAN Jahan</c:v>
                </c:pt>
                <c:pt idx="4">
                  <c:v>FIRDUS Ahmad</c:v>
                </c:pt>
                <c:pt idx="5">
                  <c:v>ALOWAINI Shawqi</c:v>
                </c:pt>
                <c:pt idx="6">
                  <c:v>KHAMIS Jaafar </c:v>
                </c:pt>
                <c:pt idx="7">
                  <c:v>GUAN Jialin</c:v>
                </c:pt>
                <c:pt idx="8">
                  <c:v>Imran Rasheed</c:v>
                </c:pt>
                <c:pt idx="9">
                  <c:v>BRAO-DIGOR Robert</c:v>
                </c:pt>
                <c:pt idx="10">
                  <c:v>FATHI Charafeddine</c:v>
                </c:pt>
                <c:pt idx="11">
                  <c:v>BENAYED Elie</c:v>
                </c:pt>
                <c:pt idx="12">
                  <c:v>DAOUDI Mohamed</c:v>
                </c:pt>
                <c:pt idx="13">
                  <c:v>ABBAS Osama</c:v>
                </c:pt>
                <c:pt idx="14">
                  <c:v>ALI Dawud</c:v>
                </c:pt>
                <c:pt idx="15">
                  <c:v>ARUMAI NAYAGAM Anish</c:v>
                </c:pt>
                <c:pt idx="16">
                  <c:v>CHIKTE Altaf</c:v>
                </c:pt>
                <c:pt idx="17">
                  <c:v>KARTHICK Ramachandran</c:v>
                </c:pt>
                <c:pt idx="18">
                  <c:v>Zouhair AZZABI</c:v>
                </c:pt>
              </c:strCache>
            </c:strRef>
          </c:cat>
          <c:val>
            <c:numRef>
              <c:f>KPIx!$B$35:$B$53</c:f>
              <c:numCache>
                <c:formatCode>General</c:formatCode>
                <c:ptCount val="19"/>
                <c:pt idx="0">
                  <c:v>0</c:v>
                </c:pt>
                <c:pt idx="1">
                  <c:v>127</c:v>
                </c:pt>
                <c:pt idx="2">
                  <c:v>13</c:v>
                </c:pt>
                <c:pt idx="3">
                  <c:v>237</c:v>
                </c:pt>
                <c:pt idx="4">
                  <c:v>135</c:v>
                </c:pt>
                <c:pt idx="5">
                  <c:v>38</c:v>
                </c:pt>
                <c:pt idx="6">
                  <c:v>2</c:v>
                </c:pt>
                <c:pt idx="7">
                  <c:v>276</c:v>
                </c:pt>
                <c:pt idx="8">
                  <c:v>24</c:v>
                </c:pt>
                <c:pt idx="9">
                  <c:v>6</c:v>
                </c:pt>
                <c:pt idx="10">
                  <c:v>28</c:v>
                </c:pt>
                <c:pt idx="11">
                  <c:v>61</c:v>
                </c:pt>
                <c:pt idx="12">
                  <c:v>125</c:v>
                </c:pt>
                <c:pt idx="13">
                  <c:v>0</c:v>
                </c:pt>
                <c:pt idx="14">
                  <c:v>0</c:v>
                </c:pt>
                <c:pt idx="15">
                  <c:v>2</c:v>
                </c:pt>
                <c:pt idx="16">
                  <c:v>0</c:v>
                </c:pt>
                <c:pt idx="17">
                  <c:v>0</c:v>
                </c:pt>
                <c:pt idx="18">
                  <c:v>0</c:v>
                </c:pt>
              </c:numCache>
            </c:numRef>
          </c:val>
          <c:extLst>
            <c:ext xmlns:c16="http://schemas.microsoft.com/office/drawing/2014/chart" uri="{C3380CC4-5D6E-409C-BE32-E72D297353CC}">
              <c16:uniqueId val="{00000000-6017-4EA7-9814-05FE4BC99B0D}"/>
            </c:ext>
          </c:extLst>
        </c:ser>
        <c:dLbls>
          <c:dLblPos val="outEnd"/>
          <c:showLegendKey val="0"/>
          <c:showVal val="1"/>
          <c:showCatName val="0"/>
          <c:showSerName val="0"/>
          <c:showPercent val="0"/>
          <c:showBubbleSize val="0"/>
        </c:dLbls>
        <c:gapWidth val="115"/>
        <c:overlap val="-20"/>
        <c:axId val="919651552"/>
        <c:axId val="919643024"/>
      </c:barChart>
      <c:catAx>
        <c:axId val="919651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9643024"/>
        <c:crosses val="autoZero"/>
        <c:auto val="1"/>
        <c:lblAlgn val="ctr"/>
        <c:lblOffset val="100"/>
        <c:noMultiLvlLbl val="0"/>
      </c:catAx>
      <c:valAx>
        <c:axId val="919643024"/>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91965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SAf</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KPIx!$B$28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55D-42CD-A1E1-E3D2FCC2DA3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55D-42CD-A1E1-E3D2FCC2DA3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55D-42CD-A1E1-E3D2FCC2DA3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55D-42CD-A1E1-E3D2FCC2DA3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55D-42CD-A1E1-E3D2FCC2DA3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355D-42CD-A1E1-E3D2FCC2DA3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355D-42CD-A1E1-E3D2FCC2DA3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355D-42CD-A1E1-E3D2FCC2DA3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355D-42CD-A1E1-E3D2FCC2DA3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55D-42CD-A1E1-E3D2FCC2DA3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55D-42CD-A1E1-E3D2FCC2DA3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55D-42CD-A1E1-E3D2FCC2DA3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55D-42CD-A1E1-E3D2FCC2DA3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55D-42CD-A1E1-E3D2FCC2DA3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355D-42CD-A1E1-E3D2FCC2DA3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355D-42CD-A1E1-E3D2FCC2DA3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355D-42CD-A1E1-E3D2FCC2DA3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355D-42CD-A1E1-E3D2FCC2DA3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KPIx!$A$29:$A$31</c:f>
              <c:strCache>
                <c:ptCount val="3"/>
                <c:pt idx="0">
                  <c:v>Yes</c:v>
                </c:pt>
                <c:pt idx="1">
                  <c:v>No</c:v>
                </c:pt>
                <c:pt idx="2">
                  <c:v>NA</c:v>
                </c:pt>
              </c:strCache>
            </c:strRef>
          </c:cat>
          <c:val>
            <c:numRef>
              <c:f>KPIx!$B$29:$B$31</c:f>
              <c:numCache>
                <c:formatCode>General</c:formatCode>
                <c:ptCount val="3"/>
                <c:pt idx="0">
                  <c:v>38</c:v>
                </c:pt>
                <c:pt idx="1">
                  <c:v>1074</c:v>
                </c:pt>
                <c:pt idx="2">
                  <c:v>0</c:v>
                </c:pt>
              </c:numCache>
            </c:numRef>
          </c:val>
          <c:extLst>
            <c:ext xmlns:c16="http://schemas.microsoft.com/office/drawing/2014/chart" uri="{C3380CC4-5D6E-409C-BE32-E72D297353CC}">
              <c16:uniqueId val="{00000012-355D-42CD-A1E1-E3D2FCC2DA3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Impact</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71177490580262637"/>
          <c:h val="0.65141208812040652"/>
        </c:manualLayout>
      </c:layout>
      <c:pieChart>
        <c:varyColors val="1"/>
        <c:ser>
          <c:idx val="0"/>
          <c:order val="0"/>
          <c:tx>
            <c:strRef>
              <c:f>KPIx!$B$2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034-45C0-AA51-2D9C10C6981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034-45C0-AA51-2D9C10C6981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034-45C0-AA51-2D9C10C6981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034-45C0-AA51-2D9C10C6981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034-45C0-AA51-2D9C10C6981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034-45C0-AA51-2D9C10C6981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034-45C0-AA51-2D9C10C6981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034-45C0-AA51-2D9C10C6981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034-45C0-AA51-2D9C10C6981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034-45C0-AA51-2D9C10C6981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034-45C0-AA51-2D9C10C6981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034-45C0-AA51-2D9C10C6981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034-45C0-AA51-2D9C10C6981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034-45C0-AA51-2D9C10C6981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034-45C0-AA51-2D9C10C6981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034-45C0-AA51-2D9C10C6981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034-45C0-AA51-2D9C10C6981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034-45C0-AA51-2D9C10C6981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KPIx!$A$3:$A$5</c:f>
              <c:strCache>
                <c:ptCount val="3"/>
                <c:pt idx="0">
                  <c:v>High</c:v>
                </c:pt>
                <c:pt idx="1">
                  <c:v>Medium</c:v>
                </c:pt>
                <c:pt idx="2">
                  <c:v>Low</c:v>
                </c:pt>
              </c:strCache>
            </c:strRef>
          </c:cat>
          <c:val>
            <c:numRef>
              <c:f>KPIx!$B$3:$B$5</c:f>
              <c:numCache>
                <c:formatCode>General</c:formatCode>
                <c:ptCount val="3"/>
                <c:pt idx="0">
                  <c:v>102</c:v>
                </c:pt>
                <c:pt idx="1">
                  <c:v>38</c:v>
                </c:pt>
                <c:pt idx="2">
                  <c:v>781</c:v>
                </c:pt>
              </c:numCache>
            </c:numRef>
          </c:val>
          <c:extLst>
            <c:ext xmlns:c16="http://schemas.microsoft.com/office/drawing/2014/chart" uri="{C3380CC4-5D6E-409C-BE32-E72D297353CC}">
              <c16:uniqueId val="{00000012-1034-45C0-AA51-2D9C10C6981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487678</xdr:colOff>
      <xdr:row>25</xdr:row>
      <xdr:rowOff>0</xdr:rowOff>
    </xdr:from>
    <xdr:to>
      <xdr:col>12</xdr:col>
      <xdr:colOff>516255</xdr:colOff>
      <xdr:row>39</xdr:row>
      <xdr:rowOff>99695</xdr:rowOff>
    </xdr:to>
    <xdr:graphicFrame macro="">
      <xdr:nvGraphicFramePr>
        <xdr:cNvPr id="2" name="Graphique 26">
          <a:extLst>
            <a:ext uri="{FF2B5EF4-FFF2-40B4-BE49-F238E27FC236}">
              <a16:creationId xmlns:a16="http://schemas.microsoft.com/office/drawing/2014/main" id="{2A8A7F3A-0C97-456B-87AC-8690C8DF04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3599</xdr:colOff>
      <xdr:row>0</xdr:row>
      <xdr:rowOff>60537</xdr:rowOff>
    </xdr:from>
    <xdr:to>
      <xdr:col>9</xdr:col>
      <xdr:colOff>292524</xdr:colOff>
      <xdr:row>11</xdr:row>
      <xdr:rowOff>68157</xdr:rowOff>
    </xdr:to>
    <xdr:graphicFrame macro="">
      <xdr:nvGraphicFramePr>
        <xdr:cNvPr id="3" name="Chart 2">
          <a:extLst>
            <a:ext uri="{FF2B5EF4-FFF2-40B4-BE49-F238E27FC236}">
              <a16:creationId xmlns:a16="http://schemas.microsoft.com/office/drawing/2014/main" id="{DC5542B0-54D6-4E33-9465-42EEDC8378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167640</xdr:colOff>
      <xdr:row>0</xdr:row>
      <xdr:rowOff>7620</xdr:rowOff>
    </xdr:from>
    <xdr:to>
      <xdr:col>19</xdr:col>
      <xdr:colOff>495300</xdr:colOff>
      <xdr:row>11</xdr:row>
      <xdr:rowOff>53340</xdr:rowOff>
    </xdr:to>
    <xdr:graphicFrame macro="">
      <xdr:nvGraphicFramePr>
        <xdr:cNvPr id="4" name="Chart 3">
          <a:extLst>
            <a:ext uri="{FF2B5EF4-FFF2-40B4-BE49-F238E27FC236}">
              <a16:creationId xmlns:a16="http://schemas.microsoft.com/office/drawing/2014/main" id="{59AF3313-0EBA-4FF9-8D31-F2D56E4269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512445</xdr:colOff>
      <xdr:row>14</xdr:row>
      <xdr:rowOff>0</xdr:rowOff>
    </xdr:from>
    <xdr:to>
      <xdr:col>10</xdr:col>
      <xdr:colOff>365760</xdr:colOff>
      <xdr:row>24</xdr:row>
      <xdr:rowOff>15240</xdr:rowOff>
    </xdr:to>
    <xdr:graphicFrame macro="">
      <xdr:nvGraphicFramePr>
        <xdr:cNvPr id="5" name="Chart 4">
          <a:extLst>
            <a:ext uri="{FF2B5EF4-FFF2-40B4-BE49-F238E27FC236}">
              <a16:creationId xmlns:a16="http://schemas.microsoft.com/office/drawing/2014/main" id="{90AA1EFA-7BC4-4D05-A04A-289929B943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1590676</xdr:colOff>
      <xdr:row>1</xdr:row>
      <xdr:rowOff>145257</xdr:rowOff>
    </xdr:from>
    <xdr:to>
      <xdr:col>9</xdr:col>
      <xdr:colOff>533399</xdr:colOff>
      <xdr:row>22</xdr:row>
      <xdr:rowOff>161925</xdr:rowOff>
    </xdr:to>
    <xdr:graphicFrame macro="">
      <xdr:nvGraphicFramePr>
        <xdr:cNvPr id="2" name="Chart 1">
          <a:extLst>
            <a:ext uri="{FF2B5EF4-FFF2-40B4-BE49-F238E27FC236}">
              <a16:creationId xmlns:a16="http://schemas.microsoft.com/office/drawing/2014/main" id="{893B9D57-6A3A-4EB3-AB69-F048D97FF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73823</xdr:colOff>
      <xdr:row>1</xdr:row>
      <xdr:rowOff>140494</xdr:rowOff>
    </xdr:from>
    <xdr:to>
      <xdr:col>13</xdr:col>
      <xdr:colOff>1512098</xdr:colOff>
      <xdr:row>22</xdr:row>
      <xdr:rowOff>128587</xdr:rowOff>
    </xdr:to>
    <xdr:graphicFrame macro="">
      <xdr:nvGraphicFramePr>
        <xdr:cNvPr id="4" name="Chart 3">
          <a:extLst>
            <a:ext uri="{FF2B5EF4-FFF2-40B4-BE49-F238E27FC236}">
              <a16:creationId xmlns:a16="http://schemas.microsoft.com/office/drawing/2014/main" id="{877D4CFE-6F5F-46A5-A9BA-9F97F53EB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1618058</xdr:colOff>
      <xdr:row>24</xdr:row>
      <xdr:rowOff>4764</xdr:rowOff>
    </xdr:from>
    <xdr:to>
      <xdr:col>9</xdr:col>
      <xdr:colOff>542925</xdr:colOff>
      <xdr:row>45</xdr:row>
      <xdr:rowOff>57151</xdr:rowOff>
    </xdr:to>
    <xdr:graphicFrame macro="">
      <xdr:nvGraphicFramePr>
        <xdr:cNvPr id="3" name="Chart 4">
          <a:extLst>
            <a:ext uri="{FF2B5EF4-FFF2-40B4-BE49-F238E27FC236}">
              <a16:creationId xmlns:a16="http://schemas.microsoft.com/office/drawing/2014/main" id="{7B78DEC7-DB64-4B7F-9E20-CDEC57C25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57150</xdr:colOff>
      <xdr:row>23</xdr:row>
      <xdr:rowOff>166688</xdr:rowOff>
    </xdr:from>
    <xdr:to>
      <xdr:col>13</xdr:col>
      <xdr:colOff>1304925</xdr:colOff>
      <xdr:row>41</xdr:row>
      <xdr:rowOff>119062</xdr:rowOff>
    </xdr:to>
    <xdr:graphicFrame macro="">
      <xdr:nvGraphicFramePr>
        <xdr:cNvPr id="6" name="Chart 5">
          <a:extLst>
            <a:ext uri="{FF2B5EF4-FFF2-40B4-BE49-F238E27FC236}">
              <a16:creationId xmlns:a16="http://schemas.microsoft.com/office/drawing/2014/main" id="{A4E22166-53F3-44B7-AF66-5B95EB4FF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3088822</xdr:colOff>
      <xdr:row>33</xdr:row>
      <xdr:rowOff>13608</xdr:rowOff>
    </xdr:from>
    <xdr:to>
      <xdr:col>20</xdr:col>
      <xdr:colOff>108857</xdr:colOff>
      <xdr:row>53</xdr:row>
      <xdr:rowOff>54430</xdr:rowOff>
    </xdr:to>
    <xdr:graphicFrame macro="">
      <xdr:nvGraphicFramePr>
        <xdr:cNvPr id="17" name="Chart 6">
          <a:extLst>
            <a:ext uri="{FF2B5EF4-FFF2-40B4-BE49-F238E27FC236}">
              <a16:creationId xmlns:a16="http://schemas.microsoft.com/office/drawing/2014/main" id="{309B5BF8-5A2A-46C4-93D9-4A94D3E12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8587965" createdVersion="6" refreshedVersion="7" minRefreshableVersion="3" recordCount="1343" xr:uid="{9F69FEE7-A294-4511-ADD4-706C3C06B4A1}">
  <cacheSource type="worksheet">
    <worksheetSource ref="A2:J9983" sheet="TIR SUMMARY" r:id="rId2"/>
  </cacheSource>
  <cacheFields count="10">
    <cacheField name="RI Date" numFmtId="0">
      <sharedItems containsNonDate="0" containsDate="1" containsString="0" containsBlank="1" minDate="2021-09-19T00:00:00" maxDate="2022-03-21T00:00:00"/>
    </cacheField>
    <cacheField name="RI Ref" numFmtId="0">
      <sharedItems containsBlank="1"/>
    </cacheField>
    <cacheField name="Origin" numFmtId="0">
      <sharedItems containsBlank="1" count="9">
        <s v="Preventive Maintenance"/>
        <s v="8D"/>
        <s v="Testing"/>
        <s v="Mainline running"/>
        <s v="Depot Movement"/>
        <s v="Quality alert"/>
        <s v="Reliability Review"/>
        <s v="MANTIS"/>
        <m/>
      </sharedItems>
    </cacheField>
    <cacheField name="Origin doc ref" numFmtId="0">
      <sharedItems containsBlank="1"/>
    </cacheField>
    <cacheField name="TS" numFmtId="0">
      <sharedItems containsBlank="1"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sharedItems>
    </cacheField>
    <cacheField name="Progress" numFmtId="0">
      <sharedItems containsBlank="1" longText="1"/>
    </cacheField>
    <cacheField name="Status" numFmtId="0">
      <sharedItems containsBlank="1" count="17">
        <s v="Corrected"/>
        <s v="NFF"/>
        <s v="Not Started"/>
        <s v="Corrective Action Required"/>
        <s v="Under Investigation"/>
        <m/>
        <s v="TIR Closed" u="1"/>
        <s v="NCR Opened" u="1"/>
        <s v="NCR" u="1"/>
        <s v="Open" u="1"/>
        <s v="No issue found" u="1"/>
        <s v="NCR Closed" u="1"/>
        <s v="CMN" u="1"/>
        <s v="Under Monitoring" u="1"/>
        <s v="To investigate" u="1"/>
        <s v="PMA" u="1"/>
        <s v="Supplier OIL"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9629628" createdVersion="6" refreshedVersion="7" minRefreshableVersion="3" recordCount="1343" xr:uid="{D33573E0-8605-4B56-A7A1-83678AA4EC5F}">
  <cacheSource type="worksheet">
    <worksheetSource ref="A2:J9984" sheet="TIR SUMMARY" r:id="rId2"/>
  </cacheSource>
  <cacheFields count="10">
    <cacheField name="RI Date" numFmtId="0">
      <sharedItems containsNonDate="0" containsDate="1" containsString="0" containsBlank="1" minDate="2021-09-19T00:00:00" maxDate="2022-03-21T00:00:00"/>
    </cacheField>
    <cacheField name="RI Ref" numFmtId="0">
      <sharedItems containsBlank="1"/>
    </cacheField>
    <cacheField name="Origin" numFmtId="0">
      <sharedItems containsBlank="1" count="9">
        <s v="Preventive Maintenance"/>
        <s v="8D"/>
        <s v="Testing"/>
        <s v="Mainline running"/>
        <s v="Depot Movement"/>
        <s v="Quality alert"/>
        <s v="Reliability Review"/>
        <s v="MANTIS"/>
        <m/>
      </sharedItems>
    </cacheField>
    <cacheField name="Origin doc ref" numFmtId="0">
      <sharedItems containsBlank="1"/>
    </cacheField>
    <cacheField name="TS" numFmtId="0">
      <sharedItems containsBlank="1"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sharedItems>
    </cacheField>
    <cacheField name="Progress" numFmtId="0">
      <sharedItems containsBlank="1" longText="1"/>
    </cacheField>
    <cacheField name="Status" numFmtId="0">
      <sharedItems containsBlank="1" count="6">
        <s v="Corrected"/>
        <s v="NFF"/>
        <s v="Not Started"/>
        <s v="Corrective Action Required"/>
        <s v="Under Investigation"/>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9282404" createdVersion="6" refreshedVersion="7" minRefreshableVersion="3" recordCount="425" xr:uid="{63D064C8-792D-492B-8C2F-C994B891909E}">
  <cacheSource type="worksheet">
    <worksheetSource ref="A2:P427" sheet="TIR SUMMARY" r:id="rId2"/>
  </cacheSource>
  <cacheFields count="16">
    <cacheField name="RI Date" numFmtId="15">
      <sharedItems containsSemiMixedTypes="0" containsNonDate="0" containsDate="1" containsString="0" minDate="2021-09-19T00:00:00" maxDate="2022-01-11T00:00:00"/>
    </cacheField>
    <cacheField name="RI Ref" numFmtId="0">
      <sharedItems/>
    </cacheField>
    <cacheField name="Origin" numFmtId="0">
      <sharedItems count="7">
        <s v="Preventive Maintenance"/>
        <s v="8D"/>
        <s v="Testing"/>
        <s v="Mainline running"/>
        <s v="Depot Movement"/>
        <s v="Quality alert"/>
        <s v="Reliability Review"/>
      </sharedItems>
    </cacheField>
    <cacheField name="Origin doc ref" numFmtId="0">
      <sharedItems containsBlank="1"/>
    </cacheField>
    <cacheField name="TS" numFmtId="0">
      <sharedItems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u="1"/>
      </sharedItems>
    </cacheField>
    <cacheField name="Progress" numFmtId="0">
      <sharedItems containsBlank="1" longText="1"/>
    </cacheField>
    <cacheField name="Status" numFmtId="0">
      <sharedItems containsBlank="1" count="17">
        <s v="Corrected"/>
        <s v="NFF"/>
        <s v="Not Started"/>
        <s v="Corrective Action Required"/>
        <s v="Under Investigation"/>
        <m u="1"/>
        <s v="TIR Closed" u="1"/>
        <s v="NCR Opened" u="1"/>
        <s v="NCR" u="1"/>
        <s v="Open" u="1"/>
        <s v="No issue found" u="1"/>
        <s v="NCR Closed" u="1"/>
        <s v="CMN" u="1"/>
        <s v="Under Monitoring" u="1"/>
        <s v="To investigate" u="1"/>
        <s v="PMA" u="1"/>
        <s v="Supplier OIL" u="1"/>
      </sharedItems>
    </cacheField>
    <cacheField name="Closure" numFmtId="0">
      <sharedItems count="2">
        <s v="Closed"/>
        <s v="Open"/>
      </sharedItems>
    </cacheField>
    <cacheField name="Closing Date" numFmtId="0">
      <sharedItems containsDate="1" containsBlank="1" containsMixedTypes="1" minDate="2021-01-18T00:00:00" maxDate="2022-03-18T00:00:00"/>
    </cacheField>
    <cacheField name="NCR Ref" numFmtId="0">
      <sharedItems containsBlank="1"/>
    </cacheField>
    <cacheField name="Syb-System" numFmtId="0">
      <sharedItems containsBlank="1" count="14">
        <m/>
        <s v="HEATING, VENTILATION &amp; AIR CONDITIONING"/>
        <s v="Public Address and Communication Information System (PACIS)"/>
        <s v="BOGIES &amp; SUSPENSION"/>
        <s v="INFORMATION SYSTEMS"/>
        <s v="INTERIORS"/>
        <s v="Train Control and Monitoring System (TCMS) &amp; Event Recorder (EVR)"/>
        <s v="ELECTRICAL CABLING &amp; WIRING"/>
        <s v="COUPLERS &amp; DRAW GEAR"/>
        <s v="DOORS"/>
        <s v="ELECTRICAL TRACTION"/>
        <s v="ELECTRIC LV PRODUCTION &amp; DISTRIBUTION (AUXILIARY SUPPLY)"/>
        <s v="SIGNALING"/>
        <s v="CARBODY FITTINGS / EXTERIOR FINISH"/>
      </sharedItems>
    </cacheField>
    <cacheField name="EQT" numFmtId="0">
      <sharedItems containsBlank="1" count="7">
        <m/>
        <s v="Bogie: Tread brake unit with parking brake"/>
        <s v="PACIS: Intercom unit in one enclosure (With Peripherals)"/>
        <s v="NA"/>
        <s v="Bogie: 3rd rail current collector unit"/>
        <s v="PACIS: LCD Super-Wide Slim"/>
        <s v="Bogie: WSP sensor"/>
      </sharedItems>
    </cacheField>
    <cacheField name="SAF" numFmtId="0">
      <sharedItems containsBlank="1" count="2">
        <m/>
        <s v="Ye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8935188" createdVersion="6" refreshedVersion="7" minRefreshableVersion="3" recordCount="4722" xr:uid="{07CB83B6-E054-4758-A73C-D20FE42BE8D1}">
  <cacheSource type="worksheet">
    <worksheetSource ref="A2:P1048576" sheet="TIR SUMMARY" r:id="rId2"/>
  </cacheSource>
  <cacheFields count="16">
    <cacheField name="RI Date" numFmtId="0">
      <sharedItems containsNonDate="0" containsDate="1" containsString="0" containsBlank="1" minDate="2021-09-19T00:00:00" maxDate="2022-03-21T00:00:00"/>
    </cacheField>
    <cacheField name="RI Ref" numFmtId="0">
      <sharedItems containsBlank="1"/>
    </cacheField>
    <cacheField name="Origin" numFmtId="0">
      <sharedItems containsBlank="1" count="9">
        <s v="Preventive Maintenance"/>
        <s v="8D"/>
        <s v="Testing"/>
        <s v="Mainline running"/>
        <s v="Depot Movement"/>
        <s v="Quality alert"/>
        <s v="Reliability Review"/>
        <s v="MANTIS"/>
        <m/>
      </sharedItems>
    </cacheField>
    <cacheField name="Origin doc ref" numFmtId="0">
      <sharedItems containsBlank="1"/>
    </cacheField>
    <cacheField name="TS" numFmtId="0">
      <sharedItems containsBlank="1"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sharedItems>
    </cacheField>
    <cacheField name="Progress" numFmtId="0">
      <sharedItems containsBlank="1" longText="1"/>
    </cacheField>
    <cacheField name="Status" numFmtId="0">
      <sharedItems containsBlank="1" count="6">
        <s v="Corrected"/>
        <s v="NFF"/>
        <s v="Not Started"/>
        <s v="Corrective Action Required"/>
        <s v="Under Investigation"/>
        <m/>
      </sharedItems>
    </cacheField>
    <cacheField name="Closure" numFmtId="0">
      <sharedItems containsBlank="1" count="4">
        <s v="Closed"/>
        <s v="Open"/>
        <m/>
        <s v="Closure" u="1"/>
      </sharedItems>
    </cacheField>
    <cacheField name="Closing Date" numFmtId="0">
      <sharedItems containsDate="1" containsBlank="1" containsMixedTypes="1" minDate="2021-01-18T00:00:00" maxDate="2022-03-21T00:00:00"/>
    </cacheField>
    <cacheField name="NCR Ref" numFmtId="0">
      <sharedItems containsBlank="1"/>
    </cacheField>
    <cacheField name="Syb-System" numFmtId="0">
      <sharedItems containsBlank="1" count="17">
        <m/>
        <s v="HEATING, VENTILATION &amp; AIR CONDITIONING"/>
        <s v="Public Address and Communication Information System (PACIS)"/>
        <s v="BOGIES &amp; SUSPENSION"/>
        <s v="INFORMATION SYSTEMS"/>
        <s v="INTERIORS"/>
        <s v="Train Control and Monitoring System (TCMS) &amp; Event Recorder (EVR)"/>
        <s v="ELECTRICAL CABLING &amp; WIRING"/>
        <s v="COUPLERS &amp; DRAW GEAR"/>
        <s v="DOORS"/>
        <s v="ELECTRICAL TRACTION"/>
        <s v="ELECTRIC LV PRODUCTION &amp; DISTRIBUTION (AUXILIARY SUPPLY)"/>
        <s v="SIGNALING"/>
        <s v="CARBODY FITTINGS / EXTERIOR FINISH"/>
        <s v="Brakes &amp; Air Supply"/>
        <s v="CONSUMABLE"/>
        <s v="SAFETY AND SECURITY EQUIPMENTS"/>
      </sharedItems>
    </cacheField>
    <cacheField name="EQT" numFmtId="0">
      <sharedItems containsBlank="1" count="15">
        <m/>
        <s v="Bogie: Tread brake unit with parking brake"/>
        <s v="PACIS: Intercom unit in one enclosure (With Peripherals)"/>
        <s v="NA"/>
        <s v="Bogie: 3rd rail current collector unit"/>
        <s v="PACIS: LCD Super-Wide Slim"/>
        <s v="Bogie: WSP sensor"/>
        <s v="PACIS: LCD display Palm tree"/>
        <s v="DRS: Emergency unlocking switch"/>
        <s v="BRK-AIR: PRESSURE SWITCH 0,2 bar FALLING SET WITH 1 CONTACT"/>
        <s v="PACIS: Network Video Recorder (NVR)"/>
        <s v="PACIS: Train Control Unit (TCCU) - 42HP"/>
        <s v="PACIS: Internal Camera FULL HD (4mm Lens) Alpha Angle"/>
        <s v="Traction: Traction control unit"/>
        <s v="TCN: CRS V2"/>
      </sharedItems>
    </cacheField>
    <cacheField name="SAF" numFmtId="0">
      <sharedItems containsBlank="1" count="3">
        <m/>
        <s v="Yes"/>
        <s v="NO"/>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3">
  <r>
    <d v="2021-09-19T00:00:00"/>
    <s v="TIR0002"/>
    <x v="0"/>
    <s v="PM1622"/>
    <n v="405"/>
    <s v="Ledi4-V1 display nok"/>
    <x v="0"/>
    <x v="0"/>
    <s v="Update software manually and test Ok"/>
    <x v="0"/>
  </r>
  <r>
    <d v="2021-09-19T00:00:00"/>
    <s v="TIR0005"/>
    <x v="0"/>
    <s v="PM1624"/>
    <n v="414"/>
    <s v="HC1 ( Pei4,6 Ledi4,6 Lcd4,5,6 Swd4,5,6 ) IP Offline_x000a_NVR Offline ( Removed for retrofit)_x000a_HC1 ( Lcd4,5 Ledi4 Swd5 ) Display NOK"/>
    <x v="0"/>
    <x v="0"/>
    <s v="Checked  online and display OK"/>
    <x v="0"/>
  </r>
  <r>
    <d v="2021-09-19T00:00:00"/>
    <s v="TIR0006"/>
    <x v="0"/>
    <s v="PM1624"/>
    <n v="414"/>
    <s v="Gangway lights NOK in both cab"/>
    <x v="0"/>
    <x v="1"/>
    <s v="After the Adjustment of output Dc converter working fine  "/>
    <x v="0"/>
  </r>
  <r>
    <d v="2021-09-19T00:00:00"/>
    <s v="TIR0007"/>
    <x v="0"/>
    <s v="PM1625"/>
    <n v="417"/>
    <s v="HC2 Saloon Lights covers NOK"/>
    <x v="0"/>
    <x v="1"/>
    <s v="Fixed the light cover"/>
    <x v="0"/>
  </r>
  <r>
    <d v="2021-09-19T00:00:00"/>
    <s v="TIR0009"/>
    <x v="0"/>
    <s v="PM1626"/>
    <n v="423"/>
    <s v="HC2 Swd2 display half ( NOK)"/>
    <x v="0"/>
    <x v="0"/>
    <s v="Checked  online and display OK"/>
    <x v="0"/>
  </r>
  <r>
    <d v="2021-09-19T00:00:00"/>
    <s v="TIR0010"/>
    <x v="0"/>
    <s v="PM1627"/>
    <n v="619"/>
    <s v="HC1 ( Ledi5 , Lcd5, Swd5 ) IP Offline_x000a_HC2 ( Ledi5) IP Offline"/>
    <x v="0"/>
    <x v="0"/>
    <s v="See TIR168-TIR172"/>
    <x v="0"/>
  </r>
  <r>
    <d v="2021-09-19T00:00:00"/>
    <s v="TIR0013"/>
    <x v="0"/>
    <s v="PM1627"/>
    <n v="619"/>
    <s v="HC2- Palm Tree 3 lights dim."/>
    <x v="0"/>
    <x v="1"/>
    <s v="110v to 24v DC converter output emergency Switch was on worng position it should be on 100%"/>
    <x v="0"/>
  </r>
  <r>
    <d v="2021-09-19T00:00:00"/>
    <s v="TIR0004"/>
    <x v="0"/>
    <s v="PM1623"/>
    <n v="406"/>
    <s v="HC1 ( Ledi4,5, Lcd4,5, SWD4,5) IP Offline_x000a_HC2 ( Ledi4) IP Offline_x000a_HC1 ( Swd2,Lcd3 ) Display NOK_x000a_HC2 ( Ledi4) Display NOK"/>
    <x v="1"/>
    <x v="0"/>
    <m/>
    <x v="1"/>
  </r>
  <r>
    <d v="2021-09-19T00:00:00"/>
    <s v="TIR0008"/>
    <x v="0"/>
    <s v="PM1625"/>
    <n v="417"/>
    <s v="HC2 Under seat fire extinguisher bracket &amp; Cylinder not available"/>
    <x v="1"/>
    <x v="1"/>
    <m/>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r>
  <r>
    <d v="2021-09-19T00:00:00"/>
    <s v="TIR0003"/>
    <x v="0"/>
    <s v="PM1623"/>
    <n v="406"/>
    <s v="HC1 Horn volume is low"/>
    <x v="0"/>
    <x v="1"/>
    <s v="Horn volume is good in both CAB"/>
    <x v="1"/>
  </r>
  <r>
    <d v="2021-09-19T00:00:00"/>
    <s v="TIR1008"/>
    <x v="0"/>
    <s v="PM1628"/>
    <n v="510"/>
    <s v="HC1 Swd2 display half (NOK)"/>
    <x v="1"/>
    <x v="0"/>
    <m/>
    <x v="2"/>
  </r>
  <r>
    <d v="2021-09-19T00:00:00"/>
    <s v="TIR1009"/>
    <x v="0"/>
    <s v="PM1629"/>
    <n v="511"/>
    <s v="HC1 Ledi2 display NOK"/>
    <x v="1"/>
    <x v="0"/>
    <m/>
    <x v="2"/>
  </r>
  <r>
    <d v="2021-09-20T00:00:00"/>
    <s v="TIR0014"/>
    <x v="0"/>
    <s v="PM1630"/>
    <n v="401"/>
    <s v="HC1- Saloon lights NOK"/>
    <x v="0"/>
    <x v="1"/>
    <s v="Fixed the light cover and all lights are working fine"/>
    <x v="0"/>
  </r>
  <r>
    <d v="2021-09-20T00:00:00"/>
    <s v="TIR0015"/>
    <x v="0"/>
    <s v="PM1632"/>
    <n v="413"/>
    <s v="LCD3-V1 offline and display also NOK"/>
    <x v="0"/>
    <x v="0"/>
    <s v="updated software manually,cheched online and display  ok"/>
    <x v="0"/>
  </r>
  <r>
    <d v="2021-09-20T00:00:00"/>
    <s v="TIR0016"/>
    <x v="0"/>
    <s v="PM1632"/>
    <n v="413"/>
    <s v="HC2 Saloon Lights covers NOK"/>
    <x v="0"/>
    <x v="1"/>
    <s v="we fixed light cover"/>
    <x v="0"/>
  </r>
  <r>
    <d v="2021-09-20T00:00:00"/>
    <s v="TIR0018"/>
    <x v="0"/>
    <s v="PM1633"/>
    <n v="418"/>
    <s v="LCD1-V1 offline and display also NOK"/>
    <x v="0"/>
    <x v="0"/>
    <s v="updated software manually,cheched online and display  ok"/>
    <x v="0"/>
  </r>
  <r>
    <d v="2021-09-20T00:00:00"/>
    <s v="TIR0020"/>
    <x v="0"/>
    <s v="PM1634"/>
    <n v="419"/>
    <s v="HC2 Electrical coupler one spring missing"/>
    <x v="0"/>
    <x v="1"/>
    <s v="take the Spring from damaged coupler and fixed"/>
    <x v="0"/>
  </r>
  <r>
    <d v="2021-09-20T00:00:00"/>
    <s v="TIR0021"/>
    <x v="0"/>
    <s v="PM1634"/>
    <n v="419"/>
    <s v="HC2 { LEDI4,LCD4,SWD4} IP offline"/>
    <x v="0"/>
    <x v="0"/>
    <s v="Checked all devices online and display OK"/>
    <x v="0"/>
  </r>
  <r>
    <d v="2021-09-20T00:00:00"/>
    <s v="TIR0019"/>
    <x v="0"/>
    <s v="PM1633"/>
    <n v="418"/>
    <s v="HC1 Door1 glass found minor cracked"/>
    <x v="1"/>
    <x v="1"/>
    <m/>
    <x v="3"/>
  </r>
  <r>
    <d v="2021-09-20T00:00:00"/>
    <s v="TIR1010"/>
    <x v="0"/>
    <s v="PM1633"/>
    <n v="418"/>
    <s v="HVAC1-V2 Exhaust air fan high faulty."/>
    <x v="1"/>
    <x v="1"/>
    <m/>
    <x v="2"/>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r>
  <r>
    <d v="2021-09-20T00:00:00"/>
    <s v="TIR1012"/>
    <x v="0"/>
    <s v="PM1636"/>
    <n v="501"/>
    <s v="HVAC2-V2 Low pressure1 reported ( Compressor1&amp;2)"/>
    <x v="2"/>
    <x v="2"/>
    <m/>
    <x v="0"/>
  </r>
  <r>
    <d v="2021-09-20T00:00:00"/>
    <s v="TIR1013"/>
    <x v="0"/>
    <s v="PM1637"/>
    <n v="505"/>
    <s v="HC1- LEDI3 Display NOK_x000a_HC1- SWD3 Broken_x000a_HC2-LCD3 Display NOK_x000a_"/>
    <x v="1"/>
    <x v="0"/>
    <m/>
    <x v="2"/>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r>
  <r>
    <d v="2021-09-21T00:00:00"/>
    <s v="TIR0026"/>
    <x v="0"/>
    <s v="PM1639"/>
    <n v="422"/>
    <s v="IP offline { Papis.Ctrl2,Papis.Pa2 ,Ledi1-V2}_x000a_Display Status { SWD5-v2 Half, Ledi1-v2 NOK}"/>
    <x v="0"/>
    <x v="0"/>
    <s v="Updated again software manually and test it online and display OK"/>
    <x v="0"/>
  </r>
  <r>
    <d v="2021-09-21T00:00:00"/>
    <s v="TIR0028"/>
    <x v="0"/>
    <s v="PM1640"/>
    <n v="424"/>
    <s v="IP offline { Papis.Pa1 }_x000a_Display status { Swd5-v1 NOK }"/>
    <x v="0"/>
    <x v="0"/>
    <s v="updated software manually,cheched online and display  ok"/>
    <x v="0"/>
  </r>
  <r>
    <d v="2021-09-21T00:00:00"/>
    <s v="TIR0029"/>
    <x v="0"/>
    <s v="PM1641"/>
    <n v="607"/>
    <s v="IP offline-HC2 { Pei6,Ledi6,Lcd5,Swd6,NVR } _x000a_{ NVR removed for Retrofit }"/>
    <x v="0"/>
    <x v="0"/>
    <s v="Checked again the offline devices all good,_x000a_NVR also normalised."/>
    <x v="0"/>
  </r>
  <r>
    <d v="2021-09-21T00:00:00"/>
    <s v="TIR0030"/>
    <x v="0"/>
    <s v="PM1643"/>
    <n v="625"/>
    <s v="IP Offline { (Papis.Ctrl2,Pa2 )(Pei1,2,3-v2)(Ledi1,3,5-v2)(Lcd1,3,5-_x000a_v2)(Swd1,3,5)(Cami2-v2) }"/>
    <x v="0"/>
    <x v="0"/>
    <s v="updated software manually,cheched online and display  ok"/>
    <x v="0"/>
  </r>
  <r>
    <d v="2021-09-21T00:00:00"/>
    <s v="TIR0027"/>
    <x v="0"/>
    <s v="PM1639"/>
    <n v="422"/>
    <s v="HC1 Door-6 glass minor cracked"/>
    <x v="1"/>
    <x v="1"/>
    <m/>
    <x v="3"/>
  </r>
  <r>
    <d v="2021-09-21T00:00:00"/>
    <s v="TIR0033"/>
    <x v="0"/>
    <s v="PM1645"/>
    <n v="515"/>
    <s v="HC2 Bogie2 Left Fuse box glass minor cracked"/>
    <x v="1"/>
    <x v="3"/>
    <s v="27/12 : Fuse box glass cracked. Need to replace. No spare available"/>
    <x v="3"/>
  </r>
  <r>
    <d v="2021-09-21T00:00:00"/>
    <s v="TIR1014"/>
    <x v="0"/>
    <s v="PM1644"/>
    <n v="506"/>
    <s v="IP Offline - HC2 {Ledi1, Lcd3, Lcd4}_x000a_Display Status - HC2 { (Ledi1-White)(Lcd3-Nok)(Lcd4-Dim) "/>
    <x v="1"/>
    <x v="2"/>
    <s v="STE local support working on this issues (03/03)."/>
    <x v="4"/>
  </r>
  <r>
    <d v="2021-09-21T00:00:00"/>
    <s v="TIR1015"/>
    <x v="0"/>
    <s v="PM1645"/>
    <n v="515"/>
    <s v="IP Offline { Papis.Ctrl2, Papis.Pa2 }_x000a_Display Status { Swd1-v1 Half "/>
    <x v="1"/>
    <x v="0"/>
    <m/>
    <x v="2"/>
  </r>
  <r>
    <d v="2021-09-26T00:00:00"/>
    <s v="TIR0037"/>
    <x v="0"/>
    <s v="PM1647"/>
    <n v="601"/>
    <s v="HC2-Palm tree # 1 lights NOK"/>
    <x v="0"/>
    <x v="1"/>
    <s v="After ripeared tha LED strip working fine now"/>
    <x v="0"/>
  </r>
  <r>
    <d v="2021-09-26T00:00:00"/>
    <s v="TIR0034"/>
    <x v="0"/>
    <s v="PM1646"/>
    <n v="416"/>
    <s v="HC1- Wiper broken."/>
    <x v="1"/>
    <x v="1"/>
    <m/>
    <x v="3"/>
  </r>
  <r>
    <d v="2021-09-26T00:00:00"/>
    <s v="TIR0035"/>
    <x v="0"/>
    <s v="PM1647"/>
    <n v="601"/>
    <s v="TS601 HC2-Axle 2 leakage found from the spring brake part"/>
    <x v="3"/>
    <x v="3"/>
    <s v="12/12 : leakage found from the spring brake part. (BRAKE UNIT WITH PARKING BRAKE)._x000a_Need to normalize by replacing the brake part."/>
    <x v="0"/>
  </r>
  <r>
    <d v="2021-09-26T00:00:00"/>
    <s v="TIR0036"/>
    <x v="0"/>
    <s v="PM1647"/>
    <n v="601"/>
    <s v="HC2- Saloon lights NOK"/>
    <x v="1"/>
    <x v="1"/>
    <m/>
    <x v="3"/>
  </r>
  <r>
    <d v="2021-09-26T00:00:00"/>
    <s v="TIR0038"/>
    <x v="0"/>
    <s v="PM1649"/>
    <n v="615"/>
    <s v="HVAC1-V1 Abnormal sound coming from compressors."/>
    <x v="0"/>
    <x v="1"/>
    <s v="Checked compressor by compressor no vibration found, GP level Ok, We need life line certificate to access roof of the train, need more investigation"/>
    <x v="1"/>
  </r>
  <r>
    <d v="2021-09-26T00:00:00"/>
    <s v="TIR1016"/>
    <x v="0"/>
    <s v="PM1652"/>
    <n v="508"/>
    <s v="IP Offline and Display also NOK { Ledi4-V1, Swd2-V1 }"/>
    <x v="1"/>
    <x v="0"/>
    <m/>
    <x v="2"/>
  </r>
  <r>
    <d v="2021-09-26T00:00:00"/>
    <s v="TIR1017"/>
    <x v="0"/>
    <s v="PM1653"/>
    <n v="509"/>
    <s v="Display Status { Ledi4-V2 - NOK }"/>
    <x v="1"/>
    <x v="0"/>
    <m/>
    <x v="2"/>
  </r>
  <r>
    <d v="2021-09-26T00:00:00"/>
    <s v="TIR1018"/>
    <x v="0"/>
    <s v="PM1654"/>
    <n v="519"/>
    <s v="Display Status { Lcd6-V1 - Dim }"/>
    <x v="1"/>
    <x v="2"/>
    <s v="Checked and no dim issue observed."/>
    <x v="1"/>
  </r>
  <r>
    <d v="2021-09-26T00:00:00"/>
    <s v="TIR1019"/>
    <x v="0"/>
    <s v="PM1654"/>
    <n v="519"/>
    <s v="HVAC2-V2 Low Pressure 1 NOK ( Compressor 1&amp;2 )"/>
    <x v="2"/>
    <x v="2"/>
    <m/>
    <x v="3"/>
  </r>
  <r>
    <d v="2021-09-28T00:00:00"/>
    <s v="TIR0043"/>
    <x v="1"/>
    <s v="NA"/>
    <n v="410"/>
    <s v="Doors unlocked issue "/>
    <x v="0"/>
    <x v="1"/>
    <m/>
    <x v="0"/>
  </r>
  <r>
    <d v="2021-09-28T00:00:00"/>
    <s v="TIR0044"/>
    <x v="1"/>
    <s v="NA"/>
    <s v="422_x000a_602_x000a_608_x000a_612_x000a_615_x000a_617_x000a_503_x000a_509_x000a_512_x000a_514_x000a_519"/>
    <s v="Doors unlocked issue "/>
    <x v="0"/>
    <x v="1"/>
    <m/>
    <x v="0"/>
  </r>
  <r>
    <d v="2021-09-28T00:00:00"/>
    <s v="TIR0045"/>
    <x v="1"/>
    <s v="NA"/>
    <s v="601_x000a_607_x000a_624"/>
    <s v="Doors unlocked issue "/>
    <x v="0"/>
    <x v="1"/>
    <m/>
    <x v="0"/>
  </r>
  <r>
    <d v="2021-09-28T00:00:00"/>
    <s v="TIR0046"/>
    <x v="1"/>
    <s v="NA"/>
    <s v="_x000a_603_x000a_619_x000a_622_x000a_510"/>
    <s v="Doors unlocked issue "/>
    <x v="0"/>
    <x v="1"/>
    <m/>
    <x v="0"/>
  </r>
  <r>
    <d v="2021-09-28T00:00:00"/>
    <s v="TIR0047"/>
    <x v="1"/>
    <s v="NA"/>
    <n v="508"/>
    <s v="HC2_DOOR2not function properly, in UTO mode not getting open _x000a_( Motor brake issue)"/>
    <x v="0"/>
    <x v="1"/>
    <m/>
    <x v="0"/>
  </r>
  <r>
    <d v="2021-10-28T00:00:00"/>
    <s v="TIR0048"/>
    <x v="2"/>
    <s v="NA"/>
    <n v="605"/>
    <s v="Train driver and preventive team reported when HC2 cab active,_x000a_ no cab actvie and EB not release."/>
    <x v="0"/>
    <x v="2"/>
    <m/>
    <x v="0"/>
  </r>
  <r>
    <d v="2021-10-28T00:00:00"/>
    <s v="TIR0050"/>
    <x v="3"/>
    <s v="NA"/>
    <n v="615"/>
    <s v="IOS226 : Loss of traction and ED brajke on one PCE and issue reported_x000a_when train want to depart from satbling to mainline."/>
    <x v="0"/>
    <x v="2"/>
    <m/>
    <x v="0"/>
  </r>
  <r>
    <d v="2021-10-28T00:00:00"/>
    <s v="TIR0051"/>
    <x v="2"/>
    <s v="NA"/>
    <n v="513"/>
    <s v="IOS274: Communication Loss of CRS. We found CRS42 HC_2 is totally death and unable to recover manually"/>
    <x v="3"/>
    <x v="2"/>
    <m/>
    <x v="0"/>
  </r>
  <r>
    <d v="2021-10-28T00:00:00"/>
    <s v="TIR0052"/>
    <x v="2"/>
    <s v="NA"/>
    <n v="513"/>
    <s v=" IOS274: Communication Loss of CRS. We found CRS vs2 HC_2 is totally death and unable to recover manually"/>
    <x v="3"/>
    <x v="2"/>
    <m/>
    <x v="0"/>
  </r>
  <r>
    <d v="2021-10-28T00:00:00"/>
    <s v="TIR0053"/>
    <x v="2"/>
    <s v="NA"/>
    <n v="424"/>
    <s v="CRS4_V2 offline"/>
    <x v="3"/>
    <x v="2"/>
    <m/>
    <x v="0"/>
  </r>
  <r>
    <d v="2021-10-28T00:00:00"/>
    <s v="TIR0055"/>
    <x v="3"/>
    <m/>
    <s v="406_x000a_615_x000a_609_x000a_412"/>
    <s v="TOM issue"/>
    <x v="0"/>
    <x v="2"/>
    <s v="406 : 4/11/2021 : New NVR online and working normally._x000a_615 : 4/11/2021 : New NVR online and working normally."/>
    <x v="0"/>
  </r>
  <r>
    <d v="2021-10-28T00:00:00"/>
    <s v="TIR0049"/>
    <x v="4"/>
    <s v="N/A"/>
    <n v="404"/>
    <s v="Traction issue"/>
    <x v="0"/>
    <x v="2"/>
    <m/>
    <x v="1"/>
  </r>
  <r>
    <d v="2021-10-28T00:00:00"/>
    <s v="TIR0054"/>
    <x v="3"/>
    <s v="NA"/>
    <n v="651"/>
    <s v="TS651 (coupled train) moved in UTO with one train door opened"/>
    <x v="0"/>
    <x v="1"/>
    <m/>
    <x v="1"/>
  </r>
  <r>
    <d v="2021-10-31T00:00:00"/>
    <s v="TIR0057"/>
    <x v="2"/>
    <s v="NA"/>
    <n v="418"/>
    <s v=" We found pei fail to ping and unable to recover"/>
    <x v="0"/>
    <x v="0"/>
    <m/>
    <x v="0"/>
  </r>
  <r>
    <d v="2021-10-31T00:00:00"/>
    <s v="TIR0058"/>
    <x v="3"/>
    <s v="NA"/>
    <n v="422"/>
    <m/>
    <x v="1"/>
    <x v="2"/>
    <m/>
    <x v="0"/>
  </r>
  <r>
    <d v="2021-10-31T00:00:00"/>
    <s v="TIR0060"/>
    <x v="0"/>
    <s v="PM1684"/>
    <n v="407"/>
    <s v="HC1- While CVS transformer cables inspection, found leakage from the_x000a_input Capacitor on"/>
    <x v="3"/>
    <x v="2"/>
    <m/>
    <x v="0"/>
  </r>
  <r>
    <d v="2021-10-31T00:00:00"/>
    <s v="TIR0059"/>
    <x v="3"/>
    <s v="NA"/>
    <n v="417"/>
    <s v="TS417 stuck at neutral sec"/>
    <x v="0"/>
    <x v="2"/>
    <m/>
    <x v="1"/>
  </r>
  <r>
    <d v="2021-10-31T00:00:00"/>
    <s v="TIR1020"/>
    <x v="5"/>
    <s v="NA"/>
    <s v="All"/>
    <s v="Harting brake connector improperly locked"/>
    <x v="1"/>
    <x v="3"/>
    <m/>
    <x v="2"/>
  </r>
  <r>
    <d v="2021-11-03T00:00:00"/>
    <s v="TIR0061"/>
    <x v="3"/>
    <s v="NA"/>
    <s v="401_x000a_405"/>
    <s v="TOM issue : IOS 191 and F_N VR1Lostcom"/>
    <x v="0"/>
    <x v="2"/>
    <s v="405 - 3/11/2021 : Reprogram manually NVR by STE local support._x000a_401 - Hard disk was not properly inserted"/>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r>
  <r>
    <d v="2021-11-13T00:00:00"/>
    <s v="TIR0063"/>
    <x v="3"/>
    <s v="Mail"/>
    <n v="423"/>
    <s v="13 Nov Mainline launching D4/6 :_x000a_IOS247: One ACE have a communication fault"/>
    <x v="0"/>
    <x v="2"/>
    <s v="6/12/2021 : No Issues observed after monitoring."/>
    <x v="1"/>
  </r>
  <r>
    <d v="2021-11-13T00:00:00"/>
    <s v="TIR0065"/>
    <x v="3"/>
    <s v="Mail"/>
    <n v="421"/>
    <s v="17 train carrousel _ 13/11/2021_x000a_TS421: IOS179,185"/>
    <x v="0"/>
    <x v="2"/>
    <m/>
    <x v="1"/>
  </r>
  <r>
    <d v="2021-11-13T00:00:00"/>
    <s v="TIR0066"/>
    <x v="3"/>
    <s v="Mail"/>
    <n v="409"/>
    <s v="17 train carrousel _ 13/11/2021_x000a_IOS17"/>
    <x v="0"/>
    <x v="2"/>
    <s v="Performed test and checked MPU logs, found while daily brake test in progress. EAD were activated and EB applied."/>
    <x v="1"/>
  </r>
  <r>
    <d v="2021-11-14T00:00:00"/>
    <s v="TIR0067"/>
    <x v="3"/>
    <s v="Mail"/>
    <n v="421"/>
    <s v="15 Nov Mainline launching D4/6_x000a_Pei5 hc2 offline "/>
    <x v="0"/>
    <x v="0"/>
    <s v="Updated the pei software and online. To test "/>
    <x v="0"/>
  </r>
  <r>
    <d v="2021-11-14T00:00:00"/>
    <s v="TIR0068"/>
    <x v="3"/>
    <s v="Mail"/>
    <n v="401"/>
    <s v="15 Nov Mainline launching D4/6_x000a_IOS94 : Zero velocity fault"/>
    <x v="0"/>
    <x v="2"/>
    <m/>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r>
  <r>
    <d v="2021-11-14T00:00:00"/>
    <s v="TIR0070"/>
    <x v="3"/>
    <s v="Mail"/>
    <n v="603"/>
    <s v="15 Nov Mainline launching D4/6_x000a_IOS196  "/>
    <x v="0"/>
    <x v="0"/>
    <s v="Updated pei software and no more IOS196 report"/>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r>
  <r>
    <d v="2021-11-14T00:00:00"/>
    <s v="TIR0072"/>
    <x v="3"/>
    <s v="Mail"/>
    <n v="614"/>
    <s v="Alarms from CCR_x000a_IOS264:More than one UMC have a communication fault"/>
    <x v="0"/>
    <x v="0"/>
    <s v="Updated the pei software and online. To test "/>
    <x v="0"/>
  </r>
  <r>
    <d v="2021-11-14T00:00:00"/>
    <s v="TIR0073"/>
    <x v="3"/>
    <s v="Mail"/>
    <n v="413"/>
    <s v="Alarms from CCR_x000a_IOS250:One HVAC has a communication fault"/>
    <x v="0"/>
    <x v="3"/>
    <s v="16/11 : Train in mainline today and no issue reported."/>
    <x v="0"/>
  </r>
  <r>
    <d v="2021-11-14T00:00:00"/>
    <s v="TIR0074"/>
    <x v="3"/>
    <s v="Mail"/>
    <n v="414"/>
    <s v="Alarms from CCR_x000a_IOS196:Loss of at least 1 PEI in a class"/>
    <x v="0"/>
    <x v="0"/>
    <s v="Checked and confirmed E2 port have communication issue. "/>
    <x v="0"/>
  </r>
  <r>
    <d v="2021-11-15T00:00:00"/>
    <s v="TIR0075"/>
    <x v="3"/>
    <s v="Mail"/>
    <n v="617"/>
    <s v="15 Nov Mainline launching D4/6 :_x000a_IOS250 : HVAC1_V1 offline"/>
    <x v="0"/>
    <x v="3"/>
    <s v="16/11 : Train checked in the workshop : Train woke up and asleep 5 times =&gt; we have communication with all HVAC. There is no IOS250."/>
    <x v="0"/>
  </r>
  <r>
    <d v="2021-11-15T00:00:00"/>
    <s v="TIR0076"/>
    <x v="3"/>
    <s v="Mail"/>
    <n v="612"/>
    <s v="15 Nov Mainline launching D4/6 :_x000a_IOS249 : Door6-hc1 no communication "/>
    <x v="0"/>
    <x v="1"/>
    <s v="we replaced the DCU because it was offline "/>
    <x v="0"/>
  </r>
  <r>
    <d v="2021-11-15T00:00:00"/>
    <s v="TIR0078"/>
    <x v="3"/>
    <s v="Mail"/>
    <n v="403"/>
    <s v="15 Nov Mainline launching D4/6 :_x000a_SWD4_V2 is offline after reset became OK"/>
    <x v="0"/>
    <x v="0"/>
    <s v="Reset it and SWD display OK."/>
    <x v="0"/>
  </r>
  <r>
    <d v="2021-11-15T00:00:00"/>
    <s v="TIR0079"/>
    <x v="3"/>
    <s v="Mail"/>
    <n v="401"/>
    <s v="15 Nov PACIS issues on Mainline_x000a_TCCU 1 Faulty and PEI1 _V1 offline "/>
    <x v="0"/>
    <x v="0"/>
    <s v=" Replaced TCCU1 and PEI1-V1 and to test"/>
    <x v="0"/>
  </r>
  <r>
    <d v="2021-11-15T00:00:00"/>
    <s v="TIR0080"/>
    <x v="3"/>
    <s v="Mail"/>
    <n v="403"/>
    <s v="15 Nov PACIS issues on Mainline_x000a_Pei 1_v2 and Pei 6 _v1 Offline "/>
    <x v="0"/>
    <x v="2"/>
    <s v="Checked and confirmed both PEI E1,E2 port have communication issue. "/>
    <x v="0"/>
  </r>
  <r>
    <d v="2021-11-15T00:00:00"/>
    <s v="TIR0081"/>
    <x v="3"/>
    <s v="Mail"/>
    <n v="421"/>
    <s v="15 Nov PACIS issues on Mainline_x000a_No CAM working(tccu 1 need to check)"/>
    <x v="0"/>
    <x v="0"/>
    <s v="Updated TCCU1 software and to test "/>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r>
  <r>
    <d v="2021-11-15T00:00:00"/>
    <s v="TIR0084"/>
    <x v="3"/>
    <s v="Mail"/>
    <n v="423"/>
    <s v="15 Nov PACIS issues on Mainline_x000a_No COM with ism reported on mainline "/>
    <x v="0"/>
    <x v="0"/>
    <s v="Updated TCCU1 software and no more report"/>
    <x v="0"/>
  </r>
  <r>
    <d v="2021-11-15T00:00:00"/>
    <s v="TIR0085"/>
    <x v="3"/>
    <s v="Mail"/>
    <n v="414"/>
    <s v="15 Nov PACIS issues on Mainline_x000a_IOS196 :pei5_v1 offline"/>
    <x v="0"/>
    <x v="2"/>
    <s v="Checked and confirmed E2 port have communication issue. "/>
    <x v="0"/>
  </r>
  <r>
    <d v="2021-11-15T00:00:00"/>
    <s v="TIR0077"/>
    <x v="3"/>
    <s v="Mail"/>
    <n v="602"/>
    <s v="15 Nov Mainline launching D4/6 :_x000a_IOS247: One ACE have a communication fault"/>
    <x v="0"/>
    <x v="2"/>
    <m/>
    <x v="1"/>
  </r>
  <r>
    <d v="2021-11-15T00:00:00"/>
    <s v="TIR0086"/>
    <x v="3"/>
    <s v="Mail"/>
    <n v="412"/>
    <s v="15 Nov Mainline launching D4/6 :_x000a_IOS250 : IOS252 and F_TCN_ATC2ComNOK"/>
    <x v="0"/>
    <x v="3"/>
    <s v="Confirmed SLV"/>
    <x v="1"/>
  </r>
  <r>
    <d v="2021-11-16T00:00:00"/>
    <s v="TIR0087"/>
    <x v="3"/>
    <s v="Mail"/>
    <n v="612"/>
    <s v="T612 report IOS253, The EVR have a communication fault"/>
    <x v="0"/>
    <x v="0"/>
    <s v="The issue is solved after we update evr software."/>
    <x v="0"/>
  </r>
  <r>
    <d v="2021-11-16T00:00:00"/>
    <s v="TIR0088"/>
    <x v="3"/>
    <s v="Mail"/>
    <n v="411"/>
    <s v="IOS196 : Loss of at least 1 PEI in a class, from the MPU logs shown that_x000a_PEI4_V2 communication not stable"/>
    <x v="0"/>
    <x v="0"/>
    <s v="Replaced a new PEI and updated software OK"/>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r>
  <r>
    <d v="2021-11-17T00:00:00"/>
    <s v="TIR0090"/>
    <x v="3"/>
    <s v="Mail"/>
    <n v="404"/>
    <s v="IOS226 : Loss of traction and ED brake on one PCE."/>
    <x v="0"/>
    <x v="2"/>
    <s v="25/11/2021 : Isseu rectified, cable for discharging were wrongly connected."/>
    <x v="0"/>
  </r>
  <r>
    <d v="2021-11-17T00:00:00"/>
    <s v="TIR0091"/>
    <x v="3"/>
    <s v="Mail"/>
    <n v="401"/>
    <s v="IOS191 : Loss of video recorder."/>
    <x v="0"/>
    <x v="2"/>
    <s v="Recovered automatically , Reboot NVR to simulate the issue ._x000a_still NVR video recording "/>
    <x v="0"/>
  </r>
  <r>
    <d v="2021-11-17T00:00:00"/>
    <s v="TIR0103"/>
    <x v="3"/>
    <s v="RMDT"/>
    <n v="605"/>
    <s v="TS605 door did not open at 4C1 PF1. _x000a_TS605 dwelled and departed on time "/>
    <x v="0"/>
    <x v="3"/>
    <s v="SLV issue , issue is happen during ATC master changeover "/>
    <x v="1"/>
  </r>
  <r>
    <d v="2021-11-18T00:00:00"/>
    <s v="TIR0092"/>
    <x v="3"/>
    <s v="Mail"/>
    <n v="606"/>
    <s v="IOS264:more than one UMC have a communication fault"/>
    <x v="0"/>
    <x v="0"/>
    <s v="Found HC2 CRS42 fail to power up.Replaced a new CRS and test OK"/>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r>
  <r>
    <d v="2021-11-21T00:00:00"/>
    <s v="TIR0097"/>
    <x v="3"/>
    <s v="Mail"/>
    <n v="626"/>
    <s v="Mainline launching D4/6._x000a_IOS196 &quot; PEI of line &quot; , PEI1_V1 "/>
    <x v="0"/>
    <x v="0"/>
    <s v="updated software manually,cheched online and display  ok"/>
    <x v="0"/>
  </r>
  <r>
    <d v="2021-11-21T00:00:00"/>
    <s v="TIR0098"/>
    <x v="3"/>
    <s v="Mail"/>
    <n v="610"/>
    <s v="Mainline launching D4/6._x000a_LEDI1_V2 and (LEDI, LCD &amp; SWD 2_V2) are offline "/>
    <x v="0"/>
    <x v="0"/>
    <s v="See TIR205"/>
    <x v="0"/>
  </r>
  <r>
    <d v="2021-11-21T00:00:00"/>
    <s v="TIR0099"/>
    <x v="3"/>
    <s v="Mail"/>
    <n v="404"/>
    <s v="SWD1_V1 is offline and LCD2_V1 &amp; LCD2_V2 are dim"/>
    <x v="0"/>
    <x v="1"/>
    <s v="after manually update all now working fine"/>
    <x v="0"/>
  </r>
  <r>
    <d v="2021-11-21T00:00:00"/>
    <s v="TIR0100"/>
    <x v="3"/>
    <s v="Mail"/>
    <n v="601"/>
    <s v="LCD5_V2 Off line _x000a_LCD2_V1 &amp; SWD4_V1 are shown faulty screens"/>
    <x v="0"/>
    <x v="1"/>
    <s v="after manually update now working fine"/>
    <x v="0"/>
  </r>
  <r>
    <d v="2021-11-21T00:00:00"/>
    <s v="TIR0101"/>
    <x v="3"/>
    <s v="Mail"/>
    <n v="421"/>
    <s v="HVAC 1_V2 fault"/>
    <x v="0"/>
    <x v="2"/>
    <m/>
    <x v="0"/>
  </r>
  <r>
    <d v="2021-11-21T00:00:00"/>
    <s v="TIR0102"/>
    <x v="3"/>
    <s v="Mail"/>
    <n v="421"/>
    <s v="Emergency ventilation fault _x000a_HVAC2-V2"/>
    <x v="1"/>
    <x v="2"/>
    <m/>
    <x v="2"/>
  </r>
  <r>
    <d v="2021-11-21T00:00:00"/>
    <s v="TIR0095"/>
    <x v="3"/>
    <s v="Mail"/>
    <n v="602"/>
    <s v="Mainline launching D4/6._x000a_the driver noticed during departure from 6F1 train jerking and like sparking "/>
    <x v="3"/>
    <x v="1"/>
    <s v="CCD Cable missing _x000a_HC1-BOGIE2_Fuse box to JB one HV cable not available."/>
    <x v="0"/>
  </r>
  <r>
    <d v="2021-11-21T00:00:00"/>
    <s v="TIR0093"/>
    <x v="2"/>
    <s v="CM"/>
    <n v="610"/>
    <s v="HC1 Horn not working"/>
    <x v="0"/>
    <x v="2"/>
    <s v="Horn connector not proeprly connected"/>
    <x v="1"/>
  </r>
  <r>
    <d v="2021-11-21T00:00:00"/>
    <s v="TIR1022"/>
    <x v="3"/>
    <s v="Mail"/>
    <n v="616"/>
    <s v="Mainline launching D4/6._x000a_IOS179"/>
    <x v="1"/>
    <x v="2"/>
    <m/>
    <x v="1"/>
  </r>
  <r>
    <d v="2021-11-23T00:00:00"/>
    <s v="TIR0104"/>
    <x v="0"/>
    <s v="NA"/>
    <n v="403"/>
    <s v="PEI4_V1 fault, lost com, "/>
    <x v="0"/>
    <x v="0"/>
    <s v="Updated software still pei lost communication. Replaced a new one and test ok."/>
    <x v="0"/>
  </r>
  <r>
    <d v="2021-11-23T00:00:00"/>
    <s v="TIR0105"/>
    <x v="0"/>
    <s v="NA"/>
    <n v="606"/>
    <s v="SWD1_V1 blinking issue"/>
    <x v="0"/>
    <x v="0"/>
    <s v="12/9/2021:To investigate_x000a_12/26/2021:Updated again software manually and test it online and display OK"/>
    <x v="0"/>
  </r>
  <r>
    <d v="2021-11-23T00:00:00"/>
    <s v="TIR0106"/>
    <x v="3"/>
    <s v="Mail"/>
    <n v="601"/>
    <s v="PEI2_V1,PEI1_V2,PEI3_V2,PEI5_V2"/>
    <x v="0"/>
    <x v="1"/>
    <s v="update the software Manually all PEI Online. Date:24/11/2021 again cross In ism(pei2_v1,pei1_v2,pei5_v2) need to replace "/>
    <x v="0"/>
  </r>
  <r>
    <d v="2021-11-23T00:00:00"/>
    <s v="TIR0108"/>
    <x v="3"/>
    <s v="Mail"/>
    <n v="420"/>
    <s v=" combine test RST NOK"/>
    <x v="0"/>
    <x v="1"/>
    <s v="Door #1 hc2 Found cable mechanically not connected in proper pulley"/>
    <x v="0"/>
  </r>
  <r>
    <d v="2021-11-23T00:00:00"/>
    <s v="TIR0107"/>
    <x v="3"/>
    <s v="Mail"/>
    <n v="603"/>
    <s v="Red light Door3 V1"/>
    <x v="0"/>
    <x v="1"/>
    <m/>
    <x v="1"/>
  </r>
  <r>
    <d v="2021-11-25T00:00:00"/>
    <s v="TIR0109"/>
    <x v="3"/>
    <s v="Mail"/>
    <n v="604"/>
    <s v="TOM issue : IOS 191 and F_N VR1Lostcom"/>
    <x v="0"/>
    <x v="2"/>
    <s v="Checekd and found NVR HDD1 faulty since 19/7/2021. Swapped HDD and confirmed HDD malfunction, already replaced and test it."/>
    <x v="0"/>
  </r>
  <r>
    <d v="2021-11-25T00:00:00"/>
    <s v="TIR0110"/>
    <x v="3"/>
    <s v="Mail"/>
    <n v="516"/>
    <s v="BRIO 72A32 faulty"/>
    <x v="1"/>
    <x v="2"/>
    <s v="Checked and confirmed that BRIO 72A32 faulty (Analog input and output) failure. Need to replace."/>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r>
  <r>
    <d v="2021-11-29T00:00:00"/>
    <s v="TIR0112"/>
    <x v="2"/>
    <s v="NA"/>
    <n v="411"/>
    <s v="PEI5-V1 NOK from ISM"/>
    <x v="0"/>
    <x v="0"/>
    <s v="Updated PEI software and PEI status is good in ISM side,"/>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r>
  <r>
    <d v="2021-11-29T00:00:00"/>
    <s v="TIR0113"/>
    <x v="2"/>
    <s v="NA"/>
    <n v="610"/>
    <s v="CB 61Q05 trip during rescue coupling "/>
    <x v="0"/>
    <x v="1"/>
    <s v="During the Rescue coupling they coupled 612HC2 and 610HC1 side the problem we found in 612 HC2. two cables was cross in PB+RP3(WF00105\108 and WF00103_01\107)"/>
    <x v="1"/>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r>
  <r>
    <d v="2021-11-30T00:00:00"/>
    <s v="TIR0115"/>
    <x v="3"/>
    <s v="Mail"/>
    <n v="418"/>
    <s v="IOS179 + IOS185"/>
    <x v="0"/>
    <x v="2"/>
    <s v="Found ACE2 has critical faults, after reset no more IOSs."/>
    <x v="0"/>
  </r>
  <r>
    <d v="2021-11-30T00:00:00"/>
    <s v="TIR0119"/>
    <x v="3"/>
    <s v="Mail"/>
    <n v="410"/>
    <s v="IOS191 : Loss of video recorder."/>
    <x v="0"/>
    <x v="2"/>
    <s v="Found NVR IP is online but TOM NOK also from the MPU logs shown_x000a_ “F_NVR1LostCom then F_NVR1Fault” and shown faulty LED light on the device"/>
    <x v="0"/>
  </r>
  <r>
    <d v="2021-11-30T00:00:00"/>
    <s v="TIR0121"/>
    <x v="6"/>
    <s v="NA"/>
    <n v="404"/>
    <s v="Both TCCU have not same software "/>
    <x v="0"/>
    <x v="0"/>
    <s v="Updated both TCCU to STR570 verstion"/>
    <x v="0"/>
  </r>
  <r>
    <d v="2021-11-30T00:00:00"/>
    <s v="TIR0122"/>
    <x v="3"/>
    <s v="Mail"/>
    <n v="651"/>
    <s v="WSP + Holding brake issue "/>
    <x v="0"/>
    <x v="3"/>
    <s v="05/12 : A-MATRIC of train 604 replaced and programmed."/>
    <x v="0"/>
  </r>
  <r>
    <d v="2021-11-30T00:00:00"/>
    <s v="TIR0123"/>
    <x v="3"/>
    <s v="Alarm Viewer Alarms Report"/>
    <n v="405"/>
    <s v="IOS196 &quot; PEI of line &quot;"/>
    <x v="0"/>
    <x v="5"/>
    <s v="Updated the pei software and online"/>
    <x v="0"/>
  </r>
  <r>
    <d v="2021-11-30T00:00:00"/>
    <s v="TIR0118"/>
    <x v="3"/>
    <s v="Mail"/>
    <n v="623"/>
    <s v="IOS227"/>
    <x v="3"/>
    <x v="2"/>
    <s v="Highlighted by TC thru Irvin ~12:49 but train is moving,_x000a_ Checked and found in PCE1 have QNEB failure many times."/>
    <x v="0"/>
  </r>
  <r>
    <d v="2021-11-30T00:00:00"/>
    <s v="TIR0125"/>
    <x v="3"/>
    <s v="Alarm Viewer Alarms Report"/>
    <n v="601"/>
    <s v="IOS196 &quot; PEI of line &quot;_x000a_LCD5-V2 error display_x000a_LEDI5-V2 error display"/>
    <x v="1"/>
    <x v="0"/>
    <s v="Updaed software manually and test ok"/>
    <x v="1"/>
  </r>
  <r>
    <d v="2021-11-30T00:00:00"/>
    <s v="TIR0126"/>
    <x v="3"/>
    <s v="NA"/>
    <n v="512"/>
    <s v="IOS179 + IOS180"/>
    <x v="2"/>
    <x v="2"/>
    <s v="CVS1 faulty due to HVAC2_V1 compressor fault and HVAC1_V1 ventilation fault (overcurrent). Switch off HVAC 52Q06 CB and reset CVS1, CVS working normal.Nedd to checked HVAC compressor."/>
    <x v="3"/>
  </r>
  <r>
    <d v="2021-11-30T00:00:00"/>
    <s v="TIR0114"/>
    <x v="3"/>
    <s v="Mail"/>
    <n v="404"/>
    <s v="IOS263/IOS250_x000a_both V2 HVAC NOK then only HVAC1_V2 NOK"/>
    <x v="0"/>
    <x v="1"/>
    <s v="No issue found"/>
    <x v="1"/>
  </r>
  <r>
    <d v="2021-11-30T00:00:00"/>
    <s v="TIR0116"/>
    <x v="3"/>
    <s v="Mail"/>
    <n v="624"/>
    <s v="IOS061 + IOS071"/>
    <x v="0"/>
    <x v="1"/>
    <s v="Found EAD2_V2’s key not in proper position. After normalized it no more IOSs."/>
    <x v="1"/>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r>
  <r>
    <d v="2021-11-30T00:00:00"/>
    <s v="TIR0120"/>
    <x v="6"/>
    <s v="NA"/>
    <n v="414"/>
    <s v="Train communication issue see in the log"/>
    <x v="0"/>
    <x v="3"/>
    <s v="30/12 : Train checked and communication with all equipment ok. Issue happened last 14 November with communication lost with CRS1_V1 first."/>
    <x v="1"/>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r>
  <r>
    <d v="2021-11-30T00:00:00"/>
    <s v="TIR1023"/>
    <x v="3"/>
    <s v="Alarm Viewer Alarms Report"/>
    <n v="409"/>
    <s v="IOS196 &quot; PEI of line &quot;"/>
    <x v="1"/>
    <x v="5"/>
    <s v="Checked all PEIs online"/>
    <x v="1"/>
  </r>
  <r>
    <d v="2021-12-01T00:00:00"/>
    <s v="TIR0128"/>
    <x v="2"/>
    <s v="Mail"/>
    <n v="603"/>
    <s v="TU4:EB in UTO/ATPM mode"/>
    <x v="0"/>
    <x v="3"/>
    <s v="Found one wire W56802 wrongly connected and correct it, and no more EB happened"/>
    <x v="0"/>
  </r>
  <r>
    <d v="2021-12-01T00:00:00"/>
    <s v="TIR0129"/>
    <x v="2"/>
    <s v="Mail"/>
    <n v="618"/>
    <s v="TU4:EB in UTO/ATPM mode"/>
    <x v="0"/>
    <x v="0"/>
    <s v="Checked the wires are OK, and no issue found, to test it"/>
    <x v="0"/>
  </r>
  <r>
    <d v="2021-12-01T00:00:00"/>
    <s v="TIR0130"/>
    <x v="3"/>
    <s v="Mail"/>
    <n v="410"/>
    <s v="NVR fault"/>
    <x v="0"/>
    <x v="2"/>
    <s v="NVR lost communication and after checked by STE local support, confirmed NVR lost communication everytime train wake up. NVR will be replaced."/>
    <x v="0"/>
  </r>
  <r>
    <d v="2021-12-05T00:00:00"/>
    <s v="TIR0131"/>
    <x v="2"/>
    <s v="NA"/>
    <n v="414"/>
    <s v="DRM4 , DRM5 , LCD5 , LID4 , LID5 _x000a_loss of communication"/>
    <x v="0"/>
    <x v="0"/>
    <s v="Checked on 07/12/2021,and follow to  TIR173"/>
    <x v="0"/>
  </r>
  <r>
    <d v="2021-12-05T00:00:00"/>
    <s v="TIR0132"/>
    <x v="2"/>
    <s v="NA"/>
    <n v="409"/>
    <s v="SWD2-V2 offline"/>
    <x v="0"/>
    <x v="0"/>
    <s v="Updated again software manually and test it online and display OK"/>
    <x v="0"/>
  </r>
  <r>
    <d v="2021-12-05T00:00:00"/>
    <s v="TIR0136"/>
    <x v="3"/>
    <s v="Mail"/>
    <n v="413"/>
    <s v="IOS264 : More than one MUC have a communication fault"/>
    <x v="0"/>
    <x v="0"/>
    <s v="Update the TCCU2 software and no more ios264"/>
    <x v="0"/>
  </r>
  <r>
    <d v="2021-12-05T00:00:00"/>
    <s v="TIR0134"/>
    <x v="0"/>
    <s v="PM1950"/>
    <n v="418"/>
    <s v="Hc1- Door1 glass Minor cracked at corner"/>
    <x v="1"/>
    <x v="1"/>
    <s v="Need to Reapair "/>
    <x v="3"/>
  </r>
  <r>
    <d v="2021-12-05T00:00:00"/>
    <s v="TIR0135"/>
    <x v="3"/>
    <s v="NA"/>
    <n v="624"/>
    <s v="Hc1- Door4 and Window glass Scratches"/>
    <x v="1"/>
    <x v="1"/>
    <s v="Reapaired by Painter"/>
    <x v="3"/>
  </r>
  <r>
    <d v="2021-12-05T00:00:00"/>
    <s v="TIR0140"/>
    <x v="3"/>
    <s v="RMDT Report"/>
    <n v="623"/>
    <s v="IOS196 : Loss of PEI"/>
    <x v="1"/>
    <x v="5"/>
    <s v="PEI E2 port faulty - to be replaced with new one_x000a_2/6/2022: found PEI3-V1 report lost communication; Updated software manually and test ok"/>
    <x v="1"/>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r>
  <r>
    <d v="2021-12-05T00:00:00"/>
    <s v="TIR0138"/>
    <x v="3"/>
    <s v="RMDT Report"/>
    <n v="407"/>
    <s v="TS 407: “IOS96 : Discrepancy between K_ZeroVel relay and BCE or PCE or ATC”,_x000a_"/>
    <x v="0"/>
    <x v="3"/>
    <s v="07/12 : From MPU log no IOS96 triggered. Logs checked from 23 november to 7 december."/>
    <x v="1"/>
  </r>
  <r>
    <d v="2021-12-05T00:00:00"/>
    <s v="TIR1024"/>
    <x v="2"/>
    <s v="NA"/>
    <n v="416"/>
    <s v="PEI2-V1 loss of communication"/>
    <x v="1"/>
    <x v="5"/>
    <s v="Checked and no issue found"/>
    <x v="1"/>
  </r>
  <r>
    <d v="2021-12-05T00:00:00"/>
    <s v="TIR1025"/>
    <x v="3"/>
    <s v="RMDT Report"/>
    <n v="422"/>
    <s v="IOS196 : Loss of PEI"/>
    <x v="1"/>
    <x v="5"/>
    <s v="Checked PEIs all online"/>
    <x v="1"/>
  </r>
  <r>
    <d v="2021-12-06T00:00:00"/>
    <s v="TIR0141"/>
    <x v="0"/>
    <s v="NA"/>
    <n v="605"/>
    <s v="LEDI fail to power up"/>
    <x v="0"/>
    <x v="0"/>
    <s v="Replaced a new LEDI and updated software OK"/>
    <x v="0"/>
  </r>
  <r>
    <d v="2021-12-06T00:00:00"/>
    <s v="TIR0150"/>
    <x v="0"/>
    <s v="PM2028"/>
    <n v="608"/>
    <s v="HC2-RHS Saloon lights Dim."/>
    <x v="0"/>
    <x v="1"/>
    <s v="110v to 24v DC converter output emergency Switch in 3 coverter was on worng position it should be on 100% "/>
    <x v="0"/>
  </r>
  <r>
    <d v="2021-12-06T00:00:00"/>
    <s v="TIR0154"/>
    <x v="0"/>
    <s v="PM2026"/>
    <n v="412"/>
    <s v="hc1 axle 3 oil level low hc2 axle 2 oil level low"/>
    <x v="0"/>
    <x v="3"/>
    <s v="08/12 : visual inspection done. No leakage found, need to normalize the oil level. All other axle are close to the low level also. "/>
    <x v="0"/>
  </r>
  <r>
    <d v="2021-12-06T00:00:00"/>
    <s v="TIR0155"/>
    <x v="0"/>
    <s v="PM2026"/>
    <n v="412"/>
    <s v="HC1-CAB LIGHT DIM ,                                                                                                                                                       HC1-GANGWAY LIGHT DIM"/>
    <x v="0"/>
    <x v="0"/>
    <s v="12/9/2021:To investigate_x000a_12/19/2021:Adjust the light parameters and light is OK"/>
    <x v="0"/>
  </r>
  <r>
    <d v="2021-12-06T00:00:00"/>
    <s v="TIR0156"/>
    <x v="0"/>
    <s v="PM2025"/>
    <n v="411"/>
    <s v="HC1- Cab light Dim, HC1&amp;2-GANGWAY LIGHT DIM"/>
    <x v="0"/>
    <x v="0"/>
    <s v="12/9/2021:To investigate_x000a_12/19/2021:Adjust the light parameters and light is OK"/>
    <x v="0"/>
  </r>
  <r>
    <d v="2021-12-06T00:00:00"/>
    <s v="TIR0166"/>
    <x v="3"/>
    <s v="Mail"/>
    <n v="623"/>
    <s v="Ledi6_V2 - blank"/>
    <x v="0"/>
    <x v="0"/>
    <s v="Updated software manuall and test OK"/>
    <x v="0"/>
  </r>
  <r>
    <d v="2021-12-06T00:00:00"/>
    <s v="TIR0168"/>
    <x v="6"/>
    <s v="Mail"/>
    <n v="619"/>
    <s v="Lcd1_V2, ledi1_V2, swd1_V2 &amp; ledi5_V2 blank &amp; multimedia not update"/>
    <x v="0"/>
    <x v="0"/>
    <s v="12/9/2021:To investigate_x000a_1/9/2022:update media OK,   checked other devices ok."/>
    <x v="0"/>
  </r>
  <r>
    <d v="2021-12-06T00:00:00"/>
    <s v="TIR0169"/>
    <x v="3"/>
    <s v="Mail"/>
    <n v="613"/>
    <s v="IOS226: Loss of traction and ED brake on one PCE"/>
    <x v="0"/>
    <x v="2"/>
    <s v="Checked and found same issue with 404, logs already send and waiting for feedback. SW09"/>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r>
  <r>
    <d v="2021-12-06T00:00:00"/>
    <s v="TIR0145"/>
    <x v="0"/>
    <s v="PM2030"/>
    <n v="623"/>
    <s v="HC1-GCR saloon light not lit"/>
    <x v="1"/>
    <x v="1"/>
    <m/>
    <x v="0"/>
  </r>
  <r>
    <d v="2021-12-06T00:00:00"/>
    <s v="TIR0146"/>
    <x v="0"/>
    <s v="PM2030"/>
    <n v="623"/>
    <s v="HC1-stinger cap cover broken"/>
    <x v="1"/>
    <x v="1"/>
    <m/>
    <x v="3"/>
  </r>
  <r>
    <d v="2021-12-06T00:00:00"/>
    <s v="TIR0148"/>
    <x v="0"/>
    <s v="PM2028"/>
    <n v="608"/>
    <s v="1.HVAC-Roof Panel gap filler  plate not fixed(near to Gangway)"/>
    <x v="1"/>
    <x v="1"/>
    <s v="Parts not available"/>
    <x v="3"/>
  </r>
  <r>
    <d v="2021-12-06T00:00:00"/>
    <s v="TIR0151"/>
    <x v="0"/>
    <s v="PM2027"/>
    <n v="603"/>
    <s v="HC2-Bogie1_Axle2 minor air leakage "/>
    <x v="1"/>
    <x v="3"/>
    <s v="19/12 : leakage found from the spring brake part. (BRAKE UNIT WITH PARKING BRAKE)._x000a_Need to normalize by replacing the brake part."/>
    <x v="3"/>
  </r>
  <r>
    <d v="2021-12-06T00:00:00"/>
    <s v="TIR0152"/>
    <x v="0"/>
    <s v="PM2027"/>
    <n v="603"/>
    <s v="Becon Antenna screw not there(4 missing),_x000a_HC2-Left side hose not availabe,"/>
    <x v="1"/>
    <x v="1"/>
    <m/>
    <x v="3"/>
  </r>
  <r>
    <d v="2021-12-06T00:00:00"/>
    <s v="TIR0158"/>
    <x v="0"/>
    <s v="PM2025"/>
    <n v="411"/>
    <s v="HC1- Electrical Coupler NOK. ( Required Fasteners )."/>
    <x v="1"/>
    <x v="2"/>
    <s v="Waiting for spare part."/>
    <x v="3"/>
  </r>
  <r>
    <d v="2021-12-06T00:00:00"/>
    <s v="TIR0160"/>
    <x v="0"/>
    <s v="PM2031"/>
    <n v="503"/>
    <s v="Gangway lights Dim in Hc1 and Hc2,working inversely"/>
    <x v="1"/>
    <x v="1"/>
    <m/>
    <x v="0"/>
  </r>
  <r>
    <d v="2021-12-06T00:00:00"/>
    <s v="TIR0161"/>
    <x v="0"/>
    <s v="PM2031"/>
    <n v="503"/>
    <s v="HC1 Bogie2 Right- Fuse box glass minor cracked."/>
    <x v="1"/>
    <x v="2"/>
    <m/>
    <x v="3"/>
  </r>
  <r>
    <d v="2021-12-06T00:00:00"/>
    <s v="TIR0162"/>
    <x v="0"/>
    <s v="NA"/>
    <n v="608"/>
    <s v="T608_HC2_AGTU filter locked nut tread damaged."/>
    <x v="1"/>
    <x v="3"/>
    <s v="06/12 : need to change it and normalize."/>
    <x v="0"/>
  </r>
  <r>
    <d v="2021-12-06T00:00:00"/>
    <s v="TIR0163"/>
    <x v="0"/>
    <s v="NA"/>
    <n v="623"/>
    <s v="T623_HC2_RHS_ Sanding rubber hoses damaged - _x000a_1 nos. (DTR0000550155)"/>
    <x v="1"/>
    <x v="1"/>
    <s v="Need to replace "/>
    <x v="3"/>
  </r>
  <r>
    <d v="2021-12-06T00:00:00"/>
    <s v="TIR0164"/>
    <x v="0"/>
    <s v="NA"/>
    <n v="502"/>
    <s v="Sanding rubber hoses missing - 4 nos, clamp - 4pcs. (RIY 000000370)"/>
    <x v="1"/>
    <x v="1"/>
    <s v="Sending hoses need to install "/>
    <x v="3"/>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r>
  <r>
    <d v="2021-12-06T00:00:00"/>
    <s v="TIR0144"/>
    <x v="0"/>
    <s v="PM2030"/>
    <n v="623"/>
    <s v="Door-Inter glass Nok ( not closed and locked)"/>
    <x v="0"/>
    <x v="1"/>
    <m/>
    <x v="1"/>
  </r>
  <r>
    <d v="2021-12-06T00:00:00"/>
    <s v="TIR0147"/>
    <x v="0"/>
    <s v="PM2028"/>
    <n v="608"/>
    <s v="HC1-Headligh LHS white led not ok."/>
    <x v="0"/>
    <x v="1"/>
    <s v="both head light are working fine no issue found "/>
    <x v="1"/>
  </r>
  <r>
    <d v="2021-12-06T00:00:00"/>
    <s v="TIR0149"/>
    <x v="0"/>
    <s v="PM2028"/>
    <n v="608"/>
    <s v="2. Earth cable not fixed between Permanent coupler _Retofit "/>
    <x v="0"/>
    <x v="2"/>
    <m/>
    <x v="0"/>
  </r>
  <r>
    <d v="2021-12-06T00:00:00"/>
    <s v="TIR0153"/>
    <x v="0"/>
    <s v="PM2027"/>
    <n v="603"/>
    <s v="HC1-CAB Headlight Nok(LHS) BLINK,HC2-UNDER seat Light Not lit"/>
    <x v="0"/>
    <x v="1"/>
    <m/>
    <x v="1"/>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r>
  <r>
    <d v="2021-12-06T00:00:00"/>
    <s v="TIR0167"/>
    <x v="3"/>
    <s v="Mail"/>
    <n v="619"/>
    <s v="IOS185:1 APC LV Status false, _x000a_IOS179:1 APC MV Status false"/>
    <x v="0"/>
    <x v="2"/>
    <s v="Check logs in the webScope for ACE2 shown the CVS locked due to reversible mode failure.Waiting for CVS software."/>
    <x v="1"/>
  </r>
  <r>
    <d v="2021-12-06T00:00:00"/>
    <s v="TIR1026"/>
    <x v="3"/>
    <s v="Mail"/>
    <s v="All"/>
    <s v="fake derailment alarm in case of coupling."/>
    <x v="1"/>
    <x v="4"/>
    <s v="CR TCMS to open "/>
    <x v="1"/>
  </r>
  <r>
    <d v="2021-12-06T00:00:00"/>
    <s v="TIR1027"/>
    <x v="0"/>
    <s v="PM2025"/>
    <n v="411"/>
    <s v="IP offline [ HC1{ Pei5, ]  HC2-SWD.3 NOK"/>
    <x v="1"/>
    <x v="5"/>
    <s v="Replaced a new PEI and updated software OK"/>
    <x v="1"/>
  </r>
  <r>
    <d v="2021-12-07T00:00:00"/>
    <s v="TIR0171"/>
    <x v="6"/>
    <s v="NA"/>
    <n v="403"/>
    <s v="LEDI6-V1 ,LEDI4-V2 error dispaly"/>
    <x v="0"/>
    <x v="0"/>
    <s v="12/9/2021:To investigat_x000a_1/2/2022:Updated LEDI software manually and OK"/>
    <x v="0"/>
  </r>
  <r>
    <d v="2021-12-07T00:00:00"/>
    <s v="TIR0172"/>
    <x v="6"/>
    <s v="NA"/>
    <n v="619"/>
    <s v="LEDI5-V2 dark, and offline"/>
    <x v="0"/>
    <x v="0"/>
    <s v="12/9/2021:To investigate_x000a_1/3/2022:Updated software manually and test OK"/>
    <x v="0"/>
  </r>
  <r>
    <d v="2021-12-07T00:00:00"/>
    <s v="TIR0170"/>
    <x v="3"/>
    <s v="Mail"/>
    <n v="411"/>
    <s v="coupler without electrical coupler cover"/>
    <x v="1"/>
    <x v="1"/>
    <s v="coupler without electrical coupler cover need to install"/>
    <x v="3"/>
  </r>
  <r>
    <d v="2021-12-07T00:00:00"/>
    <s v="TIR0173"/>
    <x v="6"/>
    <s v="NA"/>
    <n v="414"/>
    <s v="LEDI4-V1 dark and offline_x000a_SWD5-V1 dark and offline_x000a_LCD5-V1 error display and offline"/>
    <x v="1"/>
    <x v="0"/>
    <s v="12/9/2021:To investigate_x000a_1/26/2022:Updated software manually and test OK"/>
    <x v="1"/>
  </r>
  <r>
    <d v="2021-12-08T00:00:00"/>
    <s v="TIR0174"/>
    <x v="6"/>
    <s v="NA"/>
    <n v="423"/>
    <s v="LCD6-V1,SWD6-V1,LEDI6-V1 offline_x000a_SWD4-V2 offline and dark_x000a_SWD2-V2 half display"/>
    <x v="0"/>
    <x v="0"/>
    <s v="12/9/2021:To investigate_x000a_1/5/2022:Updated software manually and test OK"/>
    <x v="0"/>
  </r>
  <r>
    <d v="2021-12-08T00:00:00"/>
    <s v="TIR0177"/>
    <x v="0"/>
    <s v="PM2035"/>
    <n v="605"/>
    <s v="HC1-Traction box bottom  cover 1 screw threat issue and 1 screw  broken,_x000a_HC2-Palm 3 cover Nok."/>
    <x v="0"/>
    <x v="2"/>
    <s v="Found 3 screw damaged because not proper installed, make new retreat. Palm tree cover refit and done."/>
    <x v="0"/>
  </r>
  <r>
    <d v="2021-12-08T00:00:00"/>
    <s v="TIR0178"/>
    <x v="0"/>
    <s v="PM2035"/>
    <n v="605"/>
    <s v="Display Status [ SWD1-V1 NOK,LCD1/V2 ]"/>
    <x v="0"/>
    <x v="0"/>
    <s v="Updated software manually and test OK"/>
    <x v="0"/>
  </r>
  <r>
    <d v="2021-12-08T00:00:00"/>
    <s v="TIR0183"/>
    <x v="0"/>
    <s v="PM2036"/>
    <n v="606"/>
    <s v="  Display status [ HC2-LCD2-NOK]"/>
    <x v="0"/>
    <x v="0"/>
    <s v="Updated again software manually and test it online and display OK"/>
    <x v="0"/>
  </r>
  <r>
    <d v="2021-12-08T00:00:00"/>
    <s v="TIR0185"/>
    <x v="0"/>
    <s v="PM2037"/>
    <n v="621"/>
    <s v="DISPLAY -HC2-LCD.2 offline NOK"/>
    <x v="0"/>
    <x v="0"/>
    <s v="Updated again software manually and test it online and display OK"/>
    <x v="0"/>
  </r>
  <r>
    <d v="2021-12-08T00:00:00"/>
    <s v="TIR0187"/>
    <x v="0"/>
    <s v="PM2040"/>
    <n v="403"/>
    <s v="HC2 - Saloon lights Dim."/>
    <x v="0"/>
    <x v="1"/>
    <s v="After 110v To 24v coverter output setting now working fine. "/>
    <x v="0"/>
  </r>
  <r>
    <d v="2021-12-08T00:00:00"/>
    <s v="TIR0188"/>
    <x v="0"/>
    <s v="PM2040"/>
    <n v="403"/>
    <s v="IP offline [ HC1 {  Ledi6 } HC2 { Ledi4 } ]_x000a_Display Status [ HC1 {Ledi6(NOK) } ,HC2 {Ledi4-ERROR} ]"/>
    <x v="0"/>
    <x v="0"/>
    <s v="See TIR171"/>
    <x v="0"/>
  </r>
  <r>
    <d v="2021-12-08T00:00:00"/>
    <s v="TIR0189"/>
    <x v="0"/>
    <s v="PM2040"/>
    <n v="403"/>
    <s v="HC2 - flange lubricator screw tighten without saftey pin lock"/>
    <x v="0"/>
    <x v="3"/>
    <s v="21/12 : One Safety pin lock missing. Normalized by putting new one "/>
    <x v="0"/>
  </r>
  <r>
    <d v="2021-12-08T00:00:00"/>
    <s v="TIR0192"/>
    <x v="0"/>
    <s v="PM2041"/>
    <n v="407"/>
    <s v="IP offline: HC1-SWD3, PEI3 HC2- ACE _x000a_                                                           Display Status: SWD3-V1"/>
    <x v="0"/>
    <x v="0"/>
    <s v="Updated software manually and test OK"/>
    <x v="0"/>
  </r>
  <r>
    <d v="2021-12-08T00:00:00"/>
    <s v="TIR0193"/>
    <x v="0"/>
    <s v="PM2042"/>
    <n v="602"/>
    <s v="HC1-SWD3,LEDI3"/>
    <x v="0"/>
    <x v="0"/>
    <s v="Updated software manually and test OK"/>
    <x v="0"/>
  </r>
  <r>
    <d v="2021-12-08T00:00:00"/>
    <s v="TIR0194"/>
    <x v="0"/>
    <s v="PM2043"/>
    <n v="617"/>
    <s v="Display status: SWD6 -HC1 ,SWD2-HC2 "/>
    <x v="0"/>
    <x v="0"/>
    <s v="Checked swd6-v1 display ok and online, But SWD2-V2 half display, need to replace it_x000a_1/9/2022:Updated SWD software manually and test OK"/>
    <x v="0"/>
  </r>
  <r>
    <d v="2021-12-08T00:00:00"/>
    <s v="TIR0195"/>
    <x v="0"/>
    <s v="PM2044"/>
    <n v="624"/>
    <s v="Display status: SWD6 -HC1 ,SWD1-HC2 "/>
    <x v="0"/>
    <x v="0"/>
    <s v="Checked the SWD display OK and Online"/>
    <x v="0"/>
  </r>
  <r>
    <d v="2021-12-08T00:00:00"/>
    <s v="TIR0175"/>
    <x v="0"/>
    <s v="PM2033"/>
    <n v="415"/>
    <s v="Earthing cable is not connected between permanent coupler"/>
    <x v="1"/>
    <x v="1"/>
    <m/>
    <x v="3"/>
  </r>
  <r>
    <d v="2021-12-08T00:00:00"/>
    <s v="TIR0179"/>
    <x v="0"/>
    <s v="PM2035"/>
    <n v="605"/>
    <s v="HC2 Bogie1 LHS Fuse box glass minor cracked."/>
    <x v="1"/>
    <x v="2"/>
    <m/>
    <x v="0"/>
  </r>
  <r>
    <d v="2021-12-08T00:00:00"/>
    <s v="TIR0180"/>
    <x v="0"/>
    <s v="PM2035"/>
    <n v="605"/>
    <s v="Jumper MV cable's holding support Plate Not available"/>
    <x v="1"/>
    <x v="2"/>
    <m/>
    <x v="0"/>
  </r>
  <r>
    <d v="2021-12-08T00:00:00"/>
    <s v="TIR0181"/>
    <x v="0"/>
    <s v="PM2036"/>
    <n v="606"/>
    <s v="HC2-Saloon Light nok"/>
    <x v="1"/>
    <x v="1"/>
    <m/>
    <x v="0"/>
  </r>
  <r>
    <d v="2021-12-08T00:00:00"/>
    <s v="TIR0182"/>
    <x v="0"/>
    <s v="PM2036"/>
    <n v="606"/>
    <s v="Gangway light mounting nok,there is a gap"/>
    <x v="1"/>
    <x v="1"/>
    <m/>
    <x v="3"/>
  </r>
  <r>
    <d v="2021-12-08T00:00:00"/>
    <s v="TIR0184"/>
    <x v="0"/>
    <s v="PM2036"/>
    <n v="606"/>
    <s v="HC2 Wiper broken."/>
    <x v="1"/>
    <x v="1"/>
    <m/>
    <x v="3"/>
  </r>
  <r>
    <d v="2021-12-08T00:00:00"/>
    <s v="TIR0186"/>
    <x v="0"/>
    <s v="PM2038"/>
    <n v="507"/>
    <s v="HC2-Single Class Fire extingusher not available"/>
    <x v="1"/>
    <x v="1"/>
    <m/>
    <x v="0"/>
  </r>
  <r>
    <d v="2021-12-08T00:00:00"/>
    <s v="TIR0190"/>
    <x v="0"/>
    <s v="PM2040"/>
    <n v="403"/>
    <s v="HC1 AXEL 1,2,3 GEAR BOX OIL LEVEL LOW"/>
    <x v="1"/>
    <x v="3"/>
    <s v="21/12 : leakage found from the inspection cover (gearbox) Axle 2 HC1"/>
    <x v="3"/>
  </r>
  <r>
    <d v="2021-12-08T00:00:00"/>
    <s v="TIR0191"/>
    <x v="0"/>
    <s v="PM2041"/>
    <n v="407"/>
    <s v="HC1:Driver Cab Light not Lit ,Passenger Saloon Light nok(+RP1,RP3),        _x000a_                                                                                                                                                                  HC1&amp;2-Gangway Light Dim"/>
    <x v="1"/>
    <x v="1"/>
    <s v="we fixed other issue but Cab light need to be replaced the Converter 110v to 24v"/>
    <x v="0"/>
  </r>
  <r>
    <d v="2021-12-08T00:00:00"/>
    <s v="TIR0197"/>
    <x v="0"/>
    <s v="PM2043"/>
    <n v="617"/>
    <s v="HC1-CAB HEAD LIGHT LHS_WHITE one LED NOT LIT                      _x000a_                                                                                                                                                                                    HC1-PALM TREE LIGHT NOT LIT           "/>
    <x v="1"/>
    <x v="1"/>
    <m/>
    <x v="0"/>
  </r>
  <r>
    <d v="2021-12-08T00:00:00"/>
    <s v="TIR0198"/>
    <x v="0"/>
    <s v="PM2042"/>
    <n v="502"/>
    <s v="HC2 Axle 4 found minor leakage from the gearbox."/>
    <x v="1"/>
    <x v="3"/>
    <s v="4/1/2022 - NCR create for the drain plug O-ring."/>
    <x v="3"/>
  </r>
  <r>
    <d v="2021-12-08T00:00:00"/>
    <s v="TIR0199"/>
    <x v="0"/>
    <s v="PM2045"/>
    <n v="502"/>
    <s v="Sand hose not available in both HC."/>
    <x v="1"/>
    <x v="3"/>
    <s v="7/12 : NCR open. Waiting the availaibility of parts"/>
    <x v="3"/>
  </r>
  <r>
    <d v="2021-12-08T00:00:00"/>
    <s v="TIR1028"/>
    <x v="0"/>
    <s v="PM2034"/>
    <n v="604"/>
    <s v="HC1-Axle1&amp;2 Gear box oil level low"/>
    <x v="1"/>
    <x v="3"/>
    <s v="02/14 : checked and no leakage found. Need to normalize, level very low for the axle2 Hc1. need to check also for 606 axle 1,3,4 Hc1 and axle3 hc2 level low."/>
    <x v="4"/>
  </r>
  <r>
    <d v="2021-12-08T00:00:00"/>
    <s v="TIR1029"/>
    <x v="0"/>
    <s v="PM2044"/>
    <n v="624"/>
    <s v="HVAC -Venting error"/>
    <x v="2"/>
    <x v="1"/>
    <m/>
    <x v="1"/>
  </r>
  <r>
    <d v="2021-12-09T00:00:00"/>
    <s v="TIR0203"/>
    <x v="0"/>
    <s v="Mail"/>
    <n v="616"/>
    <s v="SWD5-V1 half display"/>
    <x v="0"/>
    <x v="0"/>
    <s v="Updated again software manually,and replaced a card inside SWD,  and OK"/>
    <x v="0"/>
  </r>
  <r>
    <d v="2021-12-09T00:00:00"/>
    <s v="TIR0205"/>
    <x v="0"/>
    <s v="PM2048"/>
    <n v="610"/>
    <s v="IP-lcd2.v2,lcd5.v2,led5.v2,swd2.v2 offline, _x000a_Display status-LCD1.V1,LCD4.V1,LCD5.V2,LCD3.V2(low light)"/>
    <x v="0"/>
    <x v="0"/>
    <s v="Updated the software and they online, display OK."/>
    <x v="0"/>
  </r>
  <r>
    <d v="2021-12-09T00:00:00"/>
    <s v="TIR0202"/>
    <x v="3"/>
    <s v="Mail"/>
    <n v="601"/>
    <s v="T601_HC2- missing of sand filter assembly"/>
    <x v="1"/>
    <x v="3"/>
    <s v="12/12 : Confirmed part is missing. Need to normalize. Waiting to confirm the availablity of components from faively."/>
    <x v="3"/>
  </r>
  <r>
    <d v="2021-12-09T00:00:00"/>
    <s v="TIR0204"/>
    <x v="0"/>
    <s v="PM2048"/>
    <n v="610"/>
    <s v="HC1 Headlight one white led not ok."/>
    <x v="1"/>
    <x v="1"/>
    <m/>
    <x v="3"/>
  </r>
  <r>
    <d v="2021-12-09T00:00:00"/>
    <s v="TIR0207"/>
    <x v="0"/>
    <s v="PM2052"/>
    <n v="512"/>
    <s v="HC2- Head Light Nok(LHS 1 white LED not lit)"/>
    <x v="1"/>
    <x v="1"/>
    <m/>
    <x v="3"/>
  </r>
  <r>
    <d v="2021-12-09T00:00:00"/>
    <s v="TIR0208"/>
    <x v="0"/>
    <s v="PM2053"/>
    <n v="513"/>
    <s v="TCN NOK -several devices are  communcation fail "/>
    <x v="3"/>
    <x v="3"/>
    <m/>
    <x v="0"/>
  </r>
  <r>
    <d v="2021-12-09T00:00:00"/>
    <s v="TIR0209"/>
    <x v="0"/>
    <s v="PM2050"/>
    <n v="618"/>
    <s v="Semi permanent coupler earthing bolt is missing,and Earth _x000a_strip is lose both sides."/>
    <x v="1"/>
    <x v="1"/>
    <m/>
    <x v="3"/>
  </r>
  <r>
    <d v="2021-12-09T00:00:00"/>
    <s v="TIR0210"/>
    <x v="0"/>
    <s v="PM2051"/>
    <n v="622"/>
    <s v="Semi permanent coupler earthing bolt is missing."/>
    <x v="1"/>
    <x v="1"/>
    <m/>
    <x v="3"/>
  </r>
  <r>
    <d v="2021-12-09T00:00:00"/>
    <s v="TIR0201"/>
    <x v="3"/>
    <s v="Mail"/>
    <n v="617"/>
    <s v="IOS148 : IES consistency failure"/>
    <x v="0"/>
    <x v="2"/>
    <s v="Checked train in workshop and no issues observed with IES and traction working normal."/>
    <x v="1"/>
  </r>
  <r>
    <d v="2021-12-09T00:00:00"/>
    <s v="TIR0206"/>
    <x v="0"/>
    <s v="PM2052"/>
    <n v="512"/>
    <s v="HC1-HVAC1 venting error Supply fan 1&amp;2 low and high"/>
    <x v="0"/>
    <x v="1"/>
    <s v="checked by Ahmed"/>
    <x v="1"/>
  </r>
  <r>
    <d v="2021-12-09T00:00:00"/>
    <s v="TIR0211"/>
    <x v="0"/>
    <s v="PM2049"/>
    <n v="612"/>
    <s v="Semi permanent coupler earthing bolt is missing."/>
    <x v="0"/>
    <x v="1"/>
    <m/>
    <x v="1"/>
  </r>
  <r>
    <d v="2021-12-12T00:00:00"/>
    <s v="TIR0217"/>
    <x v="0"/>
    <s v="PM2055"/>
    <n v="408"/>
    <s v="HC1- underframe cable no.W07324  ground not connected"/>
    <x v="0"/>
    <x v="3"/>
    <s v="23/12 : Bolt was missing. Normalize by putting new one with 2 washer. "/>
    <x v="0"/>
  </r>
  <r>
    <d v="2021-12-12T00:00:00"/>
    <s v="TIR0219"/>
    <x v="0"/>
    <s v="PM2056"/>
    <n v="409"/>
    <s v="IP offline - Swd2-v2 _x000a_Display status -Swd2-v2 ( NOK ) "/>
    <x v="0"/>
    <x v="0"/>
    <s v="Updated again software manually and test it online and display OK"/>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r>
  <r>
    <d v="2021-12-12T00:00:00"/>
    <s v="TIR0224"/>
    <x v="0"/>
    <s v="PM2058"/>
    <n v="614"/>
    <s v="IP offline [ HC2 -SWD5  ]_x000a_Display Status [ HC2 {SWD2 HALF }  { SWD5 NOK }"/>
    <x v="0"/>
    <x v="0"/>
    <s v="Replaced a new card inside SWD and updated software manually and OK"/>
    <x v="0"/>
  </r>
  <r>
    <d v="2021-12-12T00:00:00"/>
    <s v="TIR0214"/>
    <x v="0"/>
    <s v="PM2054"/>
    <n v="404"/>
    <s v="HC1 Bogie1- One HV cable gland missing from the underframe JB."/>
    <x v="1"/>
    <x v="2"/>
    <m/>
    <x v="3"/>
  </r>
  <r>
    <d v="2021-12-12T00:00:00"/>
    <s v="TIR0215"/>
    <x v="0"/>
    <s v="PM2054"/>
    <n v="404"/>
    <s v="HC1-GCL fire extinguisher holding plate not assembled_x000a_(so Fire extinguisher not available)"/>
    <x v="1"/>
    <x v="1"/>
    <m/>
    <x v="0"/>
  </r>
  <r>
    <d v="2021-12-12T00:00:00"/>
    <s v="TIR0216"/>
    <x v="0"/>
    <s v="PM2054"/>
    <n v="404"/>
    <s v="HC1-Saloon Light NOk.(Near door 4,black spot)"/>
    <x v="1"/>
    <x v="1"/>
    <m/>
    <x v="0"/>
  </r>
  <r>
    <d v="2021-12-12T00:00:00"/>
    <s v="TIR0218"/>
    <x v="0"/>
    <s v="PM2056"/>
    <n v="409"/>
    <s v="HC1-Gangway lights DIM   HC2- Some saloon lights not ok and some of them are dim."/>
    <x v="1"/>
    <x v="1"/>
    <s v="other issue we fixed but Hc2 saloon light need to be replaced the coverter 110v to 24v"/>
    <x v="0"/>
  </r>
  <r>
    <d v="2021-12-12T00:00:00"/>
    <s v="TIR0220"/>
    <x v="0"/>
    <s v="PM2057"/>
    <n v="611"/>
    <s v="HC2-LHS head light Nok(white one LED)"/>
    <x v="1"/>
    <x v="1"/>
    <m/>
    <x v="3"/>
  </r>
  <r>
    <d v="2021-12-12T00:00:00"/>
    <s v="TIR0221"/>
    <x v="0"/>
    <s v="PM2057"/>
    <n v="611"/>
    <s v="HC1- Near Door3 saloon light spot more brightness,Gangway Light Dim,    _x000a_ HC2-Passenger Saloon Light Not Lit(+RP3)"/>
    <x v="1"/>
    <x v="1"/>
    <s v="Gangway light now working fine but RP3 light converter need to replace "/>
    <x v="0"/>
  </r>
  <r>
    <d v="2021-12-12T00:00:00"/>
    <s v="TIR0223"/>
    <x v="0"/>
    <s v="PM2057"/>
    <n v="611"/>
    <s v="Hc2- gearbox #4oil level below minimum"/>
    <x v="3"/>
    <x v="3"/>
    <s v="13/12 : leakage found from the inspection cover (gearbox)"/>
    <x v="0"/>
  </r>
  <r>
    <d v="2021-12-13T00:00:00"/>
    <s v="TIR0228"/>
    <x v="0"/>
    <s v="PM2065"/>
    <n v="515"/>
    <s v="TCN-Fail  for Netbox,Netmm1.local,netmm2.local,netmm.virt.local-IP offline"/>
    <x v="0"/>
    <x v="3"/>
    <s v="28/12 : Breakers was OFF. All equipments are online after switch ON the breakers."/>
    <x v="0"/>
  </r>
  <r>
    <d v="2021-12-13T00:00:00"/>
    <s v="TIR0225"/>
    <x v="6"/>
    <s v="NA"/>
    <n v="608"/>
    <s v="LEDI4-V1 Dark issue_x000a_LCD2-V2 deem issue                                                                                                                                                                                                                                                                                                                                SWD3-V1 half display"/>
    <x v="1"/>
    <x v="0"/>
    <s v="updated software manually and test ok"/>
    <x v="0"/>
  </r>
  <r>
    <d v="2021-12-13T00:00:00"/>
    <s v="TIR0226"/>
    <x v="6"/>
    <s v="NA"/>
    <n v="626"/>
    <s v="LCD6-V2 dark issue"/>
    <x v="1"/>
    <x v="0"/>
    <s v="Updated LCD software manually and test OK"/>
    <x v="1"/>
  </r>
  <r>
    <d v="2021-12-13T00:00:00"/>
    <s v="TIR0227"/>
    <x v="0"/>
    <s v="PM2065"/>
    <n v="508"/>
    <s v="HC1 1 bolt ,HC2 2 bolt not available in Becon Antenna"/>
    <x v="1"/>
    <x v="3"/>
    <s v="27/12 : Bolt missing. DTR sent to check if we have in the warehouse."/>
    <x v="3"/>
  </r>
  <r>
    <d v="2021-12-13T00:00:00"/>
    <s v="TIR0229"/>
    <x v="0"/>
    <s v="PM2065"/>
    <n v="515"/>
    <s v="HC1-flange lubricator saftey pin missing"/>
    <x v="1"/>
    <x v="3"/>
    <s v="27/12 : 2 safety pin missing. spare not available. Waiting to order and normalize by putting the missing part"/>
    <x v="3"/>
  </r>
  <r>
    <d v="2021-12-13T00:00:00"/>
    <s v="TIR0230"/>
    <x v="4"/>
    <s v="NA"/>
    <n v="625"/>
    <s v="IOS275: Communication Loss of CRS 1 (HC1)"/>
    <x v="3"/>
    <x v="3"/>
    <s v="14/12 : hardware issue coming from DC/DC converter. Need to replace it."/>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r>
  <r>
    <d v="2021-12-14T00:00:00"/>
    <s v="TIR0233"/>
    <x v="0"/>
    <s v="PM2072"/>
    <n v="619"/>
    <s v="HC1(CVS BOX) GASKET DAMAGE"/>
    <x v="0"/>
    <x v="2"/>
    <m/>
    <x v="1"/>
  </r>
  <r>
    <d v="2021-12-14T00:00:00"/>
    <s v="TIR1031"/>
    <x v="0"/>
    <s v="PM2068"/>
    <n v="406"/>
    <s v="HC-02, celling panel near to gangway screw is not alligned"/>
    <x v="1"/>
    <x v="5"/>
    <m/>
    <x v="1"/>
  </r>
  <r>
    <d v="2021-12-15T00:00:00"/>
    <s v="TIR0235"/>
    <x v="6"/>
    <s v="NA"/>
    <n v="624"/>
    <s v="SWD4-V2 half display"/>
    <x v="0"/>
    <x v="0"/>
    <s v="Replaced a card and updated software manually OK"/>
    <x v="0"/>
  </r>
  <r>
    <d v="2021-12-15T00:00:00"/>
    <s v="TIR0239"/>
    <x v="0"/>
    <s v="PM2076"/>
    <n v="416"/>
    <s v="HC1-Paration door interglass fail to close (stuck)"/>
    <x v="0"/>
    <x v="1"/>
    <s v="after the door Adjustments door working fine"/>
    <x v="0"/>
  </r>
  <r>
    <d v="2021-12-15T00:00:00"/>
    <s v="TIR0240"/>
    <x v="0"/>
    <s v="PM2077"/>
    <n v="424"/>
    <s v="HC1-Palm Tree 2 Light-Dim"/>
    <x v="0"/>
    <x v="1"/>
    <s v="set the output of 110V TO 24V coverter now working fine"/>
    <x v="0"/>
  </r>
  <r>
    <d v="2021-12-15T00:00:00"/>
    <s v="TIR0241"/>
    <x v="0"/>
    <s v="PM2077"/>
    <n v="424"/>
    <s v="IP-ledi4.v1 offline"/>
    <x v="0"/>
    <x v="0"/>
    <s v="Updated software manually and test OK"/>
    <x v="0"/>
  </r>
  <r>
    <d v="2021-12-15T00:00:00"/>
    <s v="TIR0243"/>
    <x v="0"/>
    <s v="PM2077"/>
    <n v="424"/>
    <s v="HC2 : BOGIE NO 2  -WFL LOCKING SAFETY PIN IS MISSING"/>
    <x v="0"/>
    <x v="3"/>
    <s v="21/12 : Two saftey pin lock missing. Normalized by putting now one "/>
    <x v="0"/>
  </r>
  <r>
    <d v="2021-12-15T00:00:00"/>
    <s v="TIR0236"/>
    <x v="6"/>
    <s v="NA"/>
    <n v="612"/>
    <s v="LCD1_V1 ,LCD4-V1 ;LCD2-V2,LCD3-V2 deem issue_x000a_LCD5-V2 offline and dark issue"/>
    <x v="1"/>
    <x v="0"/>
    <s v="updated software manually and test ok"/>
    <x v="0"/>
  </r>
  <r>
    <d v="2021-12-15T00:00:00"/>
    <s v="TIR0244"/>
    <x v="0"/>
    <s v="PM2078"/>
    <n v="613"/>
    <s v="Display status: lcd4.v1(dim)"/>
    <x v="1"/>
    <x v="0"/>
    <s v="Updated LCD software manually and test OK"/>
    <x v="0"/>
  </r>
  <r>
    <d v="2021-12-15T00:00:00"/>
    <s v="TIR0242"/>
    <x v="0"/>
    <s v="PM2077"/>
    <n v="424"/>
    <s v="HC1: TRACTION BOX PANEL COVER( LINE CONTACTING COVER)_x000a_ LOCK IS NOT WORKING )"/>
    <x v="0"/>
    <x v="2"/>
    <m/>
    <x v="1"/>
  </r>
  <r>
    <d v="2021-12-15T00:00:00"/>
    <s v="TIR0245"/>
    <x v="0"/>
    <s v="PM2078"/>
    <n v="613"/>
    <s v="HC1: CVS filter tap screw missing( Tap damage)"/>
    <x v="0"/>
    <x v="2"/>
    <m/>
    <x v="1"/>
  </r>
  <r>
    <d v="2021-12-15T00:00:00"/>
    <s v="TIR0246"/>
    <x v="0"/>
    <s v="PM2080"/>
    <n v="626"/>
    <s v="HC-02, celling panel near to gangway screw is not alligned"/>
    <x v="0"/>
    <x v="1"/>
    <m/>
    <x v="1"/>
  </r>
  <r>
    <d v="2021-12-15T00:00:00"/>
    <s v="TIR1032"/>
    <x v="0"/>
    <s v="PM2075"/>
    <n v="414"/>
    <s v="HC2: WFL (Wheel flange Lubricator) SAFETY PIN IS MISSING( 2 NOS)"/>
    <x v="1"/>
    <x v="3"/>
    <m/>
    <x v="2"/>
  </r>
  <r>
    <d v="2021-12-15T00:00:00"/>
    <s v="TIR1033"/>
    <x v="0"/>
    <s v="PM2075"/>
    <n v="414"/>
    <s v="HC1-Inter glass door much noise when open."/>
    <x v="1"/>
    <x v="1"/>
    <s v="After Adjustment of door no more noise"/>
    <x v="0"/>
  </r>
  <r>
    <d v="2021-12-15T00:00:00"/>
    <s v="TIR1034"/>
    <x v="0"/>
    <s v="PM2082"/>
    <n v="519"/>
    <s v="HC2-B2-Axle3 found minor leakage  "/>
    <x v="1"/>
    <x v="3"/>
    <m/>
    <x v="3"/>
  </r>
  <r>
    <d v="2021-12-16T00:00:00"/>
    <s v="TIR0249"/>
    <x v="6"/>
    <s v="NA"/>
    <n v="609"/>
    <s v="LCD5-V1 white display issue"/>
    <x v="0"/>
    <x v="0"/>
    <s v="Updated software manually and test OK"/>
    <x v="0"/>
  </r>
  <r>
    <d v="2021-12-16T00:00:00"/>
    <s v="TIR0250"/>
    <x v="6"/>
    <s v="NA"/>
    <n v="602"/>
    <s v="SWD2-V1,LEDI3-V1,swd5-v2 dark and offline"/>
    <x v="0"/>
    <x v="0"/>
    <s v="Updated software manually and test OK"/>
    <x v="0"/>
  </r>
  <r>
    <d v="2021-12-16T00:00:00"/>
    <s v="TIR0248"/>
    <x v="6"/>
    <s v="NA"/>
    <n v="416"/>
    <s v="LCD6-V2 deem issue"/>
    <x v="1"/>
    <x v="0"/>
    <s v="Update software manually and test Ok"/>
    <x v="0"/>
  </r>
  <r>
    <d v="2021-12-16T00:00:00"/>
    <s v="TIR0251"/>
    <x v="0"/>
    <s v="PM2086"/>
    <n v="501"/>
    <s v="HC2-DOOR2 indication not lit"/>
    <x v="1"/>
    <x v="1"/>
    <m/>
    <x v="3"/>
  </r>
  <r>
    <d v="2021-12-16T00:00:00"/>
    <s v="TIR0253"/>
    <x v="0"/>
    <s v="PM2086"/>
    <n v="501"/>
    <s v="HC2-Sleep push button not working."/>
    <x v="1"/>
    <x v="3"/>
    <m/>
    <x v="0"/>
  </r>
  <r>
    <d v="2021-12-16T00:00:00"/>
    <s v="TIR0252"/>
    <x v="0"/>
    <s v="PM2086"/>
    <n v="501"/>
    <s v="HC2-Under seat Light not Lit in the  first class"/>
    <x v="0"/>
    <x v="1"/>
    <m/>
    <x v="1"/>
  </r>
  <r>
    <d v="2021-12-19T00:00:00"/>
    <s v="TIR0255"/>
    <x v="6"/>
    <s v="NA"/>
    <s v="413_x000a_615_x000a_612"/>
    <s v="IOS071"/>
    <x v="0"/>
    <x v="4"/>
    <s v="EAD not correctly use"/>
    <x v="0"/>
  </r>
  <r>
    <d v="2021-12-19T00:00:00"/>
    <s v="TIR0254"/>
    <x v="6"/>
    <s v="NA"/>
    <n v="610"/>
    <s v="IOS14 : 19 Oct 2021"/>
    <x v="0"/>
    <x v="4"/>
    <m/>
    <x v="1"/>
  </r>
  <r>
    <d v="2021-12-19T00:00:00"/>
    <s v="TIR0256"/>
    <x v="6"/>
    <s v="NA"/>
    <n v="403"/>
    <s v="IOS084 : sleeping relays discordance"/>
    <x v="0"/>
    <x v="3"/>
    <s v="SLV : ATC live signal issue"/>
    <x v="1"/>
  </r>
  <r>
    <d v="2021-12-20T00:00:00"/>
    <s v="TIR0259"/>
    <x v="4"/>
    <s v="NA"/>
    <n v="608"/>
    <s v="PM team IOS180 : 1 APC major failure"/>
    <x v="0"/>
    <x v="2"/>
    <s v="Found SI_XP-FAN3 connector disconnected as per picture below. _x000a_Normalized and tested. No more failure observed"/>
    <x v="0"/>
  </r>
  <r>
    <d v="2021-12-20T00:00:00"/>
    <s v="TIR0261"/>
    <x v="0"/>
    <s v="PM2095"/>
    <n v="412"/>
    <s v="HC2:SEALING PANEL ALLEN SCREW MISSING"/>
    <x v="0"/>
    <x v="1"/>
    <s v="fixed the scew no more issue "/>
    <x v="0"/>
  </r>
  <r>
    <d v="2021-12-20T00:00:00"/>
    <s v="TIR0262"/>
    <x v="0"/>
    <s v="PM2096"/>
    <n v="603"/>
    <s v="IP-LCD1.V1,LED1.V1,SWD1.V1 OFFLINE Dispaly status_LCD5.V1 white screen"/>
    <x v="0"/>
    <x v="0"/>
    <m/>
    <x v="1"/>
  </r>
  <r>
    <d v="2021-12-20T00:00:00"/>
    <s v="TIR0263"/>
    <x v="0"/>
    <s v="PM2096"/>
    <n v="603"/>
    <s v="HC1 SEALING PANEL NO 1  2ALLEN SCREWS ARE MISSING._x000a_HC2 SEALING PANEL NEAR TO GANGWAY ALLEN SCREW HEAD DAMAGE._x000a_HC2 PANEL 1  HAND RAIL SCREW MISSING AND 2ALLEN SCREW MISSING."/>
    <x v="0"/>
    <x v="1"/>
    <s v="all issue solved"/>
    <x v="0"/>
  </r>
  <r>
    <d v="2021-12-20T00:00:00"/>
    <s v="TIR0264"/>
    <x v="0"/>
    <s v="PM2096"/>
    <n v="608"/>
    <s v="HC1&amp;HC2 NEAR TO GANGWAY SEALING PANEL 2ALLEN SCREW MISSING_x000a_HC2 HAND RAIL NEAR TO DOOR NO3 SCREW WAS MISSING"/>
    <x v="0"/>
    <x v="1"/>
    <s v="Fixed the all issue "/>
    <x v="0"/>
  </r>
  <r>
    <d v="2021-12-20T00:00:00"/>
    <s v="TIR0265"/>
    <x v="0"/>
    <s v="PM2096"/>
    <n v="608"/>
    <s v="led6.v2-IP offline ;  Display status:  swd2.v2(half),swd3.v1(half)"/>
    <x v="1"/>
    <x v="0"/>
    <s v="SWD3-V1 half display issue, updated software manually and test ok"/>
    <x v="1"/>
  </r>
  <r>
    <d v="2021-12-20T00:00:00"/>
    <s v="TIR0268"/>
    <x v="0"/>
    <s v="PM2099"/>
    <n v="623"/>
    <s v="one of the bolt is wrong threaded on the converter side panel -didn’t open this panel as we don’t have tapping bit for the M6 bolt          "/>
    <x v="0"/>
    <x v="1"/>
    <s v="Replaced the new Srew and fixer"/>
    <x v="0"/>
  </r>
  <r>
    <d v="2021-12-20T00:00:00"/>
    <s v="TIR0269"/>
    <x v="0"/>
    <s v="PM2099"/>
    <n v="623"/>
    <s v="led light cover not installed (close to RP3 carB)."/>
    <x v="0"/>
    <x v="0"/>
    <s v="removed out the cover beside and Installed again the cover OK"/>
    <x v="0"/>
  </r>
  <r>
    <d v="2021-12-20T00:00:00"/>
    <s v="TIR0258"/>
    <x v="6"/>
    <s v="NA"/>
    <n v="412"/>
    <s v="LCD3-V2 dim issue"/>
    <x v="1"/>
    <x v="0"/>
    <s v="Updated LCD software manually and test OK"/>
    <x v="0"/>
  </r>
  <r>
    <d v="2021-12-20T00:00:00"/>
    <s v="TIR0260"/>
    <x v="0"/>
    <s v="PM2094"/>
    <n v="411"/>
    <s v="HC2-near door3 one seat not closing"/>
    <x v="1"/>
    <x v="1"/>
    <m/>
    <x v="0"/>
  </r>
  <r>
    <d v="2021-12-20T00:00:00"/>
    <s v="TIR1036"/>
    <x v="0"/>
    <s v="PM2098"/>
    <n v="609"/>
    <s v="HC2 PANEL NO1 ALLEN SCREW MISSING._x000a_HC2 NEAR DOOR2 SEALING PANEL ALLEN SCREW MISSING._x000a_HC1&amp;HC2NEAR TO GANGWAY PANEL ALLEN SCREWS ARE MISSING."/>
    <x v="1"/>
    <x v="1"/>
    <m/>
    <x v="3"/>
  </r>
  <r>
    <d v="2021-12-20T00:00:00"/>
    <s v="TIR1037"/>
    <x v="0"/>
    <s v="PM2098"/>
    <n v="609"/>
    <s v="Gangway 2 Locks are missing."/>
    <x v="1"/>
    <x v="1"/>
    <m/>
    <x v="3"/>
  </r>
  <r>
    <d v="2021-12-21T00:00:00"/>
    <s v="TIR0270"/>
    <x v="6"/>
    <m/>
    <n v="618"/>
    <s v="LCD1-V1 offline and error display;SWD3-V1 offline"/>
    <x v="0"/>
    <x v="0"/>
    <s v="Updated software manually and test OK"/>
    <x v="0"/>
  </r>
  <r>
    <d v="2021-12-21T00:00:00"/>
    <s v="TIR0273"/>
    <x v="0"/>
    <s v="PM2104"/>
    <n v="605"/>
    <s v="HC2 NEAR GANGWAY PANEL1-1ALLEN SREW 1DAMAGE._x000a_HC1 NEAR GANGWAY PANEL1-1ALLEN SREW 1DAMAGE._x000a_HC2 ROOF PANEL1-1ALLEN SCREW MISSING._x000a_HC2 HANDRAIL SCREW ONE DAMAGE."/>
    <x v="0"/>
    <x v="1"/>
    <s v="all issue solved"/>
    <x v="0"/>
  </r>
  <r>
    <d v="2021-12-21T00:00:00"/>
    <s v="TIR0275"/>
    <x v="0"/>
    <s v="PM2105"/>
    <n v="606"/>
    <s v="Display Status: lcd1.v2(err),swd1.v1(err)"/>
    <x v="0"/>
    <x v="0"/>
    <s v="Updated software manually and test OK"/>
    <x v="0"/>
  </r>
  <r>
    <d v="2021-12-21T00:00:00"/>
    <s v="TIR1038"/>
    <x v="0"/>
    <s v="PM2102"/>
    <n v="415"/>
    <s v="HC1 ROOF PANEL1 ALLEN SREW 1MISSING AND 1DAMAGE_x000a_HC2 ROOF PANEL1 ALLEN SREW1DAMAGE."/>
    <x v="1"/>
    <x v="1"/>
    <s v="Need to fixed nut missing not in stock 02-01-2022"/>
    <x v="3"/>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r>
  <r>
    <d v="2021-12-21T00:00:00"/>
    <s v="TIR1040"/>
    <x v="0"/>
    <s v="PM2104"/>
    <n v="605"/>
    <s v="hc2 sanding reservoir for re-filling (empty)"/>
    <x v="1"/>
    <x v="3"/>
    <s v="16/02 : level HC1 very low and HC2 also need to normalize"/>
    <x v="4"/>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r>
  <r>
    <d v="2021-12-22T00:00:00"/>
    <s v="TIR0279"/>
    <x v="0"/>
    <s v="PM2109"/>
    <n v="403"/>
    <s v="HC1 PANEL 1- 1 ALLEN SCREW MISSING"/>
    <x v="0"/>
    <x v="1"/>
    <s v="fixed the issue "/>
    <x v="0"/>
  </r>
  <r>
    <d v="2021-12-22T00:00:00"/>
    <s v="TIR0281"/>
    <x v="0"/>
    <s v="PM2110"/>
    <n v="407"/>
    <s v="HVAC1.V2_loss of communication ;IOS250 : One HVAC have a communication fault"/>
    <x v="0"/>
    <x v="2"/>
    <s v="Checked  by MPU logs and also by train tracer. No issues were observed. "/>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r>
  <r>
    <d v="2021-12-22T00:00:00"/>
    <s v="TIR0283"/>
    <x v="0"/>
    <s v="PM2110"/>
    <n v="407"/>
    <s v="HC2 PANEL 1 - 1 ALLEN SCREW MISSING_x000a_HC1 PANEL NEAR TO GANGWAY - 1 ALLEN SCREW MISSING"/>
    <x v="0"/>
    <x v="1"/>
    <s v="fixed the screw"/>
    <x v="0"/>
  </r>
  <r>
    <d v="2021-12-22T00:00:00"/>
    <s v="TIR0284"/>
    <x v="0"/>
    <s v="PM2112"/>
    <n v="617"/>
    <s v="HC1 PANEL 1 - 1 ALLEN SCREW MISSING"/>
    <x v="0"/>
    <x v="1"/>
    <s v="issue solved"/>
    <x v="0"/>
  </r>
  <r>
    <d v="2021-12-22T00:00:00"/>
    <s v="TIR0285"/>
    <x v="0"/>
    <s v="PM2112"/>
    <n v="617"/>
    <s v="HVAC1.V2(NOT successful in MonA TEST PROTCOL)"/>
    <x v="0"/>
    <x v="0"/>
    <s v="Updated software and test HVAC 4 compressors working ok"/>
    <x v="0"/>
  </r>
  <r>
    <d v="2021-12-22T00:00:00"/>
    <s v="TIR0286"/>
    <x v="0"/>
    <s v="PM2114"/>
    <n v="503"/>
    <s v="IOS243 : One TRS Or NETBOX have a communication fault"/>
    <x v="0"/>
    <x v="2"/>
    <s v="Found CB72Q04 were off."/>
    <x v="0"/>
  </r>
  <r>
    <d v="2021-12-22T00:00:00"/>
    <s v="TIR0280"/>
    <x v="0"/>
    <s v="PM2110"/>
    <n v="407"/>
    <s v="hc2 gb#1 leakage"/>
    <x v="1"/>
    <x v="2"/>
    <m/>
    <x v="3"/>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r>
  <r>
    <d v="2021-12-22T00:00:00"/>
    <s v="TIR1043"/>
    <x v="0"/>
    <s v="PM2109"/>
    <n v="403"/>
    <s v="IOS1 : One compressor out of service indication"/>
    <x v="2"/>
    <x v="2"/>
    <m/>
    <x v="1"/>
  </r>
  <r>
    <d v="2021-12-23T00:00:00"/>
    <s v="TIR0288"/>
    <x v="0"/>
    <s v="NA"/>
    <n v="410"/>
    <s v="LCD2-V2 dim issue"/>
    <x v="1"/>
    <x v="0"/>
    <s v="Updated LCD software manually and test OK"/>
    <x v="0"/>
  </r>
  <r>
    <d v="2021-12-23T00:00:00"/>
    <s v="TIR0289"/>
    <x v="3"/>
    <s v="Mail"/>
    <n v="624"/>
    <s v="door open immediately in UTO.Door#2, hc2 DCU ios 18."/>
    <x v="0"/>
    <x v="1"/>
    <s v="in mpu logs on 23-Dec EED was failure after rest no more issue ."/>
    <x v="1"/>
  </r>
  <r>
    <d v="2021-12-26T00:00:00"/>
    <s v="TIR0292"/>
    <x v="0"/>
    <s v="PM2118"/>
    <n v="612"/>
    <s v="HC1 Panel 1 allenkey screw missing"/>
    <x v="0"/>
    <x v="1"/>
    <s v="used new Screw"/>
    <x v="0"/>
  </r>
  <r>
    <d v="2021-12-26T00:00:00"/>
    <s v="TIR0293"/>
    <x v="0"/>
    <s v="PM2119"/>
    <n v="618"/>
    <s v="Swd3-V1 NOK , Lcd1.V1 Error"/>
    <x v="0"/>
    <x v="0"/>
    <s v="Updated software manually and test OK"/>
    <x v="0"/>
  </r>
  <r>
    <d v="2021-12-26T00:00:00"/>
    <s v="TIR0294"/>
    <x v="0"/>
    <s v="PM2120"/>
    <n v="618"/>
    <s v="HC2 Panel near to door 3 one allenkey screw missing"/>
    <x v="0"/>
    <x v="1"/>
    <s v="fixed the screw"/>
    <x v="0"/>
  </r>
  <r>
    <d v="2021-12-26T00:00:00"/>
    <s v="TIR0295"/>
    <x v="0"/>
    <s v="PM2121"/>
    <n v="622"/>
    <s v="HC2 Panel near to door 3 one allenkey screw missing"/>
    <x v="0"/>
    <x v="1"/>
    <s v="fixed the screw"/>
    <x v="0"/>
  </r>
  <r>
    <d v="2021-12-26T00:00:00"/>
    <s v="TIR0298"/>
    <x v="0"/>
    <s v="PM2124"/>
    <n v="518"/>
    <s v="Inter Glass door not  closed completely."/>
    <x v="0"/>
    <x v="2"/>
    <s v="The door leaf were not aligned, after make adjustment and test no more issue."/>
    <x v="0"/>
  </r>
  <r>
    <d v="2021-12-26T00:00:00"/>
    <s v="TIR1044"/>
    <x v="0"/>
    <s v="PM2116"/>
    <n v="402"/>
    <s v="HC1 Panel 1 allenkey screw missing"/>
    <x v="1"/>
    <x v="1"/>
    <s v="need to replace the 3 nut(out of stock 05-Jan-2022)"/>
    <x v="3"/>
  </r>
  <r>
    <d v="2021-12-26T00:00:00"/>
    <s v="TIR1045"/>
    <x v="0"/>
    <s v="PM2117"/>
    <n v="610"/>
    <s v="HVAC2-V2 Exaust air fan low and high faulty."/>
    <x v="1"/>
    <x v="1"/>
    <m/>
    <x v="2"/>
  </r>
  <r>
    <d v="2021-12-26T00:00:00"/>
    <s v="TIR1046"/>
    <x v="0"/>
    <s v="PM2122"/>
    <n v="517"/>
    <s v="HC2-B2 -Axle4 minor leakge from top door of  gearbox.(GASKET )-s.no C484"/>
    <x v="1"/>
    <x v="3"/>
    <m/>
    <x v="2"/>
  </r>
  <r>
    <d v="2021-12-26T00:00:00"/>
    <s v="TIR1047"/>
    <x v="0"/>
    <s v="PM2123"/>
    <n v="518"/>
    <s v="HC2-LCD3 not available"/>
    <x v="1"/>
    <x v="0"/>
    <m/>
    <x v="2"/>
  </r>
  <r>
    <d v="2021-12-28T00:00:00"/>
    <s v="TIR0299"/>
    <x v="0"/>
    <s v="PM2087"/>
    <n v="410"/>
    <s v="lcd2.v2 not clear display"/>
    <x v="0"/>
    <x v="0"/>
    <s v="Checked in NCR428"/>
    <x v="0"/>
  </r>
  <r>
    <d v="2021-12-28T00:00:00"/>
    <s v="TIR0302"/>
    <x v="0"/>
    <s v="PM2088"/>
    <n v="418"/>
    <s v="HC2 ROOF PANEL 1-2ALLEN SCREWS ARE MISSING._x000a_HC1 ROOF PANEL 1-2ALLEN SCREWS ARE MISSING."/>
    <x v="0"/>
    <x v="1"/>
    <s v="  new Screw putted"/>
    <x v="0"/>
  </r>
  <r>
    <d v="2021-12-28T00:00:00"/>
    <s v="TIR0303"/>
    <x v="0"/>
    <s v="PM2090"/>
    <n v="422"/>
    <s v="HC2 PANEL 1 - 1ALLEN SCREW MISSING, 1 DAMAGE_x000a_HC1 PANEL NEAR TO GANGWAY - 1 ALLEN SCREW MISSING"/>
    <x v="0"/>
    <x v="1"/>
    <s v="used the new screw "/>
    <x v="0"/>
  </r>
  <r>
    <d v="2021-12-28T00:00:00"/>
    <s v="TIR0308"/>
    <x v="0"/>
    <s v="PM2140"/>
    <n v="616"/>
    <s v="HC1 PANEL 1 -1 ALLEN SCREW MISSING_x000a_HC2 PANEL 1 -1ALLEN SCREW MISSING_x000a_HC2 HAND RAIL SCREW 1 MISSING"/>
    <x v="0"/>
    <x v="1"/>
    <s v="used new Screw"/>
    <x v="0"/>
  </r>
  <r>
    <d v="2021-12-28T00:00:00"/>
    <s v="TIR0309"/>
    <x v="0"/>
    <s v="PM2140"/>
    <n v="616"/>
    <s v="IP- lcd3-v1 offline ,Display status-Not WORKING_x000a_LCD3 HC1"/>
    <x v="0"/>
    <x v="0"/>
    <s v="Update LCD sofware manually and test ok"/>
    <x v="0"/>
  </r>
  <r>
    <d v="2021-12-28T00:00:00"/>
    <s v="TIR0314"/>
    <x v="0"/>
    <s v="PM2132"/>
    <n v="601"/>
    <s v="HC1_ battery switch not working."/>
    <x v="0"/>
    <x v="2"/>
    <s v="Checked the switch were working properly but no battery voltage available due to 52Q14 in LVB were switch off."/>
    <x v="0"/>
  </r>
  <r>
    <d v="2021-12-28T00:00:00"/>
    <s v="TIR0316"/>
    <x v="0"/>
    <s v="PM2134"/>
    <n v="615"/>
    <s v="lcd1 v1 showing not available-OFFLINE and Blank display"/>
    <x v="0"/>
    <x v="0"/>
    <s v="Update software manually and test Ok"/>
    <x v="0"/>
  </r>
  <r>
    <d v="2021-12-28T00:00:00"/>
    <s v="TIR0321"/>
    <x v="0"/>
    <s v="PM2126"/>
    <n v="611"/>
    <s v="HVAC AND UMC IN RED COLOR AUTOTEST"/>
    <x v="0"/>
    <x v="0"/>
    <s v="Found HVAC1-V2 offline and recovered it and  HVAC autotest OK"/>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r>
  <r>
    <d v="2021-12-28T00:00:00"/>
    <s v="TIR0323"/>
    <x v="0"/>
    <s v="PM2126"/>
    <n v="611"/>
    <s v="HC2 PANEL NEAR TO DOOR 3 - 1 ALLEN SCREW IS DAMAGE"/>
    <x v="0"/>
    <x v="1"/>
    <s v="repaired the screw"/>
    <x v="0"/>
  </r>
  <r>
    <d v="2021-12-28T00:00:00"/>
    <s v="TIR0327"/>
    <x v="0"/>
    <s v="PM2129"/>
    <n v="507"/>
    <s v="IOS243 : One TRS Or NETBOX have a communication fault,netmm2.local IP offline"/>
    <x v="0"/>
    <x v="2"/>
    <s v="Checked and found power connector were wrongly connected."/>
    <x v="0"/>
  </r>
  <r>
    <d v="2021-12-28T00:00:00"/>
    <s v="TIR0302"/>
    <x v="0"/>
    <s v="PM2090"/>
    <n v="620"/>
    <s v="ONE INTERNAL GANG COVER MISSING"/>
    <x v="1"/>
    <x v="1"/>
    <m/>
    <x v="3"/>
  </r>
  <r>
    <d v="2021-12-28T00:00:00"/>
    <s v="TIR0307"/>
    <x v="0"/>
    <s v="PM2139"/>
    <n v="613"/>
    <s v="Display Status: Not WORKING_x000a_LCD 4 HC1"/>
    <x v="1"/>
    <x v="0"/>
    <s v="Updated LCD software manually and test OK"/>
    <x v="1"/>
  </r>
  <r>
    <d v="2021-12-28T00:00:00"/>
    <s v="TIR0313"/>
    <x v="0"/>
    <s v="PM2132"/>
    <n v="601"/>
    <s v="gangways panels are not able to closed"/>
    <x v="1"/>
    <x v="1"/>
    <s v="Need to replace the side panel drum"/>
    <x v="3"/>
  </r>
  <r>
    <d v="2021-12-28T00:00:00"/>
    <s v="TIR0315"/>
    <x v="0"/>
    <s v="PM2133"/>
    <n v="607"/>
    <s v="HC1 GEAR BOX 2 OIL LEVEL IS BELOW MIN"/>
    <x v="3"/>
    <x v="3"/>
    <m/>
    <x v="0"/>
  </r>
  <r>
    <d v="2021-12-28T00:00:00"/>
    <s v="TIR0325"/>
    <x v="0"/>
    <s v="PM2128"/>
    <n v="504"/>
    <s v="Gangway Panel has  scractch &amp;Lock missing"/>
    <x v="1"/>
    <x v="3"/>
    <s v="Gangway cover need to paint and change the lock according to new retofit process."/>
    <x v="3"/>
  </r>
  <r>
    <d v="2021-12-28T00:00:00"/>
    <s v="TIR0326"/>
    <x v="0"/>
    <s v="PM2129"/>
    <n v="507"/>
    <s v="CCD to JB_ HV  cable support clamp missing,HC1_bogie2 Left,HC2-Bogie1,2-Right "/>
    <x v="1"/>
    <x v="3"/>
    <m/>
    <x v="3"/>
  </r>
  <r>
    <d v="2021-12-28T00:00:00"/>
    <s v="TIR0300"/>
    <x v="0"/>
    <s v="PM2088"/>
    <n v="418"/>
    <s v="hc1 ace box 1 lock defective"/>
    <x v="0"/>
    <x v="1"/>
    <s v="all locks are good"/>
    <x v="1"/>
  </r>
  <r>
    <d v="2021-12-28T00:00:00"/>
    <s v="TIR1048"/>
    <x v="0"/>
    <s v="PM2088"/>
    <n v="418"/>
    <s v="lcd1.v1,equipement not responding with IP scanner"/>
    <x v="1"/>
    <x v="0"/>
    <s v="Update software manually and test Ok"/>
    <x v="0"/>
  </r>
  <r>
    <d v="2021-12-28T00:00:00"/>
    <s v="TIR1049"/>
    <x v="0"/>
    <s v="PM2132"/>
    <n v="601"/>
    <s v="Hc2- gearbox #2 oil level below minimum"/>
    <x v="1"/>
    <x v="3"/>
    <m/>
    <x v="4"/>
  </r>
  <r>
    <d v="2021-12-28T00:00:00"/>
    <s v="TIR1050"/>
    <x v="0"/>
    <s v="PM2137"/>
    <n v="406"/>
    <s v="IP-OFFLINE- ledi4-v2   Display Status: not working SWD-2&amp;6 HC1_x000a_LED 4 HC2"/>
    <x v="1"/>
    <x v="5"/>
    <m/>
    <x v="1"/>
  </r>
  <r>
    <d v="2021-12-28T00:00:00"/>
    <s v="TIR1051"/>
    <x v="0"/>
    <s v="PM2141"/>
    <n v="505"/>
    <s v="HC1-HVAC1_compressor2 Loud noise"/>
    <x v="1"/>
    <x v="1"/>
    <m/>
    <x v="2"/>
  </r>
  <r>
    <d v="2021-12-28T00:00:00"/>
    <s v="TIR1052"/>
    <x v="0"/>
    <s v="PM2141"/>
    <n v="505"/>
    <s v="HC1-swd.4-Half broken ,Ledi4-blank"/>
    <x v="1"/>
    <x v="0"/>
    <m/>
    <x v="2"/>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r>
  <r>
    <d v="2021-12-28T00:00:00"/>
    <s v="TIR1054"/>
    <x v="0"/>
    <s v="PM2134"/>
    <n v="615"/>
    <s v="hvac2 car1 heater 1 not released"/>
    <x v="1"/>
    <x v="1"/>
    <m/>
    <x v="1"/>
  </r>
  <r>
    <d v="2021-12-28T00:00:00"/>
    <s v="TIR1055"/>
    <x v="0"/>
    <s v="PM2135"/>
    <n v="508"/>
    <s v="Hc2-Hvac2 Low pressure in Line2"/>
    <x v="2"/>
    <x v="2"/>
    <m/>
    <x v="0"/>
  </r>
  <r>
    <d v="2021-12-28T00:00:00"/>
    <s v="TIR1056"/>
    <x v="0"/>
    <s v="PM2123"/>
    <n v="404"/>
    <s v="hc1 gearbox 1&amp;2 oil level below minimum"/>
    <x v="1"/>
    <x v="2"/>
    <s v="Checked and no leakage were found and only need to topup the gearbox oil."/>
    <x v="0"/>
  </r>
  <r>
    <d v="2021-12-28T00:00:00"/>
    <s v="TIR1057"/>
    <x v="0"/>
    <s v="PM2124"/>
    <n v="408"/>
    <s v="LED5 CAR1 ON PLAM TREE NOT OK BUT IP STATUS OK"/>
    <x v="1"/>
    <x v="0"/>
    <s v="Updated software manuall and test OK"/>
    <x v="0"/>
  </r>
  <r>
    <d v="2021-12-28T00:00:00"/>
    <s v="TIR1058"/>
    <x v="0"/>
    <s v="PM2127"/>
    <n v="614"/>
    <s v="Display Status [ HC2 {SWD2-blank }  { SWD5- No image }"/>
    <x v="1"/>
    <x v="0"/>
    <s v="Update software manually and test Ok"/>
    <x v="0"/>
  </r>
  <r>
    <d v="2021-12-29T00:00:00"/>
    <s v="TIR0329"/>
    <x v="0"/>
    <s v="PM2147"/>
    <n v="619"/>
    <s v="swd4-v2 not ok, ledi5-v2 not ok"/>
    <x v="0"/>
    <x v="0"/>
    <s v="update software manually and test OK"/>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r>
  <r>
    <d v="2021-12-29T00:00:00"/>
    <s v="TIR0335"/>
    <x v="0"/>
    <s v="PM2156"/>
    <n v="501"/>
    <s v="TCN-BRIO4/HC2 RED,Brio4/v2 IP offline;IOS244 : Communication Loss with one other BRIO"/>
    <x v="0"/>
    <x v="2"/>
    <s v="Checked and observed Etheret cable were not connected, after reconnect check by IP scanner and all online."/>
    <x v="0"/>
  </r>
  <r>
    <d v="2021-12-29T00:00:00"/>
    <s v="TIR0339"/>
    <x v="0"/>
    <s v="PM2154"/>
    <n v="623"/>
    <s v="led6 car2 not ok -IP offline and led6 car2 on condition. its showing no signal."/>
    <x v="0"/>
    <x v="0"/>
    <s v="Update the software manually and test OK"/>
    <x v="0"/>
  </r>
  <r>
    <d v="2021-12-29T00:00:00"/>
    <s v="TIR0336"/>
    <x v="0"/>
    <s v="PM2156"/>
    <n v="501"/>
    <s v="HC2- Bogie1 left side derailment sensor cable clamp missing"/>
    <x v="2"/>
    <x v="2"/>
    <m/>
    <x v="3"/>
  </r>
  <r>
    <d v="2021-12-29T00:00:00"/>
    <s v="TIR0341"/>
    <x v="0"/>
    <s v="PM2155"/>
    <n v="625"/>
    <s v="swd3 car1 blank not powered up and ip scanner shown ok"/>
    <x v="1"/>
    <x v="0"/>
    <s v="Updated software manually and test OK"/>
    <x v="0"/>
  </r>
  <r>
    <d v="2021-12-29T00:00:00"/>
    <s v="TIR0331"/>
    <x v="0"/>
    <s v="PM2150"/>
    <n v="519"/>
    <s v="HC2-Using Battery2 can not wakeup the train from both HC"/>
    <x v="1"/>
    <x v="3"/>
    <m/>
    <x v="1"/>
  </r>
  <r>
    <d v="2021-12-29T00:00:00"/>
    <s v="TIR0340"/>
    <x v="0"/>
    <s v="PM2154"/>
    <n v="623"/>
    <s v="hvac1 car1 heater1 not released"/>
    <x v="0"/>
    <x v="1"/>
    <m/>
    <x v="1"/>
  </r>
  <r>
    <d v="2021-12-29T00:00:00"/>
    <s v="TIR1059"/>
    <x v="0"/>
    <s v="PM2144"/>
    <n v="414"/>
    <s v="Semi Permanent coupler grounding bolt missing"/>
    <x v="1"/>
    <x v="1"/>
    <m/>
    <x v="0"/>
  </r>
  <r>
    <d v="2021-12-29T00:00:00"/>
    <s v="TIR1060"/>
    <x v="0"/>
    <s v="PM2147"/>
    <n v="619"/>
    <s v="HVAC1 CAR2 TEST PROTOCOL SHOWING default :  DF1005_EXFL,DF1006_EmExF"/>
    <x v="2"/>
    <x v="1"/>
    <m/>
    <x v="1"/>
  </r>
  <r>
    <d v="2021-12-29T00:00:00"/>
    <s v="TIR1061"/>
    <x v="0"/>
    <s v="PM2144"/>
    <n v="414"/>
    <s v="Swd4-V1 Dark, Lcd5-V1 offline"/>
    <x v="1"/>
    <x v="0"/>
    <s v="Updated software manually and test OK"/>
    <x v="0"/>
  </r>
  <r>
    <d v="2021-12-29T00:00:00"/>
    <s v="TIR1062"/>
    <x v="0"/>
    <s v="PM2147"/>
    <n v="619"/>
    <s v="HC2-CCC rubber missing."/>
    <x v="1"/>
    <x v="1"/>
    <m/>
    <x v="2"/>
  </r>
  <r>
    <d v="2021-12-29T00:00:00"/>
    <s v="TIR1063"/>
    <x v="0"/>
    <s v="PM2152"/>
    <n v="419"/>
    <s v="IOS21 : Minor fault on 1 brake unit"/>
    <x v="1"/>
    <x v="3"/>
    <s v="20/01/2022: Test in the mainline , No issue found"/>
    <x v="1"/>
  </r>
  <r>
    <d v="2021-12-29T00:00:00"/>
    <s v="TIR1064"/>
    <x v="0"/>
    <s v="PM2153"/>
    <n v="423"/>
    <s v="car2 swd2 one display blank no image"/>
    <x v="1"/>
    <x v="0"/>
    <s v="Updated SWD2-V2 and test ok"/>
    <x v="0"/>
  </r>
  <r>
    <d v="2021-12-30T00:00:00"/>
    <s v="TIR0343"/>
    <x v="0"/>
    <s v="PM2158"/>
    <n v="410"/>
    <s v="gangway internal cover is missing"/>
    <x v="1"/>
    <x v="1"/>
    <m/>
    <x v="3"/>
  </r>
  <r>
    <d v="2021-12-30T00:00:00"/>
    <s v="TIR1066"/>
    <x v="0"/>
    <s v="PM2160"/>
    <n v="421"/>
    <s v="CAR2 HVAC1,HVAC2,DF 1005_EXFL,DF 1006_EMEXF,_x000a_EXHAUST AIR FAN LOW,_x000a_EXHAUST AIR FAN HIGH."/>
    <x v="1"/>
    <x v="1"/>
    <m/>
    <x v="2"/>
  </r>
  <r>
    <d v="2021-12-30T00:00:00"/>
    <s v="TIR1067"/>
    <x v="0"/>
    <s v="PM2161"/>
    <n v="422"/>
    <s v="led1 car2 physically off condition and ip also off"/>
    <x v="1"/>
    <x v="0"/>
    <s v="1/13/2022:To update LED software manually _x000a_2/23/2022:Updated software manually and test ok"/>
    <x v="0"/>
  </r>
  <r>
    <d v="2021-12-30T00:00:00"/>
    <s v="TIR1068"/>
    <x v="0"/>
    <s v="PM2163"/>
    <n v="511"/>
    <s v="Gangway 2 Lock Nok"/>
    <x v="1"/>
    <x v="3"/>
    <m/>
    <x v="3"/>
  </r>
  <r>
    <d v="2022-01-02T00:00:00"/>
    <s v="TIR0350"/>
    <x v="0"/>
    <s v="PM2165"/>
    <n v="412"/>
    <s v="Pei1 car2(physically activated)-IP offline,IOS_195,196,202,203"/>
    <x v="0"/>
    <x v="0"/>
    <s v="Found PEI1-V2 component failure and replaced a new PEI and test no more ios report"/>
    <x v="0"/>
  </r>
  <r>
    <d v="2022-01-02T00:00:00"/>
    <s v="TIR0349"/>
    <x v="0"/>
    <s v="PM2165"/>
    <n v="412"/>
    <s v="GANGWAY INTERNAL PANELS ARE MISSING"/>
    <x v="1"/>
    <x v="1"/>
    <m/>
    <x v="3"/>
  </r>
  <r>
    <d v="2022-01-02T00:00:00"/>
    <s v="TIR1065"/>
    <x v="4"/>
    <s v="NA"/>
    <n v="412"/>
    <s v="more then 10kph speed on WM/DM"/>
    <x v="3"/>
    <x v="1"/>
    <s v="Update the MPU software"/>
    <x v="0"/>
  </r>
  <r>
    <d v="2022-01-02T00:00:00"/>
    <s v="TIR1069"/>
    <x v="0"/>
    <s v="PM2169"/>
    <n v="516"/>
    <s v="Gangway Panel Lock 3 no.s Nok"/>
    <x v="1"/>
    <x v="3"/>
    <m/>
    <x v="3"/>
  </r>
  <r>
    <d v="2022-01-02T00:00:00"/>
    <s v="TIR1070"/>
    <x v="0"/>
    <s v="PM2164"/>
    <n v="411"/>
    <s v="HC1-Bogie2 Oil level AXLE 1 LOW, AXLE 2 VERY LOW"/>
    <x v="1"/>
    <x v="3"/>
    <s v="31/01 : checked and level is not too low. Maybe it was normalize between."/>
    <x v="4"/>
  </r>
  <r>
    <d v="2022-01-02T00:00:00"/>
    <s v="TIR1071"/>
    <x v="0"/>
    <s v="PM2166"/>
    <n v="603"/>
    <s v="hc2 bogie1 left CC corner was damaged"/>
    <x v="2"/>
    <x v="1"/>
    <m/>
    <x v="0"/>
  </r>
  <r>
    <d v="2022-01-02T00:00:00"/>
    <s v="TIR1072"/>
    <x v="0"/>
    <s v="PM2166"/>
    <n v="603"/>
    <s v="hc2 left sanding hose missing"/>
    <x v="1"/>
    <x v="1"/>
    <m/>
    <x v="3"/>
  </r>
  <r>
    <d v="2022-01-02T00:00:00"/>
    <s v="TIR1073"/>
    <x v="0"/>
    <s v="PM2166"/>
    <n v="603"/>
    <s v="GANGWAY INTERNAL cover missing hc1 right"/>
    <x v="1"/>
    <x v="1"/>
    <m/>
    <x v="3"/>
  </r>
  <r>
    <d v="2022-01-02T00:00:00"/>
    <s v="TIR1074"/>
    <x v="0"/>
    <s v="PM2167"/>
    <n v="609"/>
    <s v="Hc2 gb# 3 oil level below minimum"/>
    <x v="3"/>
    <x v="1"/>
    <m/>
    <x v="0"/>
  </r>
  <r>
    <d v="2022-01-02T00:00:00"/>
    <s v="TIR1075"/>
    <x v="0"/>
    <s v="PM2167"/>
    <n v="609"/>
    <s v="Hc1 axle 2 gasket leaKed"/>
    <x v="1"/>
    <x v="3"/>
    <m/>
    <x v="3"/>
  </r>
  <r>
    <d v="2022-01-02T00:00:00"/>
    <s v="TIR1076"/>
    <x v="0"/>
    <s v="PM2167"/>
    <n v="609"/>
    <s v="HC2 PANEL NO1 ALLEN SCREW MISSING._x000a_HC2 NEAR DOOR2 SEALING PANEL ALLEN SCREW MISSING._x000a_HC1&amp;HC2NEAR TO GANGWAY PANEL ALLEN SCREWS ARE MISSING "/>
    <x v="1"/>
    <x v="1"/>
    <s v="need to replace the 3 nut(out of stock 05-Jan-2022)"/>
    <x v="3"/>
  </r>
  <r>
    <d v="2022-01-02T00:00:00"/>
    <s v="TIR1077"/>
    <x v="0"/>
    <s v="PM2165"/>
    <n v="412"/>
    <s v="HC2 bogie 1 axle 1 &amp;2 oil level is low"/>
    <x v="1"/>
    <x v="3"/>
    <s v="31/01 : level is low. No leakage found. Need to normalize the oil level."/>
    <x v="4"/>
  </r>
  <r>
    <d v="2022-01-03T00:00:00"/>
    <s v="TIR0363"/>
    <x v="2"/>
    <s v="NA"/>
    <n v="404"/>
    <s v="One internal smoke detector activated ( IOS124 is existing )"/>
    <x v="0"/>
    <x v="1"/>
    <s v="After clean no more IOS"/>
    <x v="0"/>
  </r>
  <r>
    <d v="2022-01-03T00:00:00"/>
    <s v="TIR0366"/>
    <x v="0"/>
    <s v="PM2170"/>
    <n v="604"/>
    <s v="IOS86 : The dead man relays discordance "/>
    <x v="0"/>
    <x v="1"/>
    <m/>
    <x v="0"/>
  </r>
  <r>
    <d v="2022-01-03T00:00:00"/>
    <s v="TIR0375"/>
    <x v="4"/>
    <s v="NA"/>
    <n v="609"/>
    <s v="Gangway locks missing"/>
    <x v="1"/>
    <x v="1"/>
    <m/>
    <x v="3"/>
  </r>
  <r>
    <d v="2022-01-03T00:00:00"/>
    <s v="TIR0365"/>
    <x v="0"/>
    <s v="PM2170"/>
    <n v="604"/>
    <s v="hc2 bogie1 left CC corner  was damaged"/>
    <x v="0"/>
    <x v="1"/>
    <m/>
    <x v="1"/>
  </r>
  <r>
    <d v="2022-01-03T00:00:00"/>
    <s v="TIR0368"/>
    <x v="0"/>
    <s v="PM2172"/>
    <n v="606"/>
    <s v="hc2 bogie1 left CC corner was damaged"/>
    <x v="0"/>
    <x v="1"/>
    <m/>
    <x v="1"/>
  </r>
  <r>
    <d v="2022-01-03T00:00:00"/>
    <s v="TIR0369"/>
    <x v="0"/>
    <s v="PM2172"/>
    <n v="606"/>
    <s v="hc2 left sanding hose missing"/>
    <x v="0"/>
    <x v="1"/>
    <m/>
    <x v="1"/>
  </r>
  <r>
    <d v="2022-01-03T00:00:00"/>
    <s v="TIR0370"/>
    <x v="0"/>
    <s v="PM2172"/>
    <n v="606"/>
    <s v="GANGWAY INTERNAL cover missing hc1 right"/>
    <x v="0"/>
    <x v="1"/>
    <m/>
    <x v="1"/>
  </r>
  <r>
    <d v="2022-01-03T00:00:00"/>
    <s v="TIR1078"/>
    <x v="2"/>
    <s v="NA"/>
    <n v="402"/>
    <s v="HC1 Mechanical coupler got stuck while uncoupling"/>
    <x v="1"/>
    <x v="1"/>
    <m/>
    <x v="0"/>
  </r>
  <r>
    <d v="2022-01-03T00:00:00"/>
    <s v="TIR1079"/>
    <x v="2"/>
    <s v="NA"/>
    <n v="403"/>
    <s v="HC2 Mechanical coupler got stuck while uncoupling"/>
    <x v="1"/>
    <x v="1"/>
    <m/>
    <x v="0"/>
  </r>
  <r>
    <d v="2022-01-03T00:00:00"/>
    <s v="TIR1080"/>
    <x v="2"/>
    <s v="NA"/>
    <n v="413"/>
    <s v="HC2 Mechanical coupler got stuck while uncoupling"/>
    <x v="1"/>
    <x v="2"/>
    <s v="Checked and no uncoupling issue detected."/>
    <x v="1"/>
  </r>
  <r>
    <d v="2022-01-03T00:00:00"/>
    <s v="TIR1081"/>
    <x v="2"/>
    <s v="NA"/>
    <n v="620"/>
    <s v="HC1 EAD switch not working"/>
    <x v="1"/>
    <x v="1"/>
    <s v="adjust the EAD cable we can open the door "/>
    <x v="0"/>
  </r>
  <r>
    <d v="2022-01-03T00:00:00"/>
    <s v="TIR1082"/>
    <x v="2"/>
    <s v="NA"/>
    <n v="610"/>
    <s v="HC1 EAD switch not working"/>
    <x v="2"/>
    <x v="1"/>
    <s v="4 cable was not connected after normalise working fine"/>
    <x v="0"/>
  </r>
  <r>
    <d v="2022-01-03T00:00:00"/>
    <s v="TIR1083"/>
    <x v="2"/>
    <s v="NA"/>
    <n v="610"/>
    <s v="HC1 side can not uncouple "/>
    <x v="1"/>
    <x v="1"/>
    <s v="we open the UNCOUPLING MAGNET VALVE and closed back issue no more present "/>
    <x v="0"/>
  </r>
  <r>
    <d v="2022-01-03T00:00:00"/>
    <s v="TIR1084"/>
    <x v="0"/>
    <s v="PM2171"/>
    <n v="605"/>
    <s v="LED I6. v1, LCD v1, SWD 6, v1-IP NOK"/>
    <x v="1"/>
    <x v="0"/>
    <s v="Restart train 2 times and checked all of them good"/>
    <x v="1"/>
  </r>
  <r>
    <d v="2022-01-03T00:00:00"/>
    <s v="TIR1085"/>
    <x v="0"/>
    <s v="PM2173"/>
    <n v="621"/>
    <s v="HC2 axle 2 oil level lessthan min"/>
    <x v="1"/>
    <x v="3"/>
    <m/>
    <x v="4"/>
  </r>
  <r>
    <d v="2022-01-03T00:00:00"/>
    <s v="TIR1086"/>
    <x v="0"/>
    <s v="PM2173"/>
    <n v="621"/>
    <s v="Torque mark damage in bolts of half coupler(gear box and motor) HC1-Axle4-"/>
    <x v="1"/>
    <x v="3"/>
    <m/>
    <x v="4"/>
  </r>
  <r>
    <d v="2022-01-03T00:00:00"/>
    <s v="TIR1087"/>
    <x v="0"/>
    <s v="PM2174"/>
    <n v="502"/>
    <s v="Gangway 1 lock is broken"/>
    <x v="1"/>
    <x v="1"/>
    <m/>
    <x v="3"/>
  </r>
  <r>
    <d v="2022-01-03T00:00:00"/>
    <s v="TIR1088"/>
    <x v="0"/>
    <s v="PM2175"/>
    <n v="512"/>
    <s v="Gangway 1 lock is broken"/>
    <x v="1"/>
    <x v="1"/>
    <m/>
    <x v="3"/>
  </r>
  <r>
    <d v="2022-01-04T00:00:00"/>
    <s v="TIR0376"/>
    <x v="2"/>
    <s v="NA"/>
    <n v="408"/>
    <s v="HC2 Door#1 Jarking while closing manually"/>
    <x v="0"/>
    <x v="1"/>
    <s v="After Adjust working good."/>
    <x v="0"/>
  </r>
  <r>
    <d v="2022-01-04T00:00:00"/>
    <s v="TIR0387"/>
    <x v="4"/>
    <s v="NA"/>
    <n v="624"/>
    <s v="Hc1 Lighting cover not ok"/>
    <x v="0"/>
    <x v="1"/>
    <s v="Fixed the cover"/>
    <x v="0"/>
  </r>
  <r>
    <d v="2022-01-04T00:00:00"/>
    <s v="TIR0391"/>
    <x v="0"/>
    <s v="Mail"/>
    <n v="604"/>
    <s v="Issue Detected Train 604: Roof Panel was not closing properly."/>
    <x v="0"/>
    <x v="1"/>
    <s v="after Alignment cover closed properly"/>
    <x v="0"/>
  </r>
  <r>
    <d v="2022-01-04T00:00:00"/>
    <s v="TIR0378"/>
    <x v="2"/>
    <s v="NA"/>
    <n v="415"/>
    <s v="WM in hc1 no active, cant move train in WM in hc1."/>
    <x v="3"/>
    <x v="3"/>
    <s v="To replace 61K07"/>
    <x v="0"/>
  </r>
  <r>
    <d v="2022-01-04T00:00:00"/>
    <s v="TIR1089"/>
    <x v="2"/>
    <s v="NA"/>
    <n v="415"/>
    <s v="Door#5, hc2 iOS65 Door  intrlock fault indiction and iOS262: communication fault."/>
    <x v="1"/>
    <x v="1"/>
    <s v="Checked and from the DCU logs, found data bus communication failure and waiting for supplier feedback for this issue."/>
    <x v="1"/>
  </r>
  <r>
    <d v="2022-01-04T00:00:00"/>
    <s v="TIR1090"/>
    <x v="2"/>
    <s v="NA"/>
    <n v="618"/>
    <s v="HC1 &amp; HC2 Both side mechanical coupler got stuck while uncoupling of the train"/>
    <x v="1"/>
    <x v="1"/>
    <m/>
    <x v="2"/>
  </r>
  <r>
    <d v="2022-01-04T00:00:00"/>
    <s v="TIR1091"/>
    <x v="2"/>
    <s v="NA"/>
    <n v="618"/>
    <s v="Train is not getting sleep through PB from HC2 side."/>
    <x v="1"/>
    <x v="3"/>
    <m/>
    <x v="0"/>
  </r>
  <r>
    <d v="2022-01-04T00:00:00"/>
    <s v="TIR1092"/>
    <x v="0"/>
    <s v="PM2176"/>
    <n v="602"/>
    <s v="HC1 BOGIE2 RHS -the 750 v (HV)cable from the fuse box to the junction box is missing "/>
    <x v="3"/>
    <x v="2"/>
    <s v="18/01 : missing part , To create NCR_x000a_23/01 : the train will be not ready fo 33 train of Wednesday_x000a_"/>
    <x v="0"/>
  </r>
  <r>
    <d v="2022-01-04T00:00:00"/>
    <s v="TIR1093"/>
    <x v="0"/>
    <s v="PM2176"/>
    <n v="602"/>
    <s v="HC1-Bogie2 Oil level AXLE 1 LOW, AXLE 2 VERY LOW"/>
    <x v="1"/>
    <x v="2"/>
    <s v="02/01/2022 : Checked level is ok now "/>
    <x v="1"/>
  </r>
  <r>
    <d v="2022-01-04T00:00:00"/>
    <s v="TIR1094"/>
    <x v="0"/>
    <s v="PM2178"/>
    <n v="617"/>
    <s v="HC-02, Both BOG-1 and BOG-2 - Gear oil level is low."/>
    <x v="1"/>
    <x v="2"/>
    <s v="02/01/2022 : checked no leakage found. Need to normalize the oil level"/>
    <x v="4"/>
  </r>
  <r>
    <d v="2022-01-04T00:00:00"/>
    <s v="TIR1095"/>
    <x v="0"/>
    <s v="PM2179"/>
    <n v="624"/>
    <s v="HC2 swd3 not working and IP also offline"/>
    <x v="1"/>
    <x v="0"/>
    <s v="Updaed software manually and test ok"/>
    <x v="0"/>
  </r>
  <r>
    <d v="2022-01-04T00:00:00"/>
    <s v="TIR1096"/>
    <x v="0"/>
    <s v="PM2179"/>
    <n v="624"/>
    <s v="HC-02,BG-01, axle-01, gear oil low."/>
    <x v="1"/>
    <x v="2"/>
    <s v="02/01/2022 : checked no leakage found. Need to normalize the oil level"/>
    <x v="4"/>
  </r>
  <r>
    <d v="2022-01-04T00:00:00"/>
    <s v="TIR1097"/>
    <x v="4"/>
    <s v="NA"/>
    <n v="617"/>
    <s v="HC2 Ceiling panel cover not fixed ( support bracket missing )"/>
    <x v="1"/>
    <x v="1"/>
    <m/>
    <x v="3"/>
  </r>
  <r>
    <d v="2022-01-04T00:00:00"/>
    <s v="TIR1098"/>
    <x v="0"/>
    <s v="Mail"/>
    <n v="408"/>
    <s v="Issue Detected Train 408: Broken side panel sheet gangway."/>
    <x v="1"/>
    <x v="1"/>
    <m/>
    <x v="3"/>
  </r>
  <r>
    <d v="2022-01-04T00:00:00"/>
    <s v="TIR1099"/>
    <x v="0"/>
    <s v="Mail"/>
    <n v="611"/>
    <s v="Detected during Battery Visual Inspection _x000a_Trainset 611A -  Door tubular seal was found having some damaged."/>
    <x v="1"/>
    <x v="1"/>
    <s v="1/13/2022:To replace the rubber"/>
    <x v="3"/>
  </r>
  <r>
    <d v="2022-01-04T00:00:00"/>
    <s v="TIR1101"/>
    <x v="0"/>
    <s v="Mail"/>
    <n v="602"/>
    <s v="Detected during BOGIE VISUAL INSPECTION GLOBAL – Inspection of the Wheel Slide Protection (WSP) Sensor _x000a_Train 602A, Bogie 2 Right Side – WSP cable was found damaged."/>
    <x v="1"/>
    <x v="3"/>
    <m/>
    <x v="0"/>
  </r>
  <r>
    <d v="2022-01-05T00:00:00"/>
    <s v="TIR1102"/>
    <x v="0"/>
    <s v="PM2187"/>
    <n v="518"/>
    <s v="Primary suspension protection bottom cover missing 10 no.s"/>
    <x v="1"/>
    <x v="2"/>
    <m/>
    <x v="2"/>
  </r>
  <r>
    <d v="2022-01-05T00:00:00"/>
    <s v="TIR1103"/>
    <x v="0"/>
    <s v="PM2186"/>
    <n v="517"/>
    <s v="Primary suspension protection bottom cover missing 8 no.s"/>
    <x v="1"/>
    <x v="2"/>
    <m/>
    <x v="2"/>
  </r>
  <r>
    <d v="2022-01-05T00:00:00"/>
    <s v="TIR1104"/>
    <x v="0"/>
    <s v="PM2186"/>
    <n v="517"/>
    <s v="HC1-B1 -Axle2 minor leakge from top door of gear box .(GASKET )-s.no C447"/>
    <x v="1"/>
    <x v="2"/>
    <m/>
    <x v="2"/>
  </r>
  <r>
    <d v="2022-01-05T00:00:00"/>
    <s v="TIR1105"/>
    <x v="0"/>
    <s v="PM2182"/>
    <n v="402"/>
    <s v="HC-02, Both AXLE-3 and AXLE-4 - Gear oil level is low"/>
    <x v="1"/>
    <x v="2"/>
    <m/>
    <x v="4"/>
  </r>
  <r>
    <d v="2022-01-05T00:00:00"/>
    <s v="TIR1106"/>
    <x v="0"/>
    <s v="PM2182"/>
    <n v="402"/>
    <s v="swd3 car2,lcd3 car2,led3 car2.-IP nok "/>
    <x v="1"/>
    <x v="0"/>
    <s v="Update software manually and test Ok"/>
    <x v="0"/>
  </r>
  <r>
    <d v="2022-01-05T00:00:00"/>
    <s v="TIR1107"/>
    <x v="0"/>
    <s v="PM2184"/>
    <n v="408"/>
    <s v="HC-01, axle 2 , Gear oil level is low."/>
    <x v="1"/>
    <x v="2"/>
    <m/>
    <x v="4"/>
  </r>
  <r>
    <d v="2022-01-05T00:00:00"/>
    <s v="TIR1108"/>
    <x v="0"/>
    <s v="PM2185"/>
    <n v="610"/>
    <s v="car1 door 2 while closing time closing the door fastly compare to other doors."/>
    <x v="1"/>
    <x v="1"/>
    <m/>
    <x v="1"/>
  </r>
  <r>
    <d v="2022-01-05T00:00:00"/>
    <s v="TIR1109"/>
    <x v="4"/>
    <s v="NA"/>
    <n v="402"/>
    <s v="Gangway cover one lock is broken"/>
    <x v="1"/>
    <x v="1"/>
    <m/>
    <x v="3"/>
  </r>
  <r>
    <d v="2022-01-06T00:00:00"/>
    <s v="TIR408"/>
    <x v="0"/>
    <s v="PM2188"/>
    <n v="611"/>
    <s v="HVAC1 lost communication"/>
    <x v="0"/>
    <x v="0"/>
    <s v="Found HVAC1-V2 offline and recovered it and  HVAC autotest OK"/>
    <x v="0"/>
  </r>
  <r>
    <d v="2022-01-06T00:00:00"/>
    <s v="TIR1112"/>
    <x v="0"/>
    <s v="PM2194"/>
    <n v="507"/>
    <s v="HC1-HVAC2 LOW PRESSURE LP2 when forced Compressor2 "/>
    <x v="2"/>
    <x v="1"/>
    <m/>
    <x v="0"/>
  </r>
  <r>
    <d v="2022-01-06T00:00:00"/>
    <s v="TIR1113"/>
    <x v="0"/>
    <s v="PM2194"/>
    <n v="507"/>
    <s v="HC1-HVAC1-compressor 1&amp;3 making noise"/>
    <x v="1"/>
    <x v="2"/>
    <m/>
    <x v="2"/>
  </r>
  <r>
    <d v="2022-01-06T00:00:00"/>
    <s v="TIR1114"/>
    <x v="0"/>
    <s v="PM2194"/>
    <n v="507"/>
    <s v=" SOFTWARE invalid  UMC1-0.0.0"/>
    <x v="1"/>
    <x v="2"/>
    <s v="No issue related oberved after software update."/>
    <x v="1"/>
  </r>
  <r>
    <d v="2022-01-06T00:00:00"/>
    <s v="TIR1115"/>
    <x v="0"/>
    <s v="PM2189"/>
    <n v="612"/>
    <s v="HC+H79:O942-A3,A4-low oil level (just below the low mark ) ,HC1-A1(very low),A2,A3-low oil level "/>
    <x v="1"/>
    <x v="3"/>
    <m/>
    <x v="4"/>
  </r>
  <r>
    <d v="2022-01-06T00:00:00"/>
    <s v="TIR1116"/>
    <x v="0"/>
    <s v="PM2190"/>
    <n v="614"/>
    <s v="HC1 Axle 3,axle 4 , HC2 AXLE1 ,AXLE2 -oil level below minimum"/>
    <x v="1"/>
    <x v="3"/>
    <s v="02/16 : No leakage found, need to normalize the oil level "/>
    <x v="4"/>
  </r>
  <r>
    <d v="2022-01-06T00:00:00"/>
    <s v="TIR1117"/>
    <x v="0"/>
    <s v="PM2189"/>
    <n v="612"/>
    <s v="car2 2nd palmtree light off condition."/>
    <x v="1"/>
    <x v="1"/>
    <m/>
    <x v="0"/>
  </r>
  <r>
    <d v="2022-01-06T00:00:00"/>
    <s v="TIR1118"/>
    <x v="0"/>
    <s v="PM2191"/>
    <n v="618"/>
    <s v="HC2 Lcd 6 blinking"/>
    <x v="1"/>
    <x v="0"/>
    <s v="Updated software manually and test OK"/>
    <x v="0"/>
  </r>
  <r>
    <d v="2022-01-06T00:00:00"/>
    <s v="TIR1119"/>
    <x v="0"/>
    <s v="PM2191"/>
    <n v="618"/>
    <s v="HC1 internal smoke detector 1 panel(panel near to palm tree ) is closed without fully tightnening the the two screws of the one end(the alignement of the panel is not good for full tight )"/>
    <x v="1"/>
    <x v="2"/>
    <m/>
    <x v="0"/>
  </r>
  <r>
    <d v="2022-01-06T00:00:00"/>
    <s v="TIR1120"/>
    <x v="0"/>
    <s v="PM2191"/>
    <n v="618"/>
    <s v="HC1 AXLE2 oil level below minimum"/>
    <x v="1"/>
    <x v="3"/>
    <m/>
    <x v="4"/>
  </r>
  <r>
    <d v="2022-01-06T00:00:00"/>
    <s v="TIR1121"/>
    <x v="0"/>
    <s v="PM2192"/>
    <n v="622"/>
    <s v="car2 swd3 physically off condition but ip status ok"/>
    <x v="1"/>
    <x v="0"/>
    <s v="Update software manually and test Ok"/>
    <x v="0"/>
  </r>
  <r>
    <d v="2022-01-09T00:00:00"/>
    <s v="TIR401"/>
    <x v="4"/>
    <s v="NA"/>
    <n v="511"/>
    <s v="Roof antenna"/>
    <x v="3"/>
    <x v="4"/>
    <m/>
    <x v="0"/>
  </r>
  <r>
    <d v="2022-01-09T00:00:00"/>
    <s v="TIR404"/>
    <x v="5"/>
    <s v="NA"/>
    <n v="607"/>
    <s v="HC1_gearbox 3 oil contaminated"/>
    <x v="3"/>
    <x v="2"/>
    <m/>
    <x v="0"/>
  </r>
  <r>
    <d v="2022-01-09T00:00:00"/>
    <s v="TIR1110"/>
    <x v="2"/>
    <s v="NA"/>
    <n v="415"/>
    <s v="relay 61k07 faulty need to replace"/>
    <x v="3"/>
    <x v="2"/>
    <m/>
    <x v="0"/>
  </r>
  <r>
    <d v="2022-01-09T00:00:00"/>
    <s v="TIR1111"/>
    <x v="2"/>
    <s v="NA"/>
    <n v="415"/>
    <s v="Door5 HC2 Faulty"/>
    <x v="1"/>
    <x v="1"/>
    <m/>
    <x v="0"/>
  </r>
  <r>
    <d v="2022-01-09T00:00:00"/>
    <s v="TIR1122"/>
    <x v="0"/>
    <s v="PM2200"/>
    <n v="508"/>
    <s v="Missing 8 Suspension protection bottom cover"/>
    <x v="1"/>
    <x v="3"/>
    <m/>
    <x v="2"/>
  </r>
  <r>
    <d v="2022-01-09T00:00:00"/>
    <s v="TIR1123"/>
    <x v="0"/>
    <s v="PM2200"/>
    <n v="508"/>
    <s v="HC1-not able to sleep"/>
    <x v="1"/>
    <x v="3"/>
    <s v="20/02 : We found that the cable WF00062 was connected to the PIN 73 of the connector XR03+CCC instead of connector XR02+CCC"/>
    <x v="0"/>
  </r>
  <r>
    <d v="2022-01-09T00:00:00"/>
    <s v="TIR1124"/>
    <x v="0"/>
    <s v="PM2201"/>
    <n v="515"/>
    <s v="HC1-becon Antenna Cable's clamp missing"/>
    <x v="1"/>
    <x v="1"/>
    <s v="waiting for DTR 14/02"/>
    <x v="3"/>
  </r>
  <r>
    <d v="2022-01-09T00:00:00"/>
    <s v="TIR1125"/>
    <x v="0"/>
    <s v="PM2195"/>
    <n v="415"/>
    <s v="IOS196 ,203 : Loss of at least 1 PEI in a class"/>
    <x v="1"/>
    <x v="5"/>
    <s v="Checked PEIs all online"/>
    <x v="1"/>
  </r>
  <r>
    <d v="2022-01-09T00:00:00"/>
    <s v="TIR1126"/>
    <x v="0"/>
    <s v="PM2196"/>
    <n v="420"/>
    <s v="HC1 AXLE2 GEAR BOX OIL LEVEL IS LOW"/>
    <x v="1"/>
    <x v="3"/>
    <s v="checked and Oil ok now "/>
    <x v="1"/>
  </r>
  <r>
    <d v="2022-01-09T00:00:00"/>
    <s v="TIR1127"/>
    <x v="0"/>
    <s v="PM2196"/>
    <n v="420"/>
    <s v="HC2 AXLE 4 GEAR BOX OIL IS DARK IN COLOUR"/>
    <x v="1"/>
    <x v="3"/>
    <s v="checked color ok and Oil ok now "/>
    <x v="1"/>
  </r>
  <r>
    <d v="2022-01-09T00:00:00"/>
    <s v="TIR1128"/>
    <x v="0"/>
    <s v="PM2196"/>
    <n v="420"/>
    <s v="car2 lcd3 contrast low compare to other lcd displays"/>
    <x v="1"/>
    <x v="0"/>
    <s v="Updaed software manually and test ok"/>
    <x v="0"/>
  </r>
  <r>
    <d v="2022-01-09T00:00:00"/>
    <s v="TIR1129"/>
    <x v="0"/>
    <s v="PM2198"/>
    <n v="607"/>
    <s v="IOS86 : The dead man relays discordance"/>
    <x v="1"/>
    <x v="0"/>
    <s v="Checked no ios86 reported. Do the deadman test in both cabs and test pass"/>
    <x v="1"/>
  </r>
  <r>
    <d v="2022-01-09T00:00:00"/>
    <s v="TIR1130"/>
    <x v="0"/>
    <s v="PM2199"/>
    <n v="615"/>
    <s v="semi permanent coupler grounding bolt missing"/>
    <x v="1"/>
    <x v="1"/>
    <m/>
    <x v="3"/>
  </r>
  <r>
    <d v="2022-01-09T00:00:00"/>
    <s v="TIR1131"/>
    <x v="0"/>
    <s v="PM2199"/>
    <n v="615"/>
    <s v="swd3 one display physically off condition but ip status ok"/>
    <x v="1"/>
    <x v="0"/>
    <s v="Checked SWD online and display OK"/>
    <x v="1"/>
  </r>
  <r>
    <d v="2022-01-09T00:00:00"/>
    <s v="TIR1132"/>
    <x v="0"/>
    <s v="PM2199"/>
    <n v="615"/>
    <s v="car2 door1 not closing full. Electrical and mechanically door isolated"/>
    <x v="2"/>
    <x v="1"/>
    <m/>
    <x v="1"/>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r>
  <r>
    <d v="2022-01-10T00:00:00"/>
    <s v="TIR1001"/>
    <x v="3"/>
    <s v="NA"/>
    <n v="414"/>
    <s v="IOS264 :  More than one UMC have a communication fault."/>
    <x v="3"/>
    <x v="0"/>
    <s v="Checked the issue no more reported"/>
    <x v="1"/>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r>
  <r>
    <d v="2022-01-10T00:00:00"/>
    <s v="TIR1003"/>
    <x v="3"/>
    <s v="NA"/>
    <n v="608"/>
    <s v="IOS191 : Loss of video recorder_x000a_IOS196 : Loss of at least 1 PEI in a class_x000a_ISO200 : Loss of all superwides in the same doors platform_x000a_IOS199 : Loss of all interior LCD compact displays in the same platform_x000a_IOS198 : Loss of LCD 16/9 in the same class"/>
    <x v="3"/>
    <x v="5"/>
    <s v="18/01 : Elie to check the train , and recover with Niyas"/>
    <x v="0"/>
  </r>
  <r>
    <d v="2022-01-10T00:00:00"/>
    <s v="TIR1004"/>
    <x v="3"/>
    <s v="NA"/>
    <n v="626"/>
    <s v="IOS185 : 1 APC LV Status false,_x000a_IOS179 : 1 APC MV Status false"/>
    <x v="1"/>
    <x v="2"/>
    <m/>
    <x v="1"/>
  </r>
  <r>
    <d v="2022-01-10T00:00:00"/>
    <s v="TIR1005"/>
    <x v="3"/>
    <s v="NA"/>
    <n v="423"/>
    <s v="IOS196 : Loss of at least 1 PEI in a class"/>
    <x v="1"/>
    <x v="5"/>
    <s v="Checked all devices online and display OK"/>
    <x v="1"/>
  </r>
  <r>
    <d v="2022-01-10T00:00:00"/>
    <s v="TIR1006"/>
    <x v="3"/>
    <s v="NA"/>
    <n v="625"/>
    <s v="IOS196 : Loss of at least 1 PEI in a class"/>
    <x v="1"/>
    <x v="0"/>
    <s v="Found PEI2-V1 report many lost communication, and updated software and test ok"/>
    <x v="0"/>
  </r>
  <r>
    <d v="2022-01-10T00:00:00"/>
    <s v="TIR1007"/>
    <x v="2"/>
    <s v="NA"/>
    <n v="611"/>
    <s v="DCU5-V2 communication lost"/>
    <x v="3"/>
    <x v="1"/>
    <s v="18/01 : To check and create NCR"/>
    <x v="0"/>
  </r>
  <r>
    <d v="2022-01-10T00:00:00"/>
    <s v="TIR1133"/>
    <x v="2"/>
    <s v="NA"/>
    <n v="611"/>
    <s v="PEI6-V2 communication not stable"/>
    <x v="1"/>
    <x v="0"/>
    <s v="Updated pei software manually and test ok"/>
    <x v="0"/>
  </r>
  <r>
    <d v="2022-01-10T00:00:00"/>
    <s v="TIR1134"/>
    <x v="4"/>
    <s v="NA"/>
    <n v="415"/>
    <s v="Light diffusers need to fix"/>
    <x v="1"/>
    <x v="1"/>
    <s v="fixed the light cover"/>
    <x v="0"/>
  </r>
  <r>
    <d v="2022-01-10T00:00:00"/>
    <s v="TIR1135"/>
    <x v="0"/>
    <s v="PM2208"/>
    <n v="510"/>
    <s v="Flange Lubricator saftey pin1 missing"/>
    <x v="1"/>
    <x v="1"/>
    <m/>
    <x v="2"/>
  </r>
  <r>
    <d v="2022-01-10T00:00:00"/>
    <s v="TIR1136"/>
    <x v="0"/>
    <s v="PM2208"/>
    <n v="510"/>
    <s v="Gangway lock has an issue"/>
    <x v="1"/>
    <x v="1"/>
    <m/>
    <x v="3"/>
  </r>
  <r>
    <d v="2022-01-10T00:00:00"/>
    <s v="TIR1137"/>
    <x v="0"/>
    <s v="PM2207"/>
    <n v="505"/>
    <s v="Hc1-becon Antenna Cable's clamp one screw is missing(refer picture in TIR report)"/>
    <x v="1"/>
    <x v="1"/>
    <m/>
    <x v="3"/>
  </r>
  <r>
    <d v="2022-01-10T00:00:00"/>
    <s v="TIR1138"/>
    <x v="0"/>
    <s v="PM2202"/>
    <n v="403"/>
    <s v="HC1-LEDI6 IP offline,HC1-LEDI6  not working"/>
    <x v="1"/>
    <x v="0"/>
    <s v="update software manually and test OK"/>
    <x v="0"/>
  </r>
  <r>
    <d v="2022-01-10T00:00:00"/>
    <s v="TIR1139"/>
    <x v="0"/>
    <s v="PM2203"/>
    <n v="406"/>
    <s v="swd1 car1 but physically good.led2 car1 ip off but physically ok"/>
    <x v="1"/>
    <x v="0"/>
    <m/>
    <x v="1"/>
  </r>
  <r>
    <d v="2022-01-10T00:00:00"/>
    <s v="TIR1140"/>
    <x v="0"/>
    <s v="PM2205"/>
    <n v="613"/>
    <s v="lost the communication of hvac1 car2 while in manual testing mode."/>
    <x v="1"/>
    <x v="1"/>
    <s v="online and working fine "/>
    <x v="1"/>
  </r>
  <r>
    <d v="2022-01-11T00:00:00"/>
    <s v="TIR1141"/>
    <x v="2"/>
    <s v="NA"/>
    <n v="502"/>
    <s v="Gearbox oil leakage"/>
    <x v="1"/>
    <x v="3"/>
    <m/>
    <x v="4"/>
  </r>
  <r>
    <d v="2022-01-11T00:00:00"/>
    <s v="TIR1142"/>
    <x v="2"/>
    <s v="NA"/>
    <n v="504"/>
    <s v="Compressor1 air-dryer failure"/>
    <x v="1"/>
    <x v="3"/>
    <m/>
    <x v="2"/>
  </r>
  <r>
    <d v="2022-01-11T00:00:00"/>
    <s v="TIR1143"/>
    <x v="2"/>
    <s v="NA"/>
    <n v="518"/>
    <s v="HC2 bogie_1 &amp; traction motor safety mounting to confirm"/>
    <x v="1"/>
    <x v="2"/>
    <m/>
    <x v="2"/>
  </r>
  <r>
    <d v="2022-01-12T00:00:00"/>
    <s v="TIR1144"/>
    <x v="3"/>
    <s v="NA"/>
    <n v="413"/>
    <s v="HC2_Door 1 – Door not opening using crew switch"/>
    <x v="1"/>
    <x v="1"/>
    <m/>
    <x v="1"/>
  </r>
  <r>
    <d v="2022-01-12T00:00:00"/>
    <s v="TIR1145"/>
    <x v="3"/>
    <s v="NA"/>
    <n v="424"/>
    <s v="HC2_Door 1 – Door not opening using crew switch"/>
    <x v="1"/>
    <x v="1"/>
    <s v="Found the EED cable out from the roller. Fixed back the cable and tested from outside(Crew switch) and Inside EED are OK. "/>
    <x v="0"/>
  </r>
  <r>
    <d v="2022-01-12T00:00:00"/>
    <s v="TIR1146"/>
    <x v="3"/>
    <s v="NA"/>
    <n v="615"/>
    <s v="IOS35 : Loss of 50% of ventilation of at least one HVAC unit"/>
    <x v="3"/>
    <x v="1"/>
    <s v="QF7 was off after ON , no more ios."/>
    <x v="0"/>
  </r>
  <r>
    <d v="2022-01-12T00:00:00"/>
    <s v="TIR1147"/>
    <x v="3"/>
    <s v="NA"/>
    <n v="407"/>
    <s v="Ledi1_V2 offline"/>
    <x v="1"/>
    <x v="0"/>
    <s v="Checked this LEDI online and display OK"/>
    <x v="1"/>
  </r>
  <r>
    <d v="2022-01-12T00:00:00"/>
    <s v="TIR1148"/>
    <x v="3"/>
    <s v="NA"/>
    <n v="514"/>
    <s v="One ACE have a communication fault,"/>
    <x v="3"/>
    <x v="1"/>
    <s v="his issue happened 3 times that day, _x000a_even after first restart of the train, next sleep/wake up rised again &quot;ACE2&quot;._x000a_18/01: Software and Dataplug upload "/>
    <x v="0"/>
  </r>
  <r>
    <d v="2022-01-12T00:00:00"/>
    <s v="TIR1149"/>
    <x v="6"/>
    <s v="NA"/>
    <n v="621"/>
    <s v="VAC2 HC2 compressor fautl "/>
    <x v="2"/>
    <x v="1"/>
    <s v="physically working fine waiting for supplier respons"/>
    <x v="1"/>
  </r>
  <r>
    <d v="2022-01-12T00:00:00"/>
    <s v="TIR1149"/>
    <x v="6"/>
    <s v="NA"/>
    <n v="410"/>
    <s v="410 reported  F_DRS_RelCBTrip_2  "/>
    <x v="1"/>
    <x v="1"/>
    <s v="CB cable connector was losse ,tight and put back"/>
    <x v="0"/>
  </r>
  <r>
    <d v="2022-01-13T00:00:00"/>
    <s v="TIR1150"/>
    <x v="4"/>
    <s v="NA"/>
    <n v="414"/>
    <s v="Partition door lock missing "/>
    <x v="1"/>
    <x v="1"/>
    <m/>
    <x v="3"/>
  </r>
  <r>
    <d v="2022-01-16T00:00:00"/>
    <s v="TIR1151"/>
    <x v="0"/>
    <s v="PM"/>
    <n v="519"/>
    <s v="HC2-Sand reserviour is empty"/>
    <x v="1"/>
    <x v="1"/>
    <m/>
    <x v="4"/>
  </r>
  <r>
    <d v="2022-01-16T00:00:00"/>
    <s v="TIR1152"/>
    <x v="0"/>
    <s v="PM"/>
    <n v="404"/>
    <s v="HC1 PANEL 1- 1 ALLEN SCREW MISSING_x000a_HC2 PANEL1 - 1 ALLEN SCREW MISSING"/>
    <x v="1"/>
    <x v="1"/>
    <s v="in Hc1 nut damaged and HC2 nut missing (18-Jan-22)"/>
    <x v="3"/>
  </r>
  <r>
    <d v="2022-01-16T00:00:00"/>
    <s v="TIR1153"/>
    <x v="0"/>
    <s v="PM2210"/>
    <n v="413"/>
    <s v="IOS196 : Loss of at least 1 PEI in a class                                                                pei3 car1,ledi3 car1 ip off but physically good,_x000a_lcd3 car1 ip off but physically good,swd3 car1 ip scanner status off but physically ok                             Display Status: lcd6 car1 physically off condition   "/>
    <x v="1"/>
    <x v="0"/>
    <s v="Checked papis devices online and display ok"/>
    <x v="1"/>
  </r>
  <r>
    <d v="2022-01-17T00:00:00"/>
    <s v="TIR1154"/>
    <x v="2"/>
    <s v="NA"/>
    <n v="403"/>
    <s v="Unconnected Grounding cable in the LVB Box."/>
    <x v="1"/>
    <x v="1"/>
    <m/>
    <x v="0"/>
  </r>
  <r>
    <d v="2022-01-17T00:00:00"/>
    <s v="TIR1155"/>
    <x v="0"/>
    <s v="PM"/>
    <n v="501"/>
    <s v="Primary suspension's bottom cover -8 nos.(Refer picture)"/>
    <x v="1"/>
    <x v="3"/>
    <m/>
    <x v="0"/>
  </r>
  <r>
    <d v="2022-01-17T00:00:00"/>
    <s v="TIR1156"/>
    <x v="0"/>
    <s v="PM2223"/>
    <n v="506"/>
    <s v="Gangway 1 Lock nok ,unable to Lock"/>
    <x v="1"/>
    <x v="1"/>
    <m/>
    <x v="0"/>
  </r>
  <r>
    <d v="2022-01-17T00:00:00"/>
    <s v="TIR1157"/>
    <x v="0"/>
    <s v="PM2223"/>
    <n v="506"/>
    <s v="Primary suspension's bottom cover -8 nos.(Refer picture)"/>
    <x v="1"/>
    <x v="3"/>
    <m/>
    <x v="3"/>
  </r>
  <r>
    <d v="2022-01-17T00:00:00"/>
    <s v="TIR1158"/>
    <x v="0"/>
    <s v="PM2223"/>
    <n v="506"/>
    <s v="HC1-Flange Lubricator saftey pin missing"/>
    <x v="1"/>
    <x v="2"/>
    <m/>
    <x v="3"/>
  </r>
  <r>
    <d v="2022-01-17T00:00:00"/>
    <s v="TIR1159"/>
    <x v="0"/>
    <s v="PM2230"/>
    <n v="511"/>
    <s v="Primary suspension's bottom cover -8 nos.(Refer picture)"/>
    <x v="1"/>
    <x v="3"/>
    <m/>
    <x v="3"/>
  </r>
  <r>
    <d v="2022-01-17T00:00:00"/>
    <s v="TIR1160"/>
    <x v="0"/>
    <s v="PM2225"/>
    <n v="414"/>
    <s v="umc car1 0.0.0-software version Nok"/>
    <x v="2"/>
    <x v="0"/>
    <s v="Checked the software version display OK"/>
    <x v="1"/>
  </r>
  <r>
    <d v="2022-01-17T00:00:00"/>
    <s v="TIR1161"/>
    <x v="0"/>
    <s v="PM2225"/>
    <n v="414"/>
    <s v="hc2 gearbox no4 oil level below minimum"/>
    <x v="1"/>
    <x v="3"/>
    <m/>
    <x v="4"/>
  </r>
  <r>
    <d v="2022-01-17T00:00:00"/>
    <s v="TIR1162"/>
    <x v="0"/>
    <s v="PM2225"/>
    <n v="414"/>
    <s v="car1 lcd4 low brightness"/>
    <x v="1"/>
    <x v="0"/>
    <s v="Updated software manually and test OK"/>
    <x v="1"/>
  </r>
  <r>
    <d v="2022-01-17T00:00:00"/>
    <s v="TIR1163"/>
    <x v="0"/>
    <s v="PM2228"/>
    <n v="422"/>
    <s v="hc1-hc2 sandng reservoir for re-filling, almost empty"/>
    <x v="1"/>
    <x v="2"/>
    <s v="01/27/2022 : no issue found, level of sand very low need to ask to PM to normalize"/>
    <x v="4"/>
  </r>
  <r>
    <d v="2022-01-17T00:00:00"/>
    <s v="TIR1164"/>
    <x v="2"/>
    <s v="NA"/>
    <n v="513"/>
    <s v="Network instability "/>
    <x v="3"/>
    <x v="2"/>
    <s v="18/01 : Network inspection _x000a_20/02/2022 : issue stil present . 23/2/2022 checked and found one CRS5_v2 delay to power on and as effect, it will generate IOS244. (UNDER MONITORING)"/>
    <x v="0"/>
  </r>
  <r>
    <d v="2022-01-17T00:00:00"/>
    <s v="TIR1165"/>
    <x v="3"/>
    <s v="Alarm Viewer Alarms Report"/>
    <n v="622"/>
    <s v="IOS196:Loss of at least 1 PEI in a class"/>
    <x v="1"/>
    <x v="0"/>
    <s v="Checked all PEIs online"/>
    <x v="1"/>
  </r>
  <r>
    <d v="2022-01-17T00:00:00"/>
    <s v="TIR1166"/>
    <x v="3"/>
    <s v="Alarm Viewer Alarms Report"/>
    <n v="651"/>
    <s v="IOS21:Minor fault on 1 brake unit"/>
    <x v="1"/>
    <x v="3"/>
    <s v="25/01 : Log checked from MPU and found LB_TBS_BCE1Axl1ValidSpd =Flase. And from BCE log we have F009 that mean there is a failure on the _x000a_impedance read on the speed sensor by the A-Matric. "/>
    <x v="0"/>
  </r>
  <r>
    <d v="2022-01-17T00:00:00"/>
    <s v="TIR1167"/>
    <x v="3"/>
    <s v="Alarm Viewer Alarms Report"/>
    <n v="651"/>
    <s v="IOS67:Door CLOSING request fault indication"/>
    <x v="1"/>
    <x v="3"/>
    <s v="1/30: RIOM3-HC1 Pin J1-Z28 energised. We removed the RIOM and put back and  no more issue Observed."/>
    <x v="0"/>
  </r>
  <r>
    <d v="2022-01-17T00:00:00"/>
    <s v="TIR1168"/>
    <x v="2"/>
    <s v="NA"/>
    <n v="615"/>
    <s v="HVAC -Venting error"/>
    <x v="1"/>
    <x v="1"/>
    <m/>
    <x v="3"/>
  </r>
  <r>
    <d v="2022-01-18T00:00:00"/>
    <s v="TIR1169"/>
    <x v="5"/>
    <m/>
    <n v="603"/>
    <s v="The CMV racks are equipped with wrong type screws and washer (TS 603)."/>
    <x v="1"/>
    <x v="1"/>
    <m/>
    <x v="0"/>
  </r>
  <r>
    <d v="2022-01-18T00:00:00"/>
    <s v="TIR1170"/>
    <x v="0"/>
    <s v="PM"/>
    <n v="506"/>
    <s v="HC1-left side derailment sensor bended and clamp,cable sleeve damaged( Refer Pic)                           _x000a_HC1-Right side derailment sensor's ground cable is cutted      (Refer pic)"/>
    <x v="3"/>
    <x v="1"/>
    <s v="18/01 : To create NCR"/>
    <x v="0"/>
  </r>
  <r>
    <d v="2022-01-18T00:00:00"/>
    <s v="TIR1171"/>
    <x v="0"/>
    <s v="PM2236"/>
    <n v="514"/>
    <s v="HC2-left side derailment sensor's cable support clamp found  bended,cable  is in stressed ( Refer Pic)                "/>
    <x v="1"/>
    <x v="2"/>
    <m/>
    <x v="1"/>
  </r>
  <r>
    <d v="2022-01-18T00:00:00"/>
    <s v="TIR1172"/>
    <x v="0"/>
    <s v="PM2232"/>
    <n v="411"/>
    <s v="LCD.4/V1-IP offline"/>
    <x v="1"/>
    <x v="0"/>
    <s v="Checked LCD online and display OK"/>
    <x v="1"/>
  </r>
  <r>
    <d v="2022-01-18T00:00:00"/>
    <s v="TIR1173"/>
    <x v="0"/>
    <s v="PM2233"/>
    <n v="412"/>
    <s v="Heat sink one  found scratch"/>
    <x v="1"/>
    <x v="1"/>
    <s v="Minor scratch on cvs inverter heat sink it will impact on any function"/>
    <x v="1"/>
  </r>
  <r>
    <d v="2022-01-18T00:00:00"/>
    <s v="TIR1174"/>
    <x v="0"/>
    <s v="PM2234"/>
    <n v="603"/>
    <s v="HC1 gear level is low in Axle1 &amp;2"/>
    <x v="1"/>
    <x v="3"/>
    <s v="31/01 : level is low. No leakage found. Need to normalize the oil level."/>
    <x v="4"/>
  </r>
  <r>
    <d v="2022-01-18T00:00:00"/>
    <s v="TIR1175"/>
    <x v="0"/>
    <s v="PM2235"/>
    <n v="608"/>
    <s v="HC1 gear oil level is low in Axle 1&amp;4 and also in HC2 axle 1"/>
    <x v="1"/>
    <x v="3"/>
    <s v="31/01 : level is low. No leakage found. Need to normalize the oil level."/>
    <x v="4"/>
  </r>
  <r>
    <d v="2022-01-18T00:00:00"/>
    <s v="TIR1176"/>
    <x v="0"/>
    <s v="PM2236"/>
    <n v="514"/>
    <s v="Hc2-Sand Level Low"/>
    <x v="1"/>
    <x v="3"/>
    <s v="02/14 : to normalize the sand level"/>
    <x v="4"/>
  </r>
  <r>
    <d v="2022-01-18T00:00:00"/>
    <s v="TIR1177"/>
    <x v="0"/>
    <s v="PM2231"/>
    <n v="403"/>
    <s v="sand level is low"/>
    <x v="1"/>
    <x v="3"/>
    <s v="31/01 : no issue found. Need to normalize the sand level."/>
    <x v="4"/>
  </r>
  <r>
    <d v="2022-01-18T00:00:00"/>
    <s v="TIR1178"/>
    <x v="0"/>
    <s v="PM2236"/>
    <n v="514"/>
    <s v="Primary suspension bottom protection  cover -08 nos missing"/>
    <x v="1"/>
    <x v="3"/>
    <m/>
    <x v="2"/>
  </r>
  <r>
    <d v="2022-01-18T00:00:00"/>
    <s v="TIR1179"/>
    <x v="0"/>
    <s v="PM2237"/>
    <n v="516"/>
    <s v="Primary suspension bottom protection  cover -08 nos missing"/>
    <x v="1"/>
    <x v="3"/>
    <m/>
    <x v="2"/>
  </r>
  <r>
    <d v="2022-01-18T00:00:00"/>
    <s v="TIR1180"/>
    <x v="3"/>
    <s v="NA"/>
    <n v="418"/>
    <s v="HC2 Saloon light cover dismantle (Near to RP3)."/>
    <x v="1"/>
    <x v="1"/>
    <m/>
    <x v="1"/>
  </r>
  <r>
    <d v="2022-01-18T00:00:00"/>
    <s v="TIR1181"/>
    <x v="3"/>
    <s v="NA"/>
    <n v="419"/>
    <s v="Auto-Combine Test (ACT) failed _x000a_+ IOS245: One PCE have a communication fault, + IOS235: Faulty auto test on at least one PCE and + IOS021: Minor fault on 1 brake unit"/>
    <x v="1"/>
    <x v="4"/>
    <s v="24/01/2022 : issue happened 2 times. PCE software udpated "/>
    <x v="0"/>
  </r>
  <r>
    <d v="2022-01-18T00:00:00"/>
    <s v="TIR1182"/>
    <x v="3"/>
    <s v="NA"/>
    <n v="419"/>
    <s v="IOS015 appeared on TS419 and train return back to STBL."/>
    <x v="3"/>
    <x v="3"/>
    <s v="23/01 : Relay 62k08 stuck and not activated. Need to replace the relay"/>
    <x v="0"/>
  </r>
  <r>
    <d v="2022-01-18T00:00:00"/>
    <s v="TIR1183"/>
    <x v="3"/>
    <s v="Alarm Viewer Alarms Report"/>
    <n v="401"/>
    <s v="IOS196:Loss of at least 1 PEI in a class"/>
    <x v="1"/>
    <x v="5"/>
    <s v="Checked all PEIs online"/>
    <x v="1"/>
  </r>
  <r>
    <d v="2022-01-19T00:00:00"/>
    <s v="TIR1184"/>
    <x v="3"/>
    <m/>
    <n v="510"/>
    <s v="IOS -227 loss of Traction in both CABs observed even when the Traction Power is available and both HSCBs are closed."/>
    <x v="3"/>
    <x v="3"/>
    <s v="wrong MPU Sw is install in the train _x000a_07/02 : MPUs updated and no more ios "/>
    <x v="0"/>
  </r>
  <r>
    <d v="2022-01-19T00:00:00"/>
    <s v="TIR1185"/>
    <x v="3"/>
    <m/>
    <n v="501"/>
    <s v="Break issue with below recorded IOS_x000a_IOS295, IOS246, IOS21 "/>
    <x v="3"/>
    <x v="3"/>
    <s v="06-02-2022 :Need to check _x000a_08/02 : found the cabling between A_x0002_Matric and Ethernet switch not well connected.woke up the train 3 times and no IOS observed. "/>
    <x v="0"/>
  </r>
  <r>
    <d v="2022-01-19T00:00:00"/>
    <s v="TIR1186"/>
    <x v="7"/>
    <s v="Mantis_RST1000"/>
    <n v="505"/>
    <s v="IOS249:One DCU has a communication fault"/>
    <x v="1"/>
    <x v="1"/>
    <m/>
    <x v="2"/>
  </r>
  <r>
    <d v="2022-01-19T00:00:00"/>
    <s v="TIR1187"/>
    <x v="7"/>
    <s v="Mantis_RST999"/>
    <n v="514"/>
    <s v="when the train is correctly docked and PEED of the door towards the track is applied and the train driving mood is switched from ATPM to UTO the door towards the track opens (less than 2.5 cm) and closes immediately. _x000a_o When the door opening alarm is triggered by ATC area securing zone is applied. _x000a_o Issue is observed only on the mainline.  "/>
    <x v="1"/>
    <x v="1"/>
    <m/>
    <x v="2"/>
  </r>
  <r>
    <d v="2022-01-19T00:00:00"/>
    <s v="TIR1188"/>
    <x v="3"/>
    <s v="Alarm Viewer Alarms Report"/>
    <n v="408"/>
    <s v="IOS196:Loss of at least 1 PEI in a class"/>
    <x v="1"/>
    <x v="5"/>
    <s v="Checked all devices online and display OK"/>
    <x v="1"/>
  </r>
  <r>
    <d v="2022-01-19T00:00:00"/>
    <s v="TIR1189"/>
    <x v="3"/>
    <s v="Alarm Viewer Alarms Report"/>
    <n v="613"/>
    <s v="IOS249:One DCU has a communication fault"/>
    <x v="2"/>
    <x v="1"/>
    <m/>
    <x v="1"/>
  </r>
  <r>
    <d v="2022-01-19T00:00:00"/>
    <s v="TIR1190"/>
    <x v="3"/>
    <s v="Alarm Viewer Alarms Report"/>
    <n v="624"/>
    <s v="IOS21:Minor fault on 1 brake unit_x000a_IOS245:One PCE has a communication faul_x000a_IOS235:Faulty auto test on at least one PCE"/>
    <x v="2"/>
    <x v="4"/>
    <s v="reversible mode "/>
    <x v="1"/>
  </r>
  <r>
    <d v="2022-01-19T00:00:00"/>
    <s v="TIR1191"/>
    <x v="3"/>
    <s v="Alarm Viewer Alarms Report"/>
    <n v="401"/>
    <s v="IOS179:1 APC MV Status false_x000a_IOS185:1 APC LV Status false"/>
    <x v="2"/>
    <x v="4"/>
    <s v="due to reversibler mode"/>
    <x v="1"/>
  </r>
  <r>
    <d v="2022-01-19T00:00:00"/>
    <s v="TIR1192"/>
    <x v="4"/>
    <s v="NA"/>
    <n v="622"/>
    <s v="GCR panel cover need to fixed "/>
    <x v="1"/>
    <x v="2"/>
    <s v="Checked and no all cover fixed."/>
    <x v="1"/>
  </r>
  <r>
    <d v="2022-01-19T00:00:00"/>
    <s v="TIR1193"/>
    <x v="4"/>
    <s v="NA"/>
    <n v="402"/>
    <s v="RP locks panel need to fixed"/>
    <x v="1"/>
    <x v="1"/>
    <m/>
    <x v="1"/>
  </r>
  <r>
    <d v="2022-01-24T00:00:00"/>
    <s v="TIR1194"/>
    <x v="2"/>
    <s v="NA"/>
    <n v="626"/>
    <s v="52Q11 and 11Q02 was tripping (short circuit in AA3S)"/>
    <x v="3"/>
    <x v="1"/>
    <s v="short circuit inside the  AA3S so we replaced with new AA3S."/>
    <x v="0"/>
  </r>
  <r>
    <d v="2022-01-26T00:00:00"/>
    <s v="TIR1195"/>
    <x v="0"/>
    <s v="NA"/>
    <n v="411"/>
    <s v="pei5-v1 loss com"/>
    <x v="1"/>
    <x v="0"/>
    <s v="Replaced New PEI"/>
    <x v="0"/>
  </r>
  <r>
    <d v="2022-01-26T00:00:00"/>
    <s v="TIR1196"/>
    <x v="0"/>
    <s v="NA"/>
    <n v="615"/>
    <s v="The light under the seat does not work in the first class cabin @615A"/>
    <x v="1"/>
    <x v="1"/>
    <s v="shunt was losse between 23E12 and 23E13 . we fixed the shunt. "/>
    <x v="0"/>
  </r>
  <r>
    <d v="2022-01-30T00:00:00"/>
    <s v="TIR1197"/>
    <x v="3"/>
    <s v="NA"/>
    <n v="511"/>
    <s v="4 Roof panel and 2 HVAC panel damaged due to hit roller shutter. "/>
    <x v="3"/>
    <x v="1"/>
    <s v="need to Reapair  and paint "/>
    <x v="3"/>
  </r>
  <r>
    <d v="2022-01-30T00:00:00"/>
    <s v="TIR1198"/>
    <x v="3"/>
    <s v="NA"/>
    <n v="611"/>
    <s v="Found paint signs on the surface of the train.  Ref. Pic."/>
    <x v="1"/>
    <x v="1"/>
    <s v="need to Reapair  and paint "/>
    <x v="0"/>
  </r>
  <r>
    <d v="2022-01-30T00:00:00"/>
    <s v="TIR1199"/>
    <x v="3"/>
    <s v="NA"/>
    <n v="625"/>
    <s v="Found screthes on the surface of train near Door 1 in HC2.  Ref. Pic."/>
    <x v="1"/>
    <x v="1"/>
    <s v="need to Reapair  and paint "/>
    <x v="0"/>
  </r>
  <r>
    <d v="2022-01-30T00:00:00"/>
    <s v="TIR1200"/>
    <x v="0"/>
    <s v="PM2293"/>
    <n v="401"/>
    <s v="HC1 LCD1 showing offline in IP scanner"/>
    <x v="1"/>
    <x v="0"/>
    <s v="Updated software manually and test OK"/>
    <x v="0"/>
  </r>
  <r>
    <d v="2022-01-30T00:00:00"/>
    <s v="TIR1201"/>
    <x v="0"/>
    <s v="PM2295"/>
    <n v="422"/>
    <s v="HC2 LEDI1 is not working and IP also offline -blank"/>
    <x v="1"/>
    <x v="0"/>
    <s v="checked it online and display ok"/>
    <x v="1"/>
  </r>
  <r>
    <d v="2022-01-30T00:00:00"/>
    <s v="TIR1202"/>
    <x v="0"/>
    <s v="PM2296"/>
    <n v="423"/>
    <s v="HC2 LEDI6,LCD6,SWD6 offline in ip scanner-physically they are working good"/>
    <x v="1"/>
    <x v="0"/>
    <m/>
    <x v="1"/>
  </r>
  <r>
    <d v="2022-01-31T00:00:00"/>
    <s v="TIR1203"/>
    <x v="3"/>
    <m/>
    <n v="406"/>
    <s v="EB applied &amp; not getting released, EB was from ATC side due to 5 ATC cards are not working in 93A01 Rack in GCL."/>
    <x v="3"/>
    <x v="3"/>
    <s v="3/2/2022 : SLV issue confirmed. Issue coming from the PPU card doesn't power the others cards. Slv will inform us when they rectify the issue._x000a_Now ok Card replaced"/>
    <x v="1"/>
  </r>
  <r>
    <d v="2022-02-03T00:00:00"/>
    <s v="TIR1204"/>
    <x v="2"/>
    <m/>
    <n v="625"/>
    <s v="TCCU2 no take over as master issue"/>
    <x v="1"/>
    <x v="0"/>
    <s v="Replaced a new TCCU and test ok"/>
    <x v="0"/>
  </r>
  <r>
    <d v="2022-02-03T00:00:00"/>
    <s v="TIR1205"/>
    <x v="2"/>
    <m/>
    <n v="626"/>
    <s v="CVS2 agate short circuit"/>
    <x v="3"/>
    <x v="1"/>
    <s v="Replaces a new CVS agate and test ok"/>
    <x v="0"/>
  </r>
  <r>
    <d v="2022-02-01T00:00:00"/>
    <s v="TIR1206"/>
    <x v="0"/>
    <s v="PM2304"/>
    <n v="608"/>
    <s v="HC-2, CVS - Cover panel, one lock is missing"/>
    <x v="1"/>
    <x v="2"/>
    <m/>
    <x v="2"/>
  </r>
  <r>
    <d v="2022-02-01T00:00:00"/>
    <s v="TIR1207"/>
    <x v="0"/>
    <s v="PM2305"/>
    <n v="514"/>
    <s v="Internal  Gangway Panel has more scratch"/>
    <x v="1"/>
    <x v="1"/>
    <m/>
    <x v="3"/>
  </r>
  <r>
    <d v="2022-02-01T00:00:00"/>
    <s v="TIR1208"/>
    <x v="0"/>
    <s v="PM2306"/>
    <n v="516"/>
    <s v="HC1-HVAC1-Compressor 3 Noise"/>
    <x v="1"/>
    <x v="1"/>
    <m/>
    <x v="2"/>
  </r>
  <r>
    <d v="2022-02-01T00:00:00"/>
    <s v="TIR1209"/>
    <x v="0"/>
    <s v="PM2313"/>
    <n v="512"/>
    <s v="Hc1-First class passenger saloon light in reverse brightness"/>
    <x v="1"/>
    <x v="1"/>
    <m/>
    <x v="2"/>
  </r>
  <r>
    <d v="2022-02-01T00:00:00"/>
    <s v="TIR1210"/>
    <x v="0"/>
    <s v="PM2313"/>
    <n v="512"/>
    <s v="Hc1-First class passenger saloon light in reverse brightness"/>
    <x v="1"/>
    <x v="1"/>
    <m/>
    <x v="2"/>
  </r>
  <r>
    <d v="2022-02-01T00:00:00"/>
    <s v="TIR1211"/>
    <x v="0"/>
    <s v="PM2307"/>
    <n v="415"/>
    <s v=" HC2-PCE cooling fan cover one screw need to re-tap"/>
    <x v="1"/>
    <x v="2"/>
    <m/>
    <x v="3"/>
  </r>
  <r>
    <d v="2022-02-01T00:00:00"/>
    <s v="TIR1212"/>
    <x v="0"/>
    <s v="30k MAINTENANCE "/>
    <n v="416"/>
    <s v="HC1 AXLE4 LHS primary suspension dummy caps (bottom part ) are missing  HC2 AXLE1 RHS and AXLE4 LHS primary suspension dummy caps (bottom part ) are missing "/>
    <x v="1"/>
    <x v="3"/>
    <s v="03/08 : Need 8 Pcs to normalize"/>
    <x v="3"/>
  </r>
  <r>
    <d v="2022-02-01T00:00:00"/>
    <s v="TIR1213"/>
    <x v="0"/>
    <s v="30k MAINTENANCE "/>
    <n v="416"/>
    <s v="HC1 Bogie 2 Horizontal damper doesnt have torque marks on its bolts on one end ( two bolts );ALL ECR(earth current return ) cables are without proper torque marks on them (HC1 +HC2)_x000a_all axle box outer covers are without proper legible  torque marks on them (marks are mostly faded are not good)"/>
    <x v="1"/>
    <x v="4"/>
    <m/>
    <x v="4"/>
  </r>
  <r>
    <d v="2022-02-01T00:00:00"/>
    <s v="TIR1214"/>
    <x v="0"/>
    <s v="PM2310"/>
    <n v="606"/>
    <s v="IOS61 : At least one door is not operational indication"/>
    <x v="1"/>
    <x v="1"/>
    <m/>
    <x v="1"/>
  </r>
  <r>
    <d v="2022-02-01T00:00:00"/>
    <s v="TIR1215"/>
    <x v="3"/>
    <m/>
    <n v="608"/>
    <s v="IOS191:Loss of video recorder_x000a_IOS200:Loss of all superwides in the same doors platform_x000a_IOS199:Loss of all interior LCD compact displays in the same platform_x000a_IOS198:Loss of LCD 16/9 in the same class_x000a_IOS195:Loss of All PEI in the same class_x000a_IOS196:Loss of at least 1 PEI in a class"/>
    <x v="1"/>
    <x v="5"/>
    <s v="Checked PEIs all online and no ios report"/>
    <x v="1"/>
  </r>
  <r>
    <d v="2022-02-01T00:00:00"/>
    <s v="TIR1216"/>
    <x v="0"/>
    <s v="PM2319"/>
    <n v="503"/>
    <s v="HC1-HVAC1 compressor 1,2,3 are Noisy"/>
    <x v="1"/>
    <x v="1"/>
    <m/>
    <x v="2"/>
  </r>
  <r>
    <d v="2022-02-01T00:00:00"/>
    <s v="TIR1217"/>
    <x v="0"/>
    <s v="PM2319"/>
    <n v="503"/>
    <s v="HC2 Compressor -AirLeakage"/>
    <x v="1"/>
    <x v="3"/>
    <m/>
    <x v="2"/>
  </r>
  <r>
    <d v="2022-02-01T00:00:00"/>
    <s v="TIR1218"/>
    <x v="0"/>
    <s v="PM2319"/>
    <n v="503"/>
    <s v="HC1&amp; HC2-Cab Light Dim(inverse )"/>
    <x v="1"/>
    <x v="1"/>
    <s v="Already created NCR"/>
    <x v="3"/>
  </r>
  <r>
    <d v="2022-02-01T00:00:00"/>
    <s v="TIR1219"/>
    <x v="0"/>
    <s v="PM2319"/>
    <n v="503"/>
    <s v="HC1- Train can't be sleep"/>
    <x v="1"/>
    <x v="3"/>
    <m/>
    <x v="0"/>
  </r>
  <r>
    <d v="2022-02-06T00:00:00"/>
    <s v="TIR1220"/>
    <x v="0"/>
    <s v="PM2326"/>
    <n v="517"/>
    <s v="HC1-Stinger 750vdc  Power connector female broken(Refer Pic)"/>
    <x v="1"/>
    <x v="1"/>
    <m/>
    <x v="3"/>
  </r>
  <r>
    <d v="2022-02-06T00:00:00"/>
    <s v="TIR1221"/>
    <x v="0"/>
    <s v="PM2326"/>
    <n v="517"/>
    <s v="HC1-Bogie1 left side Fuse box -JB cable clamp missing(Refer Pic)"/>
    <x v="1"/>
    <x v="1"/>
    <m/>
    <x v="3"/>
  </r>
  <r>
    <d v="2022-02-06T00:00:00"/>
    <s v="TIR1222"/>
    <x v="0"/>
    <s v="PM2327"/>
    <n v="518"/>
    <s v="HC1- Becon Antenna cable stressed due to unfit bracket installed"/>
    <x v="1"/>
    <x v="3"/>
    <m/>
    <x v="2"/>
  </r>
  <r>
    <d v="2022-02-06T00:00:00"/>
    <s v="TIR1223"/>
    <x v="0"/>
    <s v="PM2327"/>
    <n v="518"/>
    <s v="HC1-HVAC1/LP2 Low level ;HC2-HVAC1/LP2 Low Level"/>
    <x v="1"/>
    <x v="1"/>
    <m/>
    <x v="2"/>
  </r>
  <r>
    <d v="2022-02-06T00:00:00"/>
    <s v="TIR1224"/>
    <x v="0"/>
    <s v="PM2327"/>
    <n v="518"/>
    <s v="HC1-Bogie 1 observed abnormal sound while movment"/>
    <x v="1"/>
    <x v="2"/>
    <m/>
    <x v="2"/>
  </r>
  <r>
    <d v="2022-02-06T00:00:00"/>
    <s v="TIR1225"/>
    <x v="0"/>
    <s v="PM2322"/>
    <n v="610"/>
    <s v="Semi permament coupler earth strip missing one bolt"/>
    <x v="1"/>
    <x v="1"/>
    <m/>
    <x v="3"/>
  </r>
  <r>
    <d v="2022-02-06T00:00:00"/>
    <s v="TIR1226"/>
    <x v="0"/>
    <s v="PM2324"/>
    <n v="618"/>
    <s v="HC-02, A-matric exhaust filter Bottom side -  bolt missing and HC-01, Auxillary panel lock is missing"/>
    <x v="1"/>
    <x v="2"/>
    <m/>
    <x v="3"/>
  </r>
  <r>
    <d v="2022-02-06T00:00:00"/>
    <s v="TIR1227"/>
    <x v="0"/>
    <s v="30K maintenance"/>
    <n v="414"/>
    <s v="No proper (legible ) torque marks on the axle box outer covers (all the axles )-all marks are faded;none of the ECR(EARTH CURRENT RETURN ) cables  have  proper torque marks on them"/>
    <x v="1"/>
    <x v="4"/>
    <m/>
    <x v="4"/>
  </r>
  <r>
    <d v="2022-02-06T00:00:00"/>
    <s v="TIR1228"/>
    <x v="0"/>
    <s v="30K maintenance"/>
    <n v="414"/>
    <s v="HC2 AXLE3 RHS-one of the clamp holding the odometer cable to the bogie frame is missing -already tied with cable tie"/>
    <x v="1"/>
    <x v="3"/>
    <m/>
    <x v="2"/>
  </r>
  <r>
    <d v="2022-02-06T00:00:00"/>
    <s v="TIR1229"/>
    <x v="0"/>
    <s v="30K maintenance"/>
    <n v="414"/>
    <s v="Lubricator  sticks are not available in stock  HC1- 13 sticks are needed to add; HC2-14 sticks are needed to add"/>
    <x v="1"/>
    <x v="4"/>
    <m/>
    <x v="4"/>
  </r>
  <r>
    <d v="2022-02-06T00:00:00"/>
    <s v="TIR1230"/>
    <x v="0"/>
    <s v="PM2304"/>
    <n v="608"/>
    <s v="HC1 HVAC1 not able to launch TEST PROTOCOL as the pre condition is not getting high-but physically  HVAC found working"/>
    <x v="1"/>
    <x v="1"/>
    <m/>
    <x v="1"/>
  </r>
  <r>
    <d v="2022-02-06T00:00:00"/>
    <s v="TIR1231"/>
    <x v="0"/>
    <s v="PM2300"/>
    <n v="411"/>
    <s v="LEDI4,LCD4,SWD4 HC1 are showing offline-Physically they are working good"/>
    <x v="1"/>
    <x v="0"/>
    <m/>
    <x v="1"/>
  </r>
  <r>
    <d v="2022-02-07T00:00:00"/>
    <s v="TIR1232"/>
    <x v="0"/>
    <s v="PM2330"/>
    <n v="408"/>
    <s v="HC1 LCD.C.5 display is black in screen (ip is online )"/>
    <x v="1"/>
    <x v="0"/>
    <m/>
    <x v="1"/>
  </r>
  <r>
    <d v="2022-02-07T00:00:00"/>
    <s v="TIR1233"/>
    <x v="0"/>
    <s v="PM2330"/>
    <n v="408"/>
    <s v="ONE GANGWAY PANEL DOOR IS MISSING"/>
    <x v="1"/>
    <x v="1"/>
    <m/>
    <x v="3"/>
  </r>
  <r>
    <d v="2022-02-07T00:00:00"/>
    <s v="TIR1234"/>
    <x v="0"/>
    <s v="PM2328"/>
    <n v="404"/>
    <s v="IOS264 : More than one MUC have a communication fault;In software versions the UMC1,UMC2 showing 0.0.0"/>
    <x v="1"/>
    <x v="0"/>
    <s v="Checked both TCCU version STR570; Updated software again to follow"/>
    <x v="1"/>
  </r>
  <r>
    <d v="2022-02-07T00:00:00"/>
    <s v="TIR1235"/>
    <x v="0"/>
    <s v="30K maintenance"/>
    <n v="404"/>
    <s v="No proper (legible ) torque marks on the axle box outer covers (all the axles )-all marks are faded"/>
    <x v="1"/>
    <x v="4"/>
    <m/>
    <x v="4"/>
  </r>
  <r>
    <d v="2022-02-07T00:00:00"/>
    <s v="TIR1236"/>
    <x v="0"/>
    <s v="PM2331"/>
    <n v="612"/>
    <s v="HC2 DOOR-5 ROOF PANEL IS NOT LOCKED IN ONE END-LOCK ISSUE"/>
    <x v="1"/>
    <x v="1"/>
    <m/>
    <x v="2"/>
  </r>
  <r>
    <d v="2022-02-07T00:00:00"/>
    <s v="TIR1237"/>
    <x v="2"/>
    <m/>
    <n v="613"/>
    <s v="Network instability "/>
    <x v="3"/>
    <x v="3"/>
    <s v="02/08/2022 : logs checked and found MPU restarted without any reason. Train monitored 2 days in the stabling. All are ok."/>
    <x v="1"/>
  </r>
  <r>
    <d v="2022-02-07T00:00:00"/>
    <s v="TIR1238"/>
    <x v="3"/>
    <m/>
    <n v="417"/>
    <s v="IOS15 in the mainline"/>
    <x v="3"/>
    <x v="3"/>
    <s v="07/02/2022 : no issue found. Relay =&gt; ok. Loop release =&gt; ok, pressure switch =&gt; ok. MPU trace armed to catch the issue if happen again."/>
    <x v="0"/>
  </r>
  <r>
    <d v="2022-02-07T00:00:00"/>
    <s v="TIR1239"/>
    <x v="3"/>
    <m/>
    <n v="626"/>
    <s v="Traction Frimware issue "/>
    <x v="3"/>
    <x v="0"/>
    <s v="Updated firmware of version 113, and test no traction issue port"/>
    <x v="0"/>
  </r>
  <r>
    <d v="2022-02-07T00:00:00"/>
    <s v="TIR1240"/>
    <x v="4"/>
    <m/>
    <n v="617"/>
    <s v="HC1 windscreen glass broken"/>
    <x v="3"/>
    <x v="1"/>
    <m/>
    <x v="3"/>
  </r>
  <r>
    <d v="2022-02-07T00:00:00"/>
    <s v="TIR1241"/>
    <x v="4"/>
    <m/>
    <n v="617"/>
    <s v="HC 1 Wiper"/>
    <x v="1"/>
    <x v="1"/>
    <m/>
    <x v="1"/>
  </r>
  <r>
    <d v="2022-02-07T00:00:00"/>
    <s v="TIR1242"/>
    <x v="4"/>
    <m/>
    <n v="617"/>
    <s v="HC&amp; side pannel needs repaints"/>
    <x v="1"/>
    <x v="1"/>
    <m/>
    <x v="1"/>
  </r>
  <r>
    <d v="2022-02-08T00:00:00"/>
    <s v="TIR1243"/>
    <x v="0"/>
    <s v="PM2334"/>
    <n v="420"/>
    <s v="current collector shoe #4 in critical condition/for replacement"/>
    <x v="2"/>
    <x v="1"/>
    <m/>
    <x v="0"/>
  </r>
  <r>
    <d v="2022-02-08T00:00:00"/>
    <s v="TIR1244"/>
    <x v="0"/>
    <s v="PM2336"/>
    <n v="611"/>
    <s v="semi-permanent coupler grounding bolt missing"/>
    <x v="1"/>
    <x v="1"/>
    <m/>
    <x v="3"/>
  </r>
  <r>
    <d v="2022-02-08T00:00:00"/>
    <s v="TIR1245"/>
    <x v="0"/>
    <s v="PM2340"/>
    <n v="515"/>
    <s v="Primary 32 suspension bottom cover missing 32 nos"/>
    <x v="1"/>
    <x v="3"/>
    <m/>
    <x v="2"/>
  </r>
  <r>
    <d v="2022-02-08T00:00:00"/>
    <s v="TIR1246"/>
    <x v="0"/>
    <s v="PM2340"/>
    <n v="515"/>
    <s v="Hc2- Both Derailment sensor and earth cable clamp missing"/>
    <x v="1"/>
    <x v="3"/>
    <m/>
    <x v="3"/>
  </r>
  <r>
    <d v="2022-02-08T00:00:00"/>
    <s v="TIR1247"/>
    <x v="0"/>
    <s v="PM2340"/>
    <n v="515"/>
    <s v="HC1-Bogie2 Left Primary suspension bottom found corrorosion paint scracth"/>
    <x v="1"/>
    <x v="3"/>
    <s v="Painted."/>
    <x v="0"/>
  </r>
  <r>
    <d v="2022-02-08T00:00:00"/>
    <s v="TIR1248"/>
    <x v="0"/>
    <s v="PM"/>
    <n v="507"/>
    <s v="HC1-Door 2 has delay timing to close ( closing time is not equal to other doors)"/>
    <x v="1"/>
    <x v="2"/>
    <s v="Tested and no issues observed."/>
    <x v="1"/>
  </r>
  <r>
    <d v="2022-02-08T00:00:00"/>
    <s v="TIR1249"/>
    <x v="0"/>
    <s v="PM2339"/>
    <n v="508"/>
    <s v="Nvr .1-offline;IOS191 : Loss of video recorder"/>
    <x v="1"/>
    <x v="2"/>
    <s v="Configuration file missing inside NVR, reupload file and restart NVR. NVR working normally."/>
    <x v="0"/>
  </r>
  <r>
    <d v="2022-02-08T00:00:00"/>
    <s v="TIR1250"/>
    <x v="3"/>
    <m/>
    <n v="414"/>
    <s v="TS414 didn’t open doors in all stations in up direction (PF1). Down direction is OK (PF2) "/>
    <x v="1"/>
    <x v="1"/>
    <m/>
    <x v="1"/>
  </r>
  <r>
    <d v="2022-02-08T00:00:00"/>
    <s v="TIR1251"/>
    <x v="3"/>
    <s v="NA"/>
    <n v="609"/>
    <s v="After the wake-up , the Automatic Combined Test are failed and TOM unavailable in ATS HMI due to AutoTestUMC failed."/>
    <x v="3"/>
    <x v="0"/>
    <s v="02/13 : Mohamed :  Automatic combined test failed because the Autotest for ACE1 and UMC are failed._x000a_Autotest ACE now ok : ACE1 was locked, reset done and no more issue._x000a_Guan : UMCAutoTest nok : Need to replace Both TCCU_x000a_2/14/2022:Replaced TCCU1 and autotest OK_x000a_"/>
    <x v="0"/>
  </r>
  <r>
    <d v="2022-02-08T00:00:00"/>
    <s v="TIR1252"/>
    <x v="3"/>
    <m/>
    <n v="625"/>
    <s v="At least one minor failure on PCE"/>
    <x v="1"/>
    <x v="2"/>
    <m/>
    <x v="1"/>
  </r>
  <r>
    <d v="2022-02-08T00:00:00"/>
    <s v="TIR1253"/>
    <x v="3"/>
    <m/>
    <n v="401"/>
    <s v="One compressor out of service indication"/>
    <x v="1"/>
    <x v="3"/>
    <s v="27/02 : no IOS  from MPU logs. Monitored last week also during TT nothing"/>
    <x v="1"/>
  </r>
  <r>
    <d v="2022-02-08T00:00:00"/>
    <s v="TIR1253"/>
    <x v="3"/>
    <m/>
    <n v="408"/>
    <s v="HC_1 Motoring push button not functioning."/>
    <x v="2"/>
    <x v="1"/>
    <s v="both side train moving in wash mode with S_MotBrk"/>
    <x v="1"/>
  </r>
  <r>
    <d v="2022-02-09T00:00:00"/>
    <s v="TIR1254"/>
    <x v="3"/>
    <s v="NA"/>
    <n v="609"/>
    <s v="HC1_Inverter cooling fan abnormal sound."/>
    <x v="3"/>
    <x v="1"/>
    <m/>
    <x v="0"/>
  </r>
  <r>
    <d v="2022-02-10T00:00:00"/>
    <s v="TIR1255"/>
    <x v="3"/>
    <m/>
    <n v="608"/>
    <s v="HC2 – Abnormal sound"/>
    <x v="1"/>
    <x v="1"/>
    <m/>
    <x v="2"/>
  </r>
  <r>
    <d v="2022-02-10T00:00:00"/>
    <s v="TIR1256"/>
    <x v="2"/>
    <m/>
    <n v="422"/>
    <s v="PA not working "/>
    <x v="1"/>
    <x v="0"/>
    <s v="Checked TCCU no received the signal of ISM live announcement, need check ISM side"/>
    <x v="1"/>
  </r>
  <r>
    <d v="2022-02-10T00:00:00"/>
    <s v="TIR1257"/>
    <x v="2"/>
    <m/>
    <n v="404"/>
    <s v="PA not working "/>
    <x v="1"/>
    <x v="0"/>
    <s v="Updated TCCU software manually and test Ok"/>
    <x v="0"/>
  </r>
  <r>
    <d v="2022-02-14T00:00:00"/>
    <s v="TIR1258"/>
    <x v="3"/>
    <m/>
    <n v="620"/>
    <s v="IOS196:Loss of at least 1 PEI in a class"/>
    <x v="1"/>
    <x v="0"/>
    <s v="Checked PEIs all online and no ios report"/>
    <x v="1"/>
  </r>
  <r>
    <d v="2022-02-14T00:00:00"/>
    <s v="TIR1259"/>
    <x v="3"/>
    <m/>
    <n v="413"/>
    <s v="IOS196:Loss of at least 1 PEI in a class"/>
    <x v="1"/>
    <x v="5"/>
    <m/>
    <x v="1"/>
  </r>
  <r>
    <d v="2022-02-10T00:00:00"/>
    <s v="TIR1260"/>
    <x v="0"/>
    <m/>
    <n v="406"/>
    <s v="SWD-6 HC2 not working"/>
    <x v="1"/>
    <x v="0"/>
    <m/>
    <x v="1"/>
  </r>
  <r>
    <d v="2022-02-10T00:00:00"/>
    <s v="TIR1261"/>
    <x v="0"/>
    <m/>
    <n v="413"/>
    <s v="led2-v2,lcd2-v2,swd2-v2  showing offline in ip scanner"/>
    <x v="1"/>
    <x v="0"/>
    <m/>
    <x v="1"/>
  </r>
  <r>
    <d v="2022-02-10T00:00:00"/>
    <s v="TIR1262"/>
    <x v="0"/>
    <m/>
    <n v="601"/>
    <s v="IOS196 : Loss of at least 1 PEI in a class"/>
    <x v="1"/>
    <x v="0"/>
    <s v="Checked PEIs all online and no ios report"/>
    <x v="1"/>
  </r>
  <r>
    <d v="2022-02-10T00:00:00"/>
    <s v="TIR1263"/>
    <x v="0"/>
    <m/>
    <n v="616"/>
    <s v="HC2 AXLE4 gearbox oil level is low"/>
    <x v="1"/>
    <x v="3"/>
    <s v="Need to normalize the oil level"/>
    <x v="3"/>
  </r>
  <r>
    <d v="2022-02-10T00:00:00"/>
    <s v="TIR1264"/>
    <x v="0"/>
    <m/>
    <n v="505"/>
    <s v="Gangway internal Panel has minor scratch"/>
    <x v="1"/>
    <x v="1"/>
    <m/>
    <x v="2"/>
  </r>
  <r>
    <d v="2022-02-10T00:00:00"/>
    <s v="TIR1265"/>
    <x v="0"/>
    <m/>
    <n v="510"/>
    <s v="HC1-HVAC2 LP2  Gas level Low"/>
    <x v="1"/>
    <x v="1"/>
    <m/>
    <x v="2"/>
  </r>
  <r>
    <d v="2022-02-14T00:00:00"/>
    <s v="TIR1266"/>
    <x v="3"/>
    <m/>
    <n v="424"/>
    <s v="EB Derailment"/>
    <x v="1"/>
    <x v="4"/>
    <s v="No issue found"/>
    <x v="1"/>
  </r>
  <r>
    <d v="2022-02-14T00:00:00"/>
    <s v="TIR1267"/>
    <x v="3"/>
    <m/>
    <n v="422"/>
    <s v="IOS179: 1 APC MV Status false,_x000a_IOS185: 1 APC LV Status false."/>
    <x v="1"/>
    <x v="4"/>
    <s v="New CVS Sw will solve the issue "/>
    <x v="1"/>
  </r>
  <r>
    <d v="2022-02-14T00:00:00"/>
    <s v="TIR1268"/>
    <x v="3"/>
    <m/>
    <n v="601"/>
    <s v="IOS196:Loss of at least 1 PEI in a class"/>
    <x v="1"/>
    <x v="5"/>
    <s v="Checked PEIs all online and no ios report"/>
    <x v="1"/>
  </r>
  <r>
    <d v="2022-02-14T00:00:00"/>
    <s v="TIR1269"/>
    <x v="3"/>
    <m/>
    <n v="607"/>
    <s v="IOS196:Loss of at least 1 PEI in a class"/>
    <x v="1"/>
    <x v="5"/>
    <s v="checked it online and display ok"/>
    <x v="1"/>
  </r>
  <r>
    <d v="2022-02-11T00:00:00"/>
    <s v="TIR1270"/>
    <x v="0"/>
    <s v="PM2352"/>
    <n v="607"/>
    <s v="led2-v2,lcd2-v2,swd2-v2- IP Offline"/>
    <x v="1"/>
    <x v="0"/>
    <s v="checked it online and display ok"/>
    <x v="1"/>
  </r>
  <r>
    <d v="2022-02-11T00:00:00"/>
    <s v="TIR1271"/>
    <x v="0"/>
    <s v="PM2353"/>
    <n v="619"/>
    <s v="HC2 HVAC1 &quot;EXHAUST AIR FAN LOW &quot; and &quot;exhaust air fan high&quot; failed in TEST PROTOCOL procedures and error codes are DF1005,DF1006 "/>
    <x v="1"/>
    <x v="1"/>
    <m/>
    <x v="2"/>
  </r>
  <r>
    <d v="2022-02-11T00:00:00"/>
    <s v="TIR1272"/>
    <x v="0"/>
    <s v="PM2357"/>
    <n v="409"/>
    <s v="Found one scratch in SWD-4 front cover HC2"/>
    <x v="1"/>
    <x v="0"/>
    <s v="To replace SWD"/>
    <x v="3"/>
  </r>
  <r>
    <d v="2022-02-11T00:00:00"/>
    <s v="TIR1273"/>
    <x v="0"/>
    <s v="PM2359"/>
    <n v="623"/>
    <s v="HC1 IES stinger connector cover is broken"/>
    <x v="1"/>
    <x v="1"/>
    <m/>
    <x v="3"/>
  </r>
  <r>
    <d v="2022-02-11T00:00:00"/>
    <s v="TIR1274"/>
    <x v="0"/>
    <s v="PM2359"/>
    <n v="623"/>
    <s v="HC1 ACE rubber gasket is damaged around the AGATE compartment"/>
    <x v="1"/>
    <x v="1"/>
    <m/>
    <x v="2"/>
  </r>
  <r>
    <d v="2022-02-11T00:00:00"/>
    <s v="TIR1275"/>
    <x v="0"/>
    <s v="PM2361"/>
    <n v="501"/>
    <s v="HC2-Bogie2 Right side odometer cable metal plate clamp missing"/>
    <x v="1"/>
    <x v="2"/>
    <s v="By part catalog, no metal clamp needed."/>
    <x v="1"/>
  </r>
  <r>
    <d v="2022-02-11T00:00:00"/>
    <s v="TIR1276"/>
    <x v="0"/>
    <s v="PM2361"/>
    <n v="501"/>
    <s v="HC2-HSCB not closed after restart then closed"/>
    <x v="1"/>
    <x v="2"/>
    <s v="Logs download and no major issues observed."/>
    <x v="1"/>
  </r>
  <r>
    <d v="2022-02-11T00:00:00"/>
    <s v="TIR1277"/>
    <x v="0"/>
    <s v="PM2362"/>
    <n v="506"/>
    <s v="Interglass door function  - not open/close fully"/>
    <x v="1"/>
    <x v="1"/>
    <m/>
    <x v="2"/>
  </r>
  <r>
    <d v="2022-02-11T00:00:00"/>
    <s v="TIR1278"/>
    <x v="0"/>
    <s v="PM2361"/>
    <n v="501"/>
    <s v="HC1_Door no.4 4 have an  issue getting closed instandly without delay"/>
    <x v="1"/>
    <x v="2"/>
    <s v="50 seconds delay time not applied"/>
    <x v="0"/>
  </r>
  <r>
    <d v="2022-02-13T00:00:00"/>
    <s v="TIR1279"/>
    <x v="5"/>
    <s v="NA"/>
    <n v="626"/>
    <s v="AGTU HC2  retrofit pending"/>
    <x v="1"/>
    <x v="1"/>
    <m/>
    <x v="3"/>
  </r>
  <r>
    <d v="2022-02-13T00:00:00"/>
    <s v="TIR1280"/>
    <x v="5"/>
    <s v="NA"/>
    <n v="514"/>
    <s v="AGTU HC2  retrofit pending"/>
    <x v="1"/>
    <x v="1"/>
    <m/>
    <x v="3"/>
  </r>
  <r>
    <d v="2022-02-14T00:00:00"/>
    <s v="TIR1281"/>
    <x v="0"/>
    <s v="PM2369"/>
    <n v="401"/>
    <s v="gear oil levels are low in HC1 Axle1,axle2,axle3"/>
    <x v="1"/>
    <x v="3"/>
    <m/>
    <x v="4"/>
  </r>
  <r>
    <d v="2022-02-14T00:00:00"/>
    <s v="TIR1282"/>
    <x v="0"/>
    <s v="PM2370"/>
    <n v="411"/>
    <s v=" HC2, PCE-underframe cover one screw need re-tap"/>
    <x v="1"/>
    <x v="2"/>
    <s v="Need inserted tool for fix new inserted."/>
    <x v="3"/>
  </r>
  <r>
    <d v="2022-02-14T00:00:00"/>
    <s v="TIR1283"/>
    <x v="0"/>
    <s v="PM2371"/>
    <n v="412"/>
    <s v=" HC2, CVS earth cable lose"/>
    <x v="1"/>
    <x v="2"/>
    <m/>
    <x v="2"/>
  </r>
  <r>
    <d v="2022-02-14T00:00:00"/>
    <s v="TIR1284"/>
    <x v="0"/>
    <s v="PM2372"/>
    <n v="603"/>
    <s v="IOS267 : At least one software version discordancy fault"/>
    <x v="1"/>
    <x v="5"/>
    <m/>
    <x v="1"/>
  </r>
  <r>
    <d v="2022-02-14T00:00:00"/>
    <s v="TIR1285"/>
    <x v="0"/>
    <s v="PM2373"/>
    <n v="608"/>
    <s v="HC2, PCE-Underframe cover - need retap"/>
    <x v="1"/>
    <x v="2"/>
    <m/>
    <x v="3"/>
  </r>
  <r>
    <d v="2022-02-14T00:00:00"/>
    <s v="TIR1286"/>
    <x v="0"/>
    <s v="PM2374"/>
    <n v="514"/>
    <s v="HC1-lcd3 offline; HC1-Lcd.3 BLANK,HC2 Lcd3 Dim"/>
    <x v="1"/>
    <x v="5"/>
    <m/>
    <x v="2"/>
  </r>
  <r>
    <d v="2022-02-14T00:00:00"/>
    <s v="TIR1287"/>
    <x v="0"/>
    <s v="PM2375"/>
    <n v="516"/>
    <s v="HC2-left side derailment sensor's cable support clamp found  bended,cable has  stressed ( Refer Pic)             "/>
    <x v="1"/>
    <x v="3"/>
    <m/>
    <x v="2"/>
  </r>
  <r>
    <d v="2022-02-14T00:00:00"/>
    <s v="TIR1288"/>
    <x v="0"/>
    <s v="PM2375"/>
    <n v="516"/>
    <s v="HC2-SWD 3 offline;HC2 -SWD.3 Half blank,half error message"/>
    <x v="1"/>
    <x v="5"/>
    <m/>
    <x v="2"/>
  </r>
  <r>
    <d v="2022-02-14T00:00:00"/>
    <s v="TIR1289"/>
    <x v="0"/>
    <s v="PM2375"/>
    <n v="516"/>
    <s v="HC1-Door 2 getting closed immediately when compare other doors"/>
    <x v="1"/>
    <x v="2"/>
    <m/>
    <x v="2"/>
  </r>
  <r>
    <d v="2022-02-15T00:00:00"/>
    <s v="TIR1290"/>
    <x v="0"/>
    <s v="NA"/>
    <n v="607"/>
    <s v="Momvement on torque marking bolt connection for automatic coupler assembly"/>
    <x v="1"/>
    <x v="1"/>
    <m/>
    <x v="2"/>
  </r>
  <r>
    <d v="2022-02-15T00:00:00"/>
    <s v="TIR1291"/>
    <x v="3"/>
    <s v="NA"/>
    <n v="605"/>
    <s v="Accident"/>
    <x v="3"/>
    <x v="1"/>
    <s v="13/3 : all damaged part already replaced and NRT still pending._x000a_20/03 NRT done on test track by Ahmad"/>
    <x v="0"/>
  </r>
  <r>
    <d v="2022-02-15T00:00:00"/>
    <s v="TIR1292"/>
    <x v="0"/>
    <s v="PM2378"/>
    <n v="605"/>
    <s v="IOS180 : 1 APC Major failure"/>
    <x v="1"/>
    <x v="2"/>
    <s v="Checekd aafter CM repair all damaged part and cables. No issue observed."/>
    <x v="1"/>
  </r>
  <r>
    <d v="2022-02-15T00:00:00"/>
    <s v="TIR1293"/>
    <x v="0"/>
    <s v="PM2381"/>
    <n v="502"/>
    <s v="HC1-Ledi.6;HC2-Ledi3,Lcd3,Swd3  offline [HC1-Ledi.6-software not up-to-date ,HC2 -Ledi3 Error message] "/>
    <x v="1"/>
    <x v="0"/>
    <m/>
    <x v="2"/>
  </r>
  <r>
    <d v="2022-02-15T00:00:00"/>
    <s v="TIR1294"/>
    <x v="0"/>
    <s v="PM2382"/>
    <n v="512"/>
    <s v="HC1-Ledi.6;HC2-Ledi3,Lcd3,Swd3  offline [HC1-Ledi.6-software not up-to-date ,HC2 -Ledi3 Error message] "/>
    <x v="1"/>
    <x v="0"/>
    <m/>
    <x v="2"/>
  </r>
  <r>
    <d v="2022-02-16T00:00:00"/>
    <s v="TIR1295"/>
    <x v="3"/>
    <s v="NA"/>
    <n v="501"/>
    <s v="Train is not moving with Cab1 active"/>
    <x v="3"/>
    <x v="2"/>
    <s v="Found connector inside GCL and GCR for ATC rack loosen._x000a_20/02/2022 issue still present_x000a_21/02/2022 : issue resovled now ok. No issue found with traction, issue coming from the FWD input not receiving at tcms level. Apres checking foung the connector XR01 RP3 was loose. "/>
    <x v="0"/>
  </r>
  <r>
    <d v="2022-02-16T00:00:00"/>
    <s v="TIR1296"/>
    <x v="4"/>
    <s v="NA"/>
    <n v="409"/>
    <s v="Dirty on the external paint - glue from cocoon"/>
    <x v="1"/>
    <x v="1"/>
    <m/>
    <x v="0"/>
  </r>
  <r>
    <d v="2022-02-16T00:00:00"/>
    <s v="TIR1297"/>
    <x v="2"/>
    <s v="NA"/>
    <n v="612"/>
    <s v="Loss of LED6V1. Needs to be replaced"/>
    <x v="1"/>
    <x v="5"/>
    <m/>
    <x v="1"/>
  </r>
  <r>
    <d v="2022-02-16T00:00:00"/>
    <s v="TIR1298"/>
    <x v="0"/>
    <s v="PM2384"/>
    <n v="601"/>
    <s v="IP scanner: HVAC1-v1- Offline ; HVAC 1 not communicating"/>
    <x v="2"/>
    <x v="1"/>
    <s v="all HVAC are online"/>
    <x v="1"/>
  </r>
  <r>
    <d v="2022-02-16T00:00:00"/>
    <s v="TIR1299"/>
    <x v="0"/>
    <s v="PM2387"/>
    <n v="617"/>
    <s v="IP scanner: Hc1 Dcu1,3,4&amp;5 - Offline; IOS68 : Zero velocity fault detected by doors"/>
    <x v="1"/>
    <x v="2"/>
    <s v="24/02 : all doors are online. Checked and no issue observed"/>
    <x v="1"/>
  </r>
  <r>
    <d v="2022-02-16T00:00:00"/>
    <s v="TIR1300"/>
    <x v="0"/>
    <s v="PM2387"/>
    <n v="617"/>
    <s v="IOS14 : Service brake applied loop in default indication"/>
    <x v="3"/>
    <x v="3"/>
    <s v="02/24 : F032 : parking brake fault to open seen in BCE1 logs. trace armed and under monitoring"/>
    <x v="1"/>
  </r>
  <r>
    <d v="2022-02-16T00:00:00"/>
    <s v="TIR1301"/>
    <x v="0"/>
    <s v="PM2387"/>
    <n v="617"/>
    <s v="HVAC1-HC1 not communicating in mona for test protocol"/>
    <x v="1"/>
    <x v="1"/>
    <s v="no issue found in test mode connection"/>
    <x v="1"/>
  </r>
  <r>
    <d v="2022-02-16T00:00:00"/>
    <s v="TIR1302"/>
    <x v="0"/>
    <s v="PM2388"/>
    <n v="624"/>
    <s v="IP Scanner: Swd6-V1 &amp; Swd1-V2- Offline"/>
    <x v="1"/>
    <x v="0"/>
    <m/>
    <x v="1"/>
  </r>
  <r>
    <d v="2022-02-16T00:00:00"/>
    <s v="TIR1303"/>
    <x v="0"/>
    <s v="PM2388"/>
    <n v="624"/>
    <s v="HVAC1-HC1 not communicating in mona for test protocol"/>
    <x v="1"/>
    <x v="1"/>
    <m/>
    <x v="1"/>
  </r>
  <r>
    <d v="2022-02-16T00:00:00"/>
    <s v="TIR1304"/>
    <x v="0"/>
    <s v="PM2389"/>
    <n v="503"/>
    <s v="IP Offline: HC1- All Ledi-V1; HC2- All Ledi-V1, Lcd5-V2                                         _x000a_           PAPIS Display Visual Status: HC1 &amp; HC2- All Ledi Error Message; HC2-Lcd 2 &amp; 5 Blank                                                                                                                                             IOS199 : Loss of all interior LCD compact displays in the same platform"/>
    <x v="1"/>
    <x v="0"/>
    <m/>
    <x v="2"/>
  </r>
  <r>
    <d v="2022-02-16T00:00:00"/>
    <s v="TIR1305"/>
    <x v="0"/>
    <s v="PM2389"/>
    <n v="503"/>
    <s v="Partition Door not closing fully"/>
    <x v="1"/>
    <x v="1"/>
    <m/>
    <x v="2"/>
  </r>
  <r>
    <d v="2022-02-16T00:00:00"/>
    <s v="TIR1306"/>
    <x v="0"/>
    <s v="PM2390"/>
    <n v="503"/>
    <s v="IP Offline: HC1- All Ledi-V1; HC2- All Ledi-V1, Lcd5-V2                                                    PAPIS Display Visual Status:   HC1:LCD2,LEDI3-Nok; SWD3 Half display with error message; SWD5 Half display      HC2:LEDI2 Nok SW Not Up-To-Date-                                          "/>
    <x v="1"/>
    <x v="0"/>
    <m/>
    <x v="2"/>
  </r>
  <r>
    <d v="2022-02-16T00:00:00"/>
    <s v="TIR1307"/>
    <x v="0"/>
    <s v="PM2390"/>
    <n v="503"/>
    <s v="HC1-HVAC1 Compressor1,2,3 are Noisy"/>
    <x v="1"/>
    <x v="1"/>
    <m/>
    <x v="2"/>
  </r>
  <r>
    <d v="2022-02-17T00:00:00"/>
    <s v="TIR1308"/>
    <x v="0"/>
    <s v="PM2390"/>
    <n v="503"/>
    <s v="Partition Door not closing fully"/>
    <x v="1"/>
    <x v="1"/>
    <m/>
    <x v="2"/>
  </r>
  <r>
    <d v="2022-02-17T00:00:00"/>
    <s v="TIR1309"/>
    <x v="2"/>
    <m/>
    <n v="515"/>
    <s v="TCCU hc2  offline "/>
    <x v="1"/>
    <x v="4"/>
    <s v="Reprogram the firmware &amp; update the software 570 by Nayas"/>
    <x v="0"/>
  </r>
  <r>
    <d v="2022-02-17T00:00:00"/>
    <s v="TIR1310"/>
    <x v="3"/>
    <m/>
    <n v="412"/>
    <s v="IOS196:Loss of at least 1 PEI in a class"/>
    <x v="1"/>
    <x v="5"/>
    <s v="checked it online and display ok"/>
    <x v="1"/>
  </r>
  <r>
    <d v="2022-02-18T00:00:00"/>
    <s v="TIR1311"/>
    <x v="3"/>
    <m/>
    <n v="420"/>
    <s v="HC1 front skirt scratched"/>
    <x v="1"/>
    <x v="1"/>
    <s v="13/3 : all damaged part already replaced and NRT still pending."/>
    <x v="3"/>
  </r>
  <r>
    <d v="2022-02-17T00:00:00"/>
    <s v="TIR1312"/>
    <x v="0"/>
    <m/>
    <n v="612"/>
    <s v="SWD6-V1 half display,ledi6-v1 error and offline"/>
    <x v="1"/>
    <x v="0"/>
    <m/>
    <x v="1"/>
  </r>
  <r>
    <d v="2022-02-17T00:00:00"/>
    <s v="TIR1313"/>
    <x v="0"/>
    <m/>
    <n v="423"/>
    <s v="SWD6-V2;LCD6-V2;LEDI6-V2 offline"/>
    <x v="1"/>
    <x v="0"/>
    <m/>
    <x v="1"/>
  </r>
  <r>
    <d v="2022-02-17T00:00:00"/>
    <s v="TIR1314"/>
    <x v="0"/>
    <s v="PM2397"/>
    <n v="517"/>
    <s v="IP scanner : MPU2 Offline, TCN: MPU2 Offline                                              _x000a_            IOS242 : One MPU have a communication fault"/>
    <x v="2"/>
    <x v="2"/>
    <s v="01/03 : Need to change the CRS5 V2. delay to power on and as effect it will generate the IOS242. new crs installed and test ok. Crs took from 605 because no more spare available "/>
    <x v="0"/>
  </r>
  <r>
    <d v="2022-02-17T00:00:00"/>
    <s v="TIR1315"/>
    <x v="0"/>
    <s v="PM2397"/>
    <n v="517"/>
    <s v="IOS243 : One TRS Or NETBOX have a communication fault"/>
    <x v="1"/>
    <x v="2"/>
    <m/>
    <x v="0"/>
  </r>
  <r>
    <d v="2022-02-17T00:00:00"/>
    <s v="TIR1316"/>
    <x v="0"/>
    <s v="PM2397"/>
    <n v="517"/>
    <s v="HVAC1-V1  gas level Low pressure 1 &amp; 2"/>
    <x v="1"/>
    <x v="1"/>
    <m/>
    <x v="2"/>
  </r>
  <r>
    <d v="2022-02-17T00:00:00"/>
    <s v="TIR1317"/>
    <x v="0"/>
    <s v="PM2398"/>
    <n v="518"/>
    <s v="IP Offline: Dcu1-v1, papis-pa1, dcu2-v2, pei5-v2, ledi 3&amp;5-v2, lcd 3&amp;5-v2, swd 3&amp;5-v2 - offline;  IOS262 : More than one DCU have a communication fault; IOS196 : Loss of at least 1 PEI in a class"/>
    <x v="1"/>
    <x v="0"/>
    <m/>
    <x v="2"/>
  </r>
  <r>
    <d v="2022-02-17T00:00:00"/>
    <s v="TIR1318"/>
    <x v="0"/>
    <s v="PM2398"/>
    <n v="518"/>
    <s v="HC1-HVAC1 Compressor1,2,3&amp;4 are Noisy."/>
    <x v="1"/>
    <x v="1"/>
    <m/>
    <x v="2"/>
  </r>
  <r>
    <d v="2022-02-20T00:00:00"/>
    <s v="TIR1319"/>
    <x v="2"/>
    <s v="NA"/>
    <n v="501"/>
    <s v="HC2_not able to sleep"/>
    <x v="1"/>
    <x v="3"/>
    <s v="20/02 : We found that the cable WF00062 was connected to the PIN 73 of the connector XR03+CCC instead of connector XR02+CCC"/>
    <x v="0"/>
  </r>
  <r>
    <d v="2022-02-20T00:00:00"/>
    <s v="TIR1320"/>
    <x v="3"/>
    <m/>
    <n v="518"/>
    <s v="Long Docking happened a lots"/>
    <x v="3"/>
    <x v="3"/>
    <m/>
    <x v="2"/>
  </r>
  <r>
    <d v="2022-02-20T00:00:00"/>
    <s v="TIR1321"/>
    <x v="3"/>
    <m/>
    <n v="503"/>
    <s v="IOS199+ IOS196"/>
    <x v="1"/>
    <x v="0"/>
    <m/>
    <x v="2"/>
  </r>
  <r>
    <d v="2022-02-20T00:00:00"/>
    <s v="TIR1322"/>
    <x v="3"/>
    <m/>
    <n v="517"/>
    <s v="IOS243 : One TRS Or NETBOX have a communication fault."/>
    <x v="1"/>
    <x v="2"/>
    <s v="Same  TIR1315 =&gt; Same CMN"/>
    <x v="0"/>
  </r>
  <r>
    <d v="2022-02-20T00:00:00"/>
    <s v="TIR1323"/>
    <x v="3"/>
    <m/>
    <n v="514"/>
    <s v="IOS126 appeared &amp; disappeared after “maybe because of the dust inside the tunnel”,  IOS126 : External smoke is detected."/>
    <x v="1"/>
    <x v="1"/>
    <m/>
    <x v="2"/>
  </r>
  <r>
    <d v="2022-02-20T00:00:00"/>
    <s v="TIR1324"/>
    <x v="3"/>
    <m/>
    <n v="516"/>
    <s v="IOS64 : Door RELEASE control fault train indication"/>
    <x v="1"/>
    <x v="3"/>
    <m/>
    <x v="2"/>
  </r>
  <r>
    <d v="2022-02-20T00:00:00"/>
    <s v="TIR1325"/>
    <x v="3"/>
    <m/>
    <n v="518"/>
    <s v="IOS196: Loss of at least 1 PEI in a class"/>
    <x v="1"/>
    <x v="0"/>
    <m/>
    <x v="2"/>
  </r>
  <r>
    <d v="2022-02-20T00:00:00"/>
    <s v="TIR1326"/>
    <x v="3"/>
    <m/>
    <n v="518"/>
    <s v="Under Frame noise, as per our team they suspect flat wheel."/>
    <x v="3"/>
    <x v="3"/>
    <m/>
    <x v="2"/>
  </r>
  <r>
    <d v="2022-02-20T00:00:00"/>
    <s v="TIR1327"/>
    <x v="3"/>
    <m/>
    <n v="518"/>
    <s v="IOS64 : Door RELEASE control fault train indication"/>
    <x v="1"/>
    <x v="3"/>
    <m/>
    <x v="2"/>
  </r>
  <r>
    <d v="2022-02-21T00:00:00"/>
    <s v="TIR1328"/>
    <x v="3"/>
    <s v="PM2404"/>
    <n v="504"/>
    <s v="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
    <x v="1"/>
    <x v="0"/>
    <m/>
    <x v="2"/>
  </r>
  <r>
    <d v="2022-02-21T00:00:00"/>
    <s v="TIR1329"/>
    <x v="3"/>
    <s v="PM2404"/>
    <n v="504"/>
    <s v="wheel flat on HC2 Bogie 2- Right side Axle 3- Needs to be checked( Refer Pic)"/>
    <x v="2"/>
    <x v="3"/>
    <m/>
    <x v="2"/>
  </r>
  <r>
    <d v="2022-02-21T00:00:00"/>
    <s v="TIR1330"/>
    <x v="3"/>
    <s v="PM"/>
    <n v="507"/>
    <s v="IP scanner : HC1-swd4; Hc2-Ledi3,Lcd3,Pei3,swd3- Offline;                      _x000a_  PAPIS Display Visual Status : SWD3-V1 half blank, SWD4-V1 black                                                            _x000a_IOS196 : Loss of at least 1 PEI in a class"/>
    <x v="1"/>
    <x v="0"/>
    <m/>
    <x v="2"/>
  </r>
  <r>
    <d v="2022-02-21T00:00:00"/>
    <s v="TIR1331"/>
    <x v="3"/>
    <s v="PM"/>
    <n v="507"/>
    <s v="Hc2 Sleep button Not working"/>
    <x v="1"/>
    <x v="3"/>
    <s v="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
    <x v="1"/>
  </r>
  <r>
    <d v="2022-02-21T00:00:00"/>
    <s v="TIR1332"/>
    <x v="0"/>
    <s v="PM2408"/>
    <n v="424"/>
    <s v="HC1-DCU5 offline ;  DCU failed in auto test"/>
    <x v="2"/>
    <x v="1"/>
    <s v="all door was online and working fine"/>
    <x v="1"/>
  </r>
  <r>
    <d v="2022-02-23T00:00:00"/>
    <s v="TIR1333"/>
    <x v="0"/>
    <s v="NA"/>
    <n v="625"/>
    <s v="TCCU2 no communication with ISM "/>
    <x v="1"/>
    <x v="0"/>
    <s v="Replaced a new TCCU and test ok"/>
    <x v="0"/>
  </r>
  <r>
    <d v="2022-02-23T00:00:00"/>
    <s v="TIR1334"/>
    <x v="0"/>
    <s v="PM2410"/>
    <n v="613"/>
    <s v="HC1 AXLE 3 gear oil level is low"/>
    <x v="1"/>
    <x v="3"/>
    <m/>
    <x v="4"/>
  </r>
  <r>
    <d v="2022-02-23T00:00:00"/>
    <s v="TIR1335"/>
    <x v="0"/>
    <s v="PM2410"/>
    <n v="613"/>
    <s v="Both Gangway door panels are Not available"/>
    <x v="1"/>
    <x v="1"/>
    <m/>
    <x v="4"/>
  </r>
  <r>
    <d v="2022-02-23T00:00:00"/>
    <s v="TIR1336"/>
    <x v="0"/>
    <s v="PM2410"/>
    <n v="613"/>
    <s v="HC1 CVS gasket (surrounding the AGATE panel )came out condition"/>
    <x v="1"/>
    <x v="2"/>
    <m/>
    <x v="2"/>
  </r>
  <r>
    <d v="2022-02-23T00:00:00"/>
    <s v="TIR1337"/>
    <x v="0"/>
    <s v="PM2412"/>
    <n v="626"/>
    <s v="HC1 SWD2 half of the display is in blue colour and the other half is working normal"/>
    <x v="1"/>
    <x v="0"/>
    <m/>
    <x v="1"/>
  </r>
  <r>
    <d v="2022-02-23T00:00:00"/>
    <s v="TIR1338"/>
    <x v="0"/>
    <s v="PM2407"/>
    <n v="420"/>
    <s v="HC1 AXLE 3 gear oil level is low"/>
    <x v="1"/>
    <x v="3"/>
    <s v="checked and Oil ok now "/>
    <x v="1"/>
  </r>
  <r>
    <d v="2022-02-23T00:00:00"/>
    <s v="TIR1339"/>
    <x v="0"/>
    <s v="PM2413"/>
    <n v="508"/>
    <s v="IP scanner : HC1-ledi4 &amp; 5; Swd2 &amp; 6; lcd6                                                        _x000a_PAPIS Display Visual Status : HC1-swd.2-Half error message &amp;half blank; Ledi4 black                                                                                                              IOS199 : Loss of all interior LCD compact displays in the same platform "/>
    <x v="1"/>
    <x v="0"/>
    <m/>
    <x v="2"/>
  </r>
  <r>
    <d v="2022-02-23T00:00:00"/>
    <s v="TIR1340"/>
    <x v="8"/>
    <m/>
    <m/>
    <s v="PM"/>
    <x v="0"/>
    <x v="6"/>
    <m/>
    <x v="5"/>
  </r>
  <r>
    <d v="2022-02-23T00:00:00"/>
    <s v="TIR1341"/>
    <x v="0"/>
    <s v="NA"/>
    <n v="651"/>
    <s v=". Found also wire (41K05_XR_01/A3) damaged short with body."/>
    <x v="1"/>
    <x v="1"/>
    <m/>
    <x v="2"/>
  </r>
  <r>
    <d v="2022-02-23T00:00:00"/>
    <s v="TIR1342"/>
    <x v="5"/>
    <s v="PM2415"/>
    <n v="406"/>
    <s v="HC1 lube sticks required are 14 nos _x000a_HC2 lube sticks required are 11 nos (total 25 nos of sticks are needed for this train)"/>
    <x v="1"/>
    <x v="6"/>
    <m/>
    <x v="2"/>
  </r>
  <r>
    <d v="2022-02-23T00:00:00"/>
    <s v="TIR1343"/>
    <x v="8"/>
    <s v="PM2416"/>
    <n v="410"/>
    <s v="HC2, BOGIE-1, Right side, CCD HV cable no clamp for return line"/>
    <x v="1"/>
    <x v="6"/>
    <m/>
    <x v="2"/>
  </r>
  <r>
    <d v="2022-02-23T00:00:00"/>
    <s v="TIR1344"/>
    <x v="8"/>
    <s v="PM2417"/>
    <n v="410"/>
    <s v="HC1 lube sticks required are 14 nos _x000a_HC2 lube sticks required are 14 nos (total 28 nos of sticks are needed for this train)"/>
    <x v="1"/>
    <x v="6"/>
    <m/>
    <x v="2"/>
  </r>
  <r>
    <d v="2022-02-23T00:00:00"/>
    <s v="TIR1345"/>
    <x v="0"/>
    <s v="PM2418"/>
    <n v="413"/>
    <s v="HC1 lube sticks required are 4 nos _x000a_HC2 lube sticks required are 4 nos (total 8 nos of sticks are needed for this train)"/>
    <x v="1"/>
    <x v="2"/>
    <m/>
    <x v="3"/>
  </r>
  <r>
    <d v="2022-02-23T00:00:00"/>
    <s v="TIR1346"/>
    <x v="8"/>
    <s v="PM2419"/>
    <n v="414"/>
    <s v="HC2 PCE filter cover needs retapping for bolt"/>
    <x v="1"/>
    <x v="6"/>
    <m/>
    <x v="2"/>
  </r>
  <r>
    <d v="2022-02-23T00:00:00"/>
    <s v="TIR1347"/>
    <x v="8"/>
    <s v="PM2420"/>
    <n v="414"/>
    <s v="HC1 lube sticks required are 8 nos _x000a_HC2 lube sticks required are 9 nos (total 17 nos of sticks are needed for this train)"/>
    <x v="1"/>
    <x v="6"/>
    <m/>
    <x v="2"/>
  </r>
  <r>
    <d v="2022-02-23T00:00:00"/>
    <s v="TIR1348"/>
    <x v="8"/>
    <s v="PM2421"/>
    <n v="421"/>
    <s v="HC1 lube sticks required are 16 nos _x000a_HC2 lube sticks required are 16 nos (total 32 nos of sticks are needed for this train)"/>
    <x v="1"/>
    <x v="2"/>
    <m/>
    <x v="3"/>
  </r>
  <r>
    <d v="2022-02-23T00:00:00"/>
    <s v="TIR1349"/>
    <x v="8"/>
    <s v="PM2422"/>
    <n v="616"/>
    <s v="HC1 AXLE 3 gear box oil level is low"/>
    <x v="1"/>
    <x v="3"/>
    <s v="Oil level ok"/>
    <x v="1"/>
  </r>
  <r>
    <d v="2022-02-23T00:00:00"/>
    <s v="TIR1350"/>
    <x v="8"/>
    <s v="PM2423"/>
    <n v="616"/>
    <s v="HC1 lube sticks required are 13 nos _x000a_HC2 lube sticks required are 11 nos (total 24 nos of sticks are needed for this train)"/>
    <x v="1"/>
    <x v="6"/>
    <m/>
    <x v="2"/>
  </r>
  <r>
    <d v="2022-02-23T00:00:00"/>
    <s v="TIR1351"/>
    <x v="8"/>
    <s v="PM2424"/>
    <n v="505"/>
    <s v="Partition door takes too long to open"/>
    <x v="1"/>
    <x v="6"/>
    <m/>
    <x v="2"/>
  </r>
  <r>
    <d v="2022-02-23T00:00:00"/>
    <s v="TIR1352"/>
    <x v="8"/>
    <s v="PM2425"/>
    <n v="510"/>
    <s v="Gangway internal Panel has minor scratch( Refer PIC)"/>
    <x v="1"/>
    <x v="1"/>
    <m/>
    <x v="3"/>
  </r>
  <r>
    <d v="2022-02-24T00:00:00"/>
    <s v="TIR1353"/>
    <x v="0"/>
    <s v="Mail"/>
    <n v="605"/>
    <s v="Issue Detected in Train 605A &amp; 605B: Missing/ Damage External Safety labels for Battery Box (see photo attached)"/>
    <x v="1"/>
    <x v="3"/>
    <m/>
    <x v="3"/>
  </r>
  <r>
    <d v="2022-02-24T00:00:00"/>
    <s v="TIR1354"/>
    <x v="8"/>
    <m/>
    <n v="409"/>
    <s v="Issue Detected in Train 409 &amp; 601: Bolt class requirement FOR AUTOMATIC COUPLER CLASS A4-80 DOES NOT MATCH with the actual installed bolts of CLASS A4-70.  (see photo attached)"/>
    <x v="1"/>
    <x v="6"/>
    <m/>
    <x v="2"/>
  </r>
  <r>
    <d v="2022-02-24T00:00:00"/>
    <s v="TIR1355"/>
    <x v="8"/>
    <m/>
    <n v="601"/>
    <s v="Issue Detected in Train 409 &amp; 601: Bolt class requirement FOR AUTOMATIC COUPLER CLASS A4-80 DOES NOT MATCH with the actual installed bolts of CLASS A4-70.  (see photo attached)"/>
    <x v="1"/>
    <x v="2"/>
    <s v="Bolt were installed for earthing cable."/>
    <x v="1"/>
  </r>
  <r>
    <d v="2022-02-24T00:00:00"/>
    <s v="TIR1356"/>
    <x v="5"/>
    <s v="Mail"/>
    <n v="406"/>
    <s v="Issue Detected in Train 406: Automatic Coupler assembly bolt connection was having signs of movement on torque markings @ Train 406B.  (see photo attached)"/>
    <x v="1"/>
    <x v="6"/>
    <m/>
    <x v="2"/>
  </r>
  <r>
    <d v="2022-02-24T00:00:00"/>
    <s v="TIR1357"/>
    <x v="5"/>
    <s v="Mail"/>
    <n v="607"/>
    <s v="Issue Detected in Train 607: Automatic Coupler assembly bolt connection was having signs of movement on torque markings @ Train 607B.  (see photo attached)"/>
    <x v="1"/>
    <x v="6"/>
    <m/>
    <x v="2"/>
  </r>
  <r>
    <d v="2022-02-24T00:00:00"/>
    <s v="TIR1358"/>
    <x v="5"/>
    <s v="Mail"/>
    <n v="406"/>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59"/>
    <x v="5"/>
    <s v="Mail"/>
    <n v="614"/>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60"/>
    <x v="5"/>
    <s v="Mail"/>
    <n v="611"/>
    <s v="Issue Detected in Train 611: Torque marking were no longer visible (fully covered with dust/dirt) to serve its purpose for easy identification for any loose bolt connection @ Train 611B Bogie 2. "/>
    <x v="1"/>
    <x v="6"/>
    <m/>
    <x v="2"/>
  </r>
  <r>
    <d v="2022-02-24T00:00:00"/>
    <s v="TIR1361"/>
    <x v="5"/>
    <s v="Mail"/>
    <n v="402"/>
    <s v="Issue Detected in Train 402: Obvious signs of movement on torque marking for bolt fasterners @ Train 402A Bogie 2 Axle no. 3 Right side odometer cover.  (see photo attached)"/>
    <x v="1"/>
    <x v="2"/>
    <m/>
    <x v="0"/>
  </r>
  <r>
    <d v="2022-02-24T00:00:00"/>
    <s v="TIR1362"/>
    <x v="5"/>
    <s v="Mail"/>
    <n v="623"/>
    <s v="Issue Detected in Train 623: Material (net) stuck in Front wiper Train 623A which might affect its functionality later on.  (see photo attached)"/>
    <x v="1"/>
    <x v="6"/>
    <m/>
    <x v="2"/>
  </r>
  <r>
    <d v="2022-02-24T00:00:00"/>
    <s v="TIR1363"/>
    <x v="5"/>
    <s v="Mail"/>
    <n v="615"/>
    <s v="Issue Detected in Train 615: Fire extinguisher tag not updated.  (see photo attached)"/>
    <x v="1"/>
    <x v="1"/>
    <m/>
    <x v="4"/>
  </r>
  <r>
    <d v="2022-02-24T00:00:00"/>
    <s v="TIR1364"/>
    <x v="0"/>
    <s v="PM2423_x0009__x000a_"/>
    <n v="409"/>
    <s v="HC1: LV box-battery connector hinge is missing"/>
    <x v="1"/>
    <x v="6"/>
    <m/>
    <x v="2"/>
  </r>
  <r>
    <d v="2022-02-24T00:00:00"/>
    <s v="TIR1365"/>
    <x v="0"/>
    <s v="PM2424"/>
    <n v="419"/>
    <s v="HC2 PCE BOX cooling fan cover needs retapping"/>
    <x v="1"/>
    <x v="2"/>
    <m/>
    <x v="3"/>
  </r>
  <r>
    <d v="2022-02-24T00:00:00"/>
    <s v="TIR1366"/>
    <x v="0"/>
    <s v="PM2424"/>
    <n v="419"/>
    <s v="IOS61 : At least one door is not operational indication"/>
    <x v="2"/>
    <x v="3"/>
    <m/>
    <x v="1"/>
  </r>
  <r>
    <d v="2022-02-24T00:00:00"/>
    <s v="TIR1367"/>
    <x v="0"/>
    <s v="PM2424"/>
    <n v="419"/>
    <s v="LUBE STICKS Needed HC1: L-2+2   ,R-2+1 ,HC2:L-1+1"/>
    <x v="1"/>
    <x v="4"/>
    <m/>
    <x v="4"/>
  </r>
  <r>
    <d v="2022-02-24T00:00:00"/>
    <s v="TIR1368"/>
    <x v="0"/>
    <s v="PM2425"/>
    <n v="607"/>
    <s v="Lube sticks - HC-1: L-2+3, R - 2+3 and HC-2, R-2+3, L- 3+2.  total - 20 Nos needed"/>
    <x v="1"/>
    <x v="4"/>
    <m/>
    <x v="4"/>
  </r>
  <r>
    <d v="2022-02-24T00:00:00"/>
    <s v="TIR1369"/>
    <x v="0"/>
    <s v="PM2426"/>
    <n v="619"/>
    <s v="HC2,  Electrical coupler isolate cock is missing (handle)"/>
    <x v="1"/>
    <x v="1"/>
    <m/>
    <x v="2"/>
  </r>
  <r>
    <d v="2022-02-24T00:00:00"/>
    <s v="TIR1370"/>
    <x v="0"/>
    <s v="PM2426"/>
    <n v="619"/>
    <s v="IOS180 : 1 APC Major failure"/>
    <x v="2"/>
    <x v="3"/>
    <s v="Checked and found the CVS software still not update and inside CVS history still present reversible issue as result kajor fault will appeared. (Under monitoring after software update)."/>
    <x v="1"/>
  </r>
  <r>
    <d v="2022-02-24T00:00:00"/>
    <s v="TIR1371"/>
    <x v="0"/>
    <s v="PM2426"/>
    <n v="619"/>
    <s v="LUBE STICKS Needed HC1: L-3+2,R- 3+3 HC2:L- 3+2 ,R-3 +3"/>
    <x v="1"/>
    <x v="4"/>
    <m/>
    <x v="4"/>
  </r>
  <r>
    <d v="2022-02-24T00:00:00"/>
    <s v="TIR1372"/>
    <x v="0"/>
    <s v="PM2427"/>
    <n v="623"/>
    <s v="HC2, PCE box, One screw need retap at cooling fan cover"/>
    <x v="1"/>
    <x v="2"/>
    <m/>
    <x v="3"/>
  </r>
  <r>
    <d v="2022-02-24T00:00:00"/>
    <s v="TIR1373"/>
    <x v="0"/>
    <s v="PM2427"/>
    <n v="623"/>
    <s v="Lube stick HC-1 : R-3+2, L-3+3. and HC-2, L-2+2, R - 2+2.  total = 19 Nos Needed"/>
    <x v="1"/>
    <x v="4"/>
    <m/>
    <x v="4"/>
  </r>
  <r>
    <d v="2022-02-24T00:00:00"/>
    <s v="TIR1374"/>
    <x v="0"/>
    <s v="PM2428"/>
    <n v="625"/>
    <s v="Ip scanner : HC2 LEDI2 ,SWD,LCD2 showing offline in  &amp; physically data not updated in display"/>
    <x v="1"/>
    <x v="5"/>
    <m/>
    <x v="1"/>
  </r>
  <r>
    <d v="2022-02-24T00:00:00"/>
    <s v="TIR1375"/>
    <x v="0"/>
    <s v="PM2428"/>
    <n v="625"/>
    <s v="LUBE STICKS Needed HC1: L-3+3 ,R- 3+3 HC2:L- 2+3 ,R- 2+3"/>
    <x v="1"/>
    <x v="4"/>
    <m/>
    <x v="4"/>
  </r>
  <r>
    <d v="2022-02-24T00:00:00"/>
    <s v="TIR1376"/>
    <x v="0"/>
    <s v="PM2429"/>
    <n v="501"/>
    <s v="PCE2 failed in Auto test and Offline in TCN; Ip Offline: PCE2; IOS235 : Faulty auto test on at least one    PCE; IOS245 : One PCE have a communication fault"/>
    <x v="2"/>
    <x v="2"/>
    <m/>
    <x v="0"/>
  </r>
  <r>
    <d v="2022-02-24T00:00:00"/>
    <s v="TIR1377"/>
    <x v="0"/>
    <s v="PM2430"/>
    <n v="506"/>
    <s v="IP offline : HC1-LEDI.1-offline ; HC2- LEDI2,LEDI4,LCD4,swd4  Display Visual Status: HC2- Ledi2- White, Lcd3- Dim, Lcd4- Black, Swd5- Nok Black"/>
    <x v="1"/>
    <x v="0"/>
    <m/>
    <x v="2"/>
  </r>
  <r>
    <d v="2022-02-24T00:00:00"/>
    <s v="TIR1378"/>
    <x v="0"/>
    <s v="PM2431"/>
    <n v="509"/>
    <s v="IP Offline : HC2- PEI1,3,5 &amp; LEDI 1,3,5 &amp; LCD1,3,5 &amp; SWD1,3,5 &amp; CAMI2  IOS192 : Loss of at least one camera ; IOS196 : Loss of at least 1 PEI in a class; "/>
    <x v="2"/>
    <x v="0"/>
    <m/>
    <x v="2"/>
  </r>
  <r>
    <d v="2022-02-27T00:00:00"/>
    <s v="TIR1379"/>
    <x v="0"/>
    <s v="PM2432"/>
    <n v="519"/>
    <s v="HC1-HVAC1 -Gas level low LP2"/>
    <x v="1"/>
    <x v="1"/>
    <m/>
    <x v="2"/>
  </r>
  <r>
    <d v="2022-02-27T00:00:00"/>
    <s v="TIR1380"/>
    <x v="0"/>
    <s v="PM2438"/>
    <n v="511"/>
    <s v="IP Offline : Ledi4-v1; PAPIS Display Visual Status : Ledi1- v1 Blank"/>
    <x v="1"/>
    <x v="0"/>
    <m/>
    <x v="2"/>
  </r>
  <r>
    <d v="2022-02-27T00:00:00"/>
    <s v="TIR1381"/>
    <x v="2"/>
    <s v="NA"/>
    <n v="407"/>
    <s v="PEED Reset from CC not working for all EED in the train (HC1-HC2 Both side)"/>
    <x v="1"/>
    <x v="3"/>
    <s v="27/02 : Wiring checked ok. PEEDRST received at TCMS level =&gt; investigation done by Guan : the installed resistance is difference. Need to check with supplier "/>
    <x v="4"/>
  </r>
  <r>
    <d v="2022-02-28T00:00:00"/>
    <s v="TIR1382"/>
    <x v="0"/>
    <s v="PM2439_x0009__x000a_"/>
    <n v="401"/>
    <s v="Lube sticks required are at HC1 L-2+3, R- 3+3 and HC2 - L- 2+2 , R- 2+2. Total - 19 Nos"/>
    <x v="1"/>
    <x v="1"/>
    <m/>
    <x v="4"/>
  </r>
  <r>
    <d v="2022-02-28T00:00:00"/>
    <s v="TIR1383"/>
    <x v="0"/>
    <s v="PM2440_x0009__x000a_"/>
    <n v="411"/>
    <s v="Lube sticks required are at HC1 L- 2+2, R- 2+2 and HC2  L- 2+2 , R- 2+2. Total - 16 Nos"/>
    <x v="1"/>
    <x v="1"/>
    <m/>
    <x v="4"/>
  </r>
  <r>
    <d v="2022-03-01T00:00:00"/>
    <s v="TIR1384"/>
    <x v="8"/>
    <m/>
    <m/>
    <m/>
    <x v="0"/>
    <x v="6"/>
    <m/>
    <x v="5"/>
  </r>
  <r>
    <d v="2022-03-01T00:00:00"/>
    <s v="TIR1385"/>
    <x v="8"/>
    <m/>
    <m/>
    <m/>
    <x v="0"/>
    <x v="6"/>
    <m/>
    <x v="5"/>
  </r>
  <r>
    <d v="2022-03-03T00:00:00"/>
    <s v="TIR1386"/>
    <x v="0"/>
    <s v="PM2431"/>
    <n v="509"/>
    <s v="IOS252 : One ATC have a communication fault"/>
    <x v="2"/>
    <x v="3"/>
    <s v="03/03 : Found CRS_ATC breakers OFF. also SIG modem in HC2 ON (this breaker should be OFF in TU4. No more IOS after normalizing"/>
    <x v="0"/>
  </r>
  <r>
    <d v="2022-03-03T00:00:00"/>
    <s v="TIR1387"/>
    <x v="2"/>
    <m/>
    <n v="423"/>
    <s v="HVAC1-V1 Performance issue (check  gas level )"/>
    <x v="1"/>
    <x v="4"/>
    <m/>
    <x v="0"/>
  </r>
  <r>
    <m/>
    <s v="TIR1388"/>
    <x v="8"/>
    <m/>
    <m/>
    <s v="PM"/>
    <x v="0"/>
    <x v="6"/>
    <m/>
    <x v="5"/>
  </r>
  <r>
    <m/>
    <s v="TIR1389"/>
    <x v="8"/>
    <m/>
    <m/>
    <s v="PM"/>
    <x v="0"/>
    <x v="6"/>
    <m/>
    <x v="5"/>
  </r>
  <r>
    <m/>
    <s v="TIR1390"/>
    <x v="8"/>
    <m/>
    <m/>
    <s v="PM"/>
    <x v="0"/>
    <x v="6"/>
    <m/>
    <x v="5"/>
  </r>
  <r>
    <m/>
    <s v="TIR1391"/>
    <x v="8"/>
    <m/>
    <m/>
    <s v="PM"/>
    <x v="0"/>
    <x v="6"/>
    <m/>
    <x v="5"/>
  </r>
  <r>
    <m/>
    <s v="TIR1392"/>
    <x v="8"/>
    <m/>
    <m/>
    <s v="PM"/>
    <x v="0"/>
    <x v="6"/>
    <m/>
    <x v="5"/>
  </r>
  <r>
    <m/>
    <s v="TIR1393"/>
    <x v="8"/>
    <m/>
    <m/>
    <s v="PM"/>
    <x v="0"/>
    <x v="6"/>
    <m/>
    <x v="5"/>
  </r>
  <r>
    <d v="2022-03-08T00:00:00"/>
    <s v="TIR1394"/>
    <x v="2"/>
    <s v="NA"/>
    <n v="402"/>
    <s v="ISM showing TCCU no comm"/>
    <x v="1"/>
    <x v="5"/>
    <m/>
    <x v="1"/>
  </r>
  <r>
    <d v="2022-03-08T00:00:00"/>
    <s v="TIR1395"/>
    <x v="2"/>
    <s v="NA"/>
    <n v="407"/>
    <s v="ISM showing PEI3V1 no comm"/>
    <x v="1"/>
    <x v="5"/>
    <m/>
    <x v="1"/>
  </r>
  <r>
    <d v="2022-03-08T00:00:00"/>
    <s v="TIR1396"/>
    <x v="2"/>
    <s v="NA"/>
    <n v="413"/>
    <s v="ISM showing PEI2V2 no comm"/>
    <x v="1"/>
    <x v="5"/>
    <m/>
    <x v="1"/>
  </r>
  <r>
    <d v="2022-03-08T00:00:00"/>
    <s v="TIR1397"/>
    <x v="2"/>
    <s v="NA"/>
    <n v="415"/>
    <s v="ISM showing PEI4V1 no comm"/>
    <x v="1"/>
    <x v="5"/>
    <m/>
    <x v="1"/>
  </r>
  <r>
    <d v="2022-03-08T00:00:00"/>
    <s v="TIR1398"/>
    <x v="2"/>
    <s v="NA"/>
    <n v="418"/>
    <s v="ISM showing PEI2V1 no comm"/>
    <x v="1"/>
    <x v="5"/>
    <m/>
    <x v="1"/>
  </r>
  <r>
    <d v="2022-03-08T00:00:00"/>
    <s v="TIR1399"/>
    <x v="2"/>
    <s v="NA"/>
    <n v="419"/>
    <s v="ISM showing PA_CTRL &amp; PA_Zone Train no comm"/>
    <x v="1"/>
    <x v="5"/>
    <m/>
    <x v="1"/>
  </r>
  <r>
    <d v="2022-03-08T00:00:00"/>
    <s v="TIR1400"/>
    <x v="3"/>
    <s v="NA"/>
    <n v="420"/>
    <s v="One CCD of the HC1 bogie 2, one CC arm and shoe have been damaged after an incident on the mainline"/>
    <x v="3"/>
    <x v="5"/>
    <m/>
    <x v="0"/>
  </r>
  <r>
    <d v="2022-03-08T00:00:00"/>
    <s v="TIR1401"/>
    <x v="3"/>
    <s v="NA"/>
    <n v="420"/>
    <s v="Current Collector to Fuse Box cable damaged after an incident on the mainline"/>
    <x v="3"/>
    <x v="5"/>
    <m/>
    <x v="0"/>
  </r>
  <r>
    <d v="2022-03-08T00:00:00"/>
    <s v="TIR1402"/>
    <x v="3"/>
    <s v="NA"/>
    <n v="420"/>
    <s v="Earth return unit and grounding damaged after an incident on the mainline"/>
    <x v="3"/>
    <x v="5"/>
    <m/>
    <x v="0"/>
  </r>
  <r>
    <d v="2022-03-08T00:00:00"/>
    <s v="TIR1403"/>
    <x v="3"/>
    <s v="NA"/>
    <n v="605"/>
    <s v="Two 750V cables were damaged after an incident on the mainline"/>
    <x v="3"/>
    <x v="5"/>
    <m/>
    <x v="0"/>
  </r>
  <r>
    <d v="2022-03-08T00:00:00"/>
    <s v="TIR1404"/>
    <x v="3"/>
    <s v="NA"/>
    <n v="605"/>
    <s v="3 CCDs shoes, 3 CCD arms and 3 sets of CC to fuse box cables damaged after an incident on the mainline"/>
    <x v="3"/>
    <x v="5"/>
    <m/>
    <x v="0"/>
  </r>
  <r>
    <d v="2022-03-08T00:00:00"/>
    <s v="TIR1405"/>
    <x v="3"/>
    <s v="NA"/>
    <n v="605"/>
    <s v="A derailment detector cable was damaged after an incident on the mainline"/>
    <x v="3"/>
    <x v="5"/>
    <m/>
    <x v="0"/>
  </r>
  <r>
    <d v="2022-03-08T00:00:00"/>
    <s v="TIR1406"/>
    <x v="3"/>
    <s v="NA"/>
    <n v="605"/>
    <s v="The odometer and its cover were damaged after an incident on the mainline"/>
    <x v="3"/>
    <x v="5"/>
    <m/>
    <x v="0"/>
  </r>
  <r>
    <d v="2022-03-08T00:00:00"/>
    <s v="TIR1407"/>
    <x v="3"/>
    <s v="NA"/>
    <n v="605"/>
    <s v="WSP cable damaged after an incident on the mainline"/>
    <x v="3"/>
    <x v="5"/>
    <m/>
    <x v="0"/>
  </r>
  <r>
    <d v="2022-03-09T00:00:00"/>
    <s v="TIR1408"/>
    <x v="2"/>
    <s v="NA"/>
    <n v="407"/>
    <s v="LEDI1-V2 offline "/>
    <x v="1"/>
    <x v="0"/>
    <s v="Updated software manually and test ok"/>
    <x v="1"/>
  </r>
  <r>
    <d v="2022-03-09T00:00:00"/>
    <s v="TIR1409"/>
    <x v="2"/>
    <s v="NA"/>
    <n v="608"/>
    <s v="TCCU,NVR,cameras unknown status in ISM"/>
    <x v="1"/>
    <x v="0"/>
    <s v="Updated software manually and test ok"/>
    <x v="1"/>
  </r>
  <r>
    <d v="2022-03-09T00:00:00"/>
    <s v="TIR1410"/>
    <x v="2"/>
    <s v="NA"/>
    <n v="611"/>
    <s v="ISM show pei3-v1,pei3-v2 no communication"/>
    <x v="1"/>
    <x v="0"/>
    <s v="Updated software manually and test ok"/>
    <x v="1"/>
  </r>
  <r>
    <d v="2022-03-09T00:00:00"/>
    <s v="TIR1411"/>
    <x v="2"/>
    <s v="NA"/>
    <n v="618"/>
    <s v="TCCU,NVR,cameras unknown status in ISM"/>
    <x v="1"/>
    <x v="0"/>
    <s v="Updated software manually and test ok"/>
    <x v="1"/>
  </r>
  <r>
    <d v="2022-03-09T00:00:00"/>
    <s v="TIR1412"/>
    <x v="2"/>
    <s v="NA"/>
    <n v="624"/>
    <s v="TCCU,NVR,cameras no communication in ISM"/>
    <x v="1"/>
    <x v="0"/>
    <s v="Updated software manually and test ok"/>
    <x v="1"/>
  </r>
  <r>
    <d v="2022-03-10T00:00:00"/>
    <s v="TIR1413"/>
    <x v="2"/>
    <s v="NA"/>
    <n v="602"/>
    <s v="TCCU,NVR,cameras no communication in ISM"/>
    <x v="1"/>
    <x v="5"/>
    <m/>
    <x v="1"/>
  </r>
  <r>
    <d v="2022-03-10T00:00:00"/>
    <s v="TIR1414"/>
    <x v="2"/>
    <s v="NA"/>
    <n v="603"/>
    <s v="TCCU,NVR,cameras no communication in ISM"/>
    <x v="1"/>
    <x v="5"/>
    <m/>
    <x v="1"/>
  </r>
  <r>
    <d v="2022-03-10T00:00:00"/>
    <s v="TIR1415"/>
    <x v="2"/>
    <s v="NA"/>
    <n v="607"/>
    <s v="TCCU,NVR,cameras unknown in ISM"/>
    <x v="1"/>
    <x v="5"/>
    <m/>
    <x v="1"/>
  </r>
  <r>
    <d v="2022-03-10T00:00:00"/>
    <s v="TIR1416"/>
    <x v="2"/>
    <s v="NA"/>
    <n v="609"/>
    <s v="TCCU,NVR,cameras no communication in ISM"/>
    <x v="1"/>
    <x v="5"/>
    <m/>
    <x v="1"/>
  </r>
  <r>
    <d v="2022-03-10T00:00:00"/>
    <s v="TIR1417"/>
    <x v="2"/>
    <s v="NA"/>
    <n v="610"/>
    <s v="TCCU,NVR,cameras no communication in ISM"/>
    <x v="1"/>
    <x v="5"/>
    <m/>
    <x v="1"/>
  </r>
  <r>
    <d v="2022-03-10T00:00:00"/>
    <s v="TIR1418"/>
    <x v="2"/>
    <s v="NA"/>
    <n v="615"/>
    <s v="TCCU,NVR,cameras no communication in ISM"/>
    <x v="1"/>
    <x v="5"/>
    <m/>
    <x v="1"/>
  </r>
  <r>
    <d v="2022-03-10T00:00:00"/>
    <s v="TIR1419"/>
    <x v="2"/>
    <s v="NA"/>
    <n v="626"/>
    <s v="TCCU,NVR,cameras no communication in ISM"/>
    <x v="1"/>
    <x v="5"/>
    <m/>
    <x v="1"/>
  </r>
  <r>
    <d v="2022-03-13T00:00:00"/>
    <s v="TIR1420"/>
    <x v="4"/>
    <s v="NA"/>
    <n v="423"/>
    <s v="Traction 750V connector was damaged during train movement in the workshop"/>
    <x v="3"/>
    <x v="5"/>
    <m/>
    <x v="0"/>
  </r>
  <r>
    <d v="2022-03-14T00:00:00"/>
    <s v="TIR1421"/>
    <x v="0"/>
    <s v="NA"/>
    <n v="623"/>
    <s v="PEI3-V1 lost communication"/>
    <x v="1"/>
    <x v="0"/>
    <s v="Replaced a new pei and test ok"/>
    <x v="0"/>
  </r>
  <r>
    <d v="2022-03-14T00:00:00"/>
    <s v="TIR1422"/>
    <x v="2"/>
    <s v="NA"/>
    <n v="622"/>
    <s v="TCCU,NVR,cameras no communication in ISM"/>
    <x v="1"/>
    <x v="0"/>
    <m/>
    <x v="1"/>
  </r>
  <r>
    <d v="2022-03-16T00:00:00"/>
    <s v="TIR1423"/>
    <x v="3"/>
    <s v="NA"/>
    <n v="612"/>
    <s v="IOS264: More than one MUC have a communication fault."/>
    <x v="3"/>
    <x v="0"/>
    <s v="Checked that no IOS 264 reported. Updated tccu2 software and test ok"/>
    <x v="0"/>
  </r>
  <r>
    <d v="2022-03-16T00:00:00"/>
    <s v="TIR1424"/>
    <x v="3"/>
    <s v="NA"/>
    <n v="405"/>
    <s v="IOS196 : Loss of at least 1 PEI in a class"/>
    <x v="1"/>
    <x v="0"/>
    <m/>
    <x v="2"/>
  </r>
  <r>
    <d v="2022-03-16T00:00:00"/>
    <s v="TIR1425"/>
    <x v="3"/>
    <s v="NA"/>
    <n v="417"/>
    <s v="IOS15 : Service brake released loop in default indication"/>
    <x v="3"/>
    <x v="2"/>
    <m/>
    <x v="0"/>
  </r>
  <r>
    <d v="2022-03-16T00:00:00"/>
    <s v="TIR1426"/>
    <x v="3"/>
    <s v="NA"/>
    <n v="608"/>
    <s v="IOS191 : Loss of video recorder"/>
    <x v="3"/>
    <x v="0"/>
    <s v="Found tccu1 report wrongly, and we updated TCCU1 software and test ok"/>
    <x v="0"/>
  </r>
  <r>
    <d v="2022-03-16T00:00:00"/>
    <s v="TIR1427"/>
    <x v="3"/>
    <s v="NA"/>
    <n v="608"/>
    <s v="IOS195 : Loss of All PEI in the same class"/>
    <x v="3"/>
    <x v="0"/>
    <s v="Found tccu1 report all PEI lost communication issue, and we updated software and test ok"/>
    <x v="0"/>
  </r>
  <r>
    <d v="2022-03-16T00:00:00"/>
    <s v="TIR1428"/>
    <x v="3"/>
    <s v="NA"/>
    <n v="608"/>
    <s v="IOS267 : At least one software version discordancy fault"/>
    <x v="1"/>
    <x v="0"/>
    <s v="Found tccu1 report all PEI lost communication issue, and we updated software and test ok"/>
    <x v="0"/>
  </r>
  <r>
    <d v="2022-03-16T00:00:00"/>
    <s v="TIR1429"/>
    <x v="3"/>
    <s v="NA"/>
    <n v="406"/>
    <s v="IOS192 : Loss of at least one camera"/>
    <x v="1"/>
    <x v="0"/>
    <m/>
    <x v="1"/>
  </r>
  <r>
    <d v="2022-03-16T00:00:00"/>
    <s v="TIR1430"/>
    <x v="3"/>
    <s v="NA"/>
    <n v="621"/>
    <s v="IOS264 : More than one MUC have a communication fault"/>
    <x v="3"/>
    <x v="0"/>
    <s v="found TCCU1 lost communication, and reboot it and ok, still checking with supplier of software issue"/>
    <x v="0"/>
  </r>
  <r>
    <d v="2022-03-16T00:00:00"/>
    <s v="TIR1431"/>
    <x v="3"/>
    <s v="NA"/>
    <n v="611"/>
    <s v="IOS196 : Loss of at least 1 PEI in a class"/>
    <x v="1"/>
    <x v="0"/>
    <m/>
    <x v="1"/>
  </r>
  <r>
    <d v="2022-03-16T00:00:00"/>
    <s v="TIR1432"/>
    <x v="0"/>
    <s v="PM2497"/>
    <n v="401"/>
    <s v="IP Offline : Lcd1 - v2"/>
    <x v="1"/>
    <x v="5"/>
    <m/>
    <x v="1"/>
  </r>
  <r>
    <d v="2022-03-16T00:00:00"/>
    <s v="TIR1433"/>
    <x v="0"/>
    <s v="PM2499"/>
    <n v="412"/>
    <s v="IP Offline : Lcd6,Led6,Swd6 - v1"/>
    <x v="1"/>
    <x v="5"/>
    <m/>
    <x v="1"/>
  </r>
  <r>
    <d v="2022-03-17T00:00:00"/>
    <s v="TIR1434"/>
    <x v="0"/>
    <s v="PM2517"/>
    <n v="402"/>
    <s v="IP Offline : ledi2-v1, lcd1-v1, swd2-v1"/>
    <x v="1"/>
    <x v="0"/>
    <m/>
    <x v="2"/>
  </r>
  <r>
    <d v="2022-03-17T00:00:00"/>
    <s v="TIR1435"/>
    <x v="0"/>
    <s v="PM2519"/>
    <n v="614"/>
    <s v="IP Offline : ledi3-v2, lcd3-v2, swd3-v2"/>
    <x v="1"/>
    <x v="0"/>
    <m/>
    <x v="2"/>
  </r>
  <r>
    <d v="2022-03-17T00:00:00"/>
    <s v="TIR1436"/>
    <x v="3"/>
    <s v="NA"/>
    <n v="401"/>
    <s v="HC2_ROM - Missing of Male connector for 72W03+ROM_XP_ETH1 of Openbat-F Simple Radio Onboard(DTR0000397019) "/>
    <x v="1"/>
    <x v="2"/>
    <m/>
    <x v="2"/>
  </r>
  <r>
    <d v="2022-03-17T00:00:00"/>
    <s v="TIR1437"/>
    <x v="3"/>
    <s v="NA"/>
    <n v="404"/>
    <s v="IOS228 : At least one minor failure on PCE &amp; IOS226 : Loss of traction and ED brake on one PCE"/>
    <x v="3"/>
    <x v="2"/>
    <m/>
    <x v="3"/>
  </r>
  <r>
    <d v="2022-03-17T00:00:00"/>
    <s v="TIR1438"/>
    <x v="3"/>
    <s v="NA"/>
    <n v="412"/>
    <s v="IOS196 : Loss of at least 1 PEI in a class"/>
    <x v="1"/>
    <x v="0"/>
    <m/>
    <x v="2"/>
  </r>
  <r>
    <d v="2022-03-17T00:00:00"/>
    <s v="TIR1439"/>
    <x v="3"/>
    <s v="NA"/>
    <n v="612"/>
    <s v="IOS192:Loss of at least 1 camera"/>
    <x v="1"/>
    <x v="0"/>
    <m/>
    <x v="2"/>
  </r>
  <r>
    <d v="2022-03-17T00:00:00"/>
    <s v="TIR1440"/>
    <x v="3"/>
    <s v="NA"/>
    <n v="611"/>
    <s v="IOS192:Loss of at least 1 camera"/>
    <x v="1"/>
    <x v="0"/>
    <m/>
    <x v="2"/>
  </r>
  <r>
    <d v="2022-03-20T00:00:00"/>
    <s v="TIR1441"/>
    <x v="3"/>
    <s v="NA"/>
    <n v="423"/>
    <s v="CRS5-HC1 Offline"/>
    <x v="3"/>
    <x v="2"/>
    <m/>
    <x v="3"/>
  </r>
  <r>
    <d v="2022-03-20T00:00:00"/>
    <s v="TIR1442"/>
    <x v="3"/>
    <s v="NA"/>
    <n v="415"/>
    <s v="IOS196:Loss of at least 1 PEI in a class"/>
    <x v="1"/>
    <x v="0"/>
    <m/>
    <x v="2"/>
  </r>
  <r>
    <d v="2022-03-20T00:00:00"/>
    <s v="TIR1443"/>
    <x v="2"/>
    <s v="NA"/>
    <n v="606"/>
    <s v="TCCU2 faulty"/>
    <x v="1"/>
    <x v="0"/>
    <m/>
    <x v="3"/>
  </r>
  <r>
    <d v="2022-03-20T00:00:00"/>
    <s v="TIR1444"/>
    <x v="3"/>
    <s v="NA"/>
    <n v="409"/>
    <s v="CRS1-HC2 Offline"/>
    <x v="3"/>
    <x v="0"/>
    <m/>
    <x v="3"/>
  </r>
  <r>
    <d v="2022-03-20T00:00:00"/>
    <s v="TIR1445"/>
    <x v="2"/>
    <s v="NA"/>
    <n v="606"/>
    <s v="TCCU2 TCN offline"/>
    <x v="1"/>
    <x v="0"/>
    <m/>
    <x v="2"/>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3">
  <r>
    <d v="2021-09-19T00:00:00"/>
    <s v="TIR0002"/>
    <x v="0"/>
    <s v="PM1622"/>
    <n v="405"/>
    <s v="Ledi4-V1 display nok"/>
    <x v="0"/>
    <x v="0"/>
    <s v="Update software manually and test Ok"/>
    <x v="0"/>
  </r>
  <r>
    <d v="2021-09-19T00:00:00"/>
    <s v="TIR0005"/>
    <x v="0"/>
    <s v="PM1624"/>
    <n v="414"/>
    <s v="HC1 ( Pei4,6 Ledi4,6 Lcd4,5,6 Swd4,5,6 ) IP Offline_x000a_NVR Offline ( Removed for retrofit)_x000a_HC1 ( Lcd4,5 Ledi4 Swd5 ) Display NOK"/>
    <x v="0"/>
    <x v="0"/>
    <s v="Checked  online and display OK"/>
    <x v="0"/>
  </r>
  <r>
    <d v="2021-09-19T00:00:00"/>
    <s v="TIR0006"/>
    <x v="0"/>
    <s v="PM1624"/>
    <n v="414"/>
    <s v="Gangway lights NOK in both cab"/>
    <x v="0"/>
    <x v="1"/>
    <s v="After the Adjustment of output Dc converter working fine  "/>
    <x v="0"/>
  </r>
  <r>
    <d v="2021-09-19T00:00:00"/>
    <s v="TIR0007"/>
    <x v="0"/>
    <s v="PM1625"/>
    <n v="417"/>
    <s v="HC2 Saloon Lights covers NOK"/>
    <x v="0"/>
    <x v="1"/>
    <s v="Fixed the light cover"/>
    <x v="0"/>
  </r>
  <r>
    <d v="2021-09-19T00:00:00"/>
    <s v="TIR0009"/>
    <x v="0"/>
    <s v="PM1626"/>
    <n v="423"/>
    <s v="HC2 Swd2 display half ( NOK)"/>
    <x v="0"/>
    <x v="0"/>
    <s v="Checked  online and display OK"/>
    <x v="0"/>
  </r>
  <r>
    <d v="2021-09-19T00:00:00"/>
    <s v="TIR0010"/>
    <x v="0"/>
    <s v="PM1627"/>
    <n v="619"/>
    <s v="HC1 ( Ledi5 , Lcd5, Swd5 ) IP Offline_x000a_HC2 ( Ledi5) IP Offline"/>
    <x v="0"/>
    <x v="0"/>
    <s v="See TIR168-TIR172"/>
    <x v="0"/>
  </r>
  <r>
    <d v="2021-09-19T00:00:00"/>
    <s v="TIR0013"/>
    <x v="0"/>
    <s v="PM1627"/>
    <n v="619"/>
    <s v="HC2- Palm Tree 3 lights dim."/>
    <x v="0"/>
    <x v="1"/>
    <s v="110v to 24v DC converter output emergency Switch was on worng position it should be on 100%"/>
    <x v="0"/>
  </r>
  <r>
    <d v="2021-09-19T00:00:00"/>
    <s v="TIR0004"/>
    <x v="0"/>
    <s v="PM1623"/>
    <n v="406"/>
    <s v="HC1 ( Ledi4,5, Lcd4,5, SWD4,5) IP Offline_x000a_HC2 ( Ledi4) IP Offline_x000a_HC1 ( Swd2,Lcd3 ) Display NOK_x000a_HC2 ( Ledi4) Display NOK"/>
    <x v="1"/>
    <x v="0"/>
    <m/>
    <x v="1"/>
  </r>
  <r>
    <d v="2021-09-19T00:00:00"/>
    <s v="TIR0008"/>
    <x v="0"/>
    <s v="PM1625"/>
    <n v="417"/>
    <s v="HC2 Under seat fire extinguisher bracket &amp; Cylinder not available"/>
    <x v="1"/>
    <x v="1"/>
    <m/>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r>
  <r>
    <d v="2021-09-19T00:00:00"/>
    <s v="TIR0003"/>
    <x v="0"/>
    <s v="PM1623"/>
    <n v="406"/>
    <s v="HC1 Horn volume is low"/>
    <x v="0"/>
    <x v="1"/>
    <s v="Horn volume is good in both CAB"/>
    <x v="1"/>
  </r>
  <r>
    <d v="2021-09-19T00:00:00"/>
    <s v="TIR1008"/>
    <x v="0"/>
    <s v="PM1628"/>
    <n v="510"/>
    <s v="HC1 Swd2 display half (NOK)"/>
    <x v="1"/>
    <x v="0"/>
    <m/>
    <x v="2"/>
  </r>
  <r>
    <d v="2021-09-19T00:00:00"/>
    <s v="TIR1009"/>
    <x v="0"/>
    <s v="PM1629"/>
    <n v="511"/>
    <s v="HC1 Ledi2 display NOK"/>
    <x v="1"/>
    <x v="0"/>
    <m/>
    <x v="2"/>
  </r>
  <r>
    <d v="2021-09-20T00:00:00"/>
    <s v="TIR0014"/>
    <x v="0"/>
    <s v="PM1630"/>
    <n v="401"/>
    <s v="HC1- Saloon lights NOK"/>
    <x v="0"/>
    <x v="1"/>
    <s v="Fixed the light cover and all lights are working fine"/>
    <x v="0"/>
  </r>
  <r>
    <d v="2021-09-20T00:00:00"/>
    <s v="TIR0015"/>
    <x v="0"/>
    <s v="PM1632"/>
    <n v="413"/>
    <s v="LCD3-V1 offline and display also NOK"/>
    <x v="0"/>
    <x v="0"/>
    <s v="updated software manually,cheched online and display  ok"/>
    <x v="0"/>
  </r>
  <r>
    <d v="2021-09-20T00:00:00"/>
    <s v="TIR0016"/>
    <x v="0"/>
    <s v="PM1632"/>
    <n v="413"/>
    <s v="HC2 Saloon Lights covers NOK"/>
    <x v="0"/>
    <x v="1"/>
    <s v="we fixed light cover"/>
    <x v="0"/>
  </r>
  <r>
    <d v="2021-09-20T00:00:00"/>
    <s v="TIR0018"/>
    <x v="0"/>
    <s v="PM1633"/>
    <n v="418"/>
    <s v="LCD1-V1 offline and display also NOK"/>
    <x v="0"/>
    <x v="0"/>
    <s v="updated software manually,cheched online and display  ok"/>
    <x v="0"/>
  </r>
  <r>
    <d v="2021-09-20T00:00:00"/>
    <s v="TIR0020"/>
    <x v="0"/>
    <s v="PM1634"/>
    <n v="419"/>
    <s v="HC2 Electrical coupler one spring missing"/>
    <x v="0"/>
    <x v="1"/>
    <s v="take the Spring from damaged coupler and fixed"/>
    <x v="0"/>
  </r>
  <r>
    <d v="2021-09-20T00:00:00"/>
    <s v="TIR0021"/>
    <x v="0"/>
    <s v="PM1634"/>
    <n v="419"/>
    <s v="HC2 { LEDI4,LCD4,SWD4} IP offline"/>
    <x v="0"/>
    <x v="0"/>
    <s v="Checked all devices online and display OK"/>
    <x v="0"/>
  </r>
  <r>
    <d v="2021-09-20T00:00:00"/>
    <s v="TIR0019"/>
    <x v="0"/>
    <s v="PM1633"/>
    <n v="418"/>
    <s v="HC1 Door1 glass found minor cracked"/>
    <x v="1"/>
    <x v="1"/>
    <m/>
    <x v="3"/>
  </r>
  <r>
    <d v="2021-09-20T00:00:00"/>
    <s v="TIR1010"/>
    <x v="0"/>
    <s v="PM1633"/>
    <n v="418"/>
    <s v="HVAC1-V2 Exhaust air fan high faulty."/>
    <x v="1"/>
    <x v="1"/>
    <m/>
    <x v="2"/>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r>
  <r>
    <d v="2021-09-20T00:00:00"/>
    <s v="TIR1012"/>
    <x v="0"/>
    <s v="PM1636"/>
    <n v="501"/>
    <s v="HVAC2-V2 Low pressure1 reported ( Compressor1&amp;2)"/>
    <x v="2"/>
    <x v="2"/>
    <m/>
    <x v="0"/>
  </r>
  <r>
    <d v="2021-09-20T00:00:00"/>
    <s v="TIR1013"/>
    <x v="0"/>
    <s v="PM1637"/>
    <n v="505"/>
    <s v="HC1- LEDI3 Display NOK_x000a_HC1- SWD3 Broken_x000a_HC2-LCD3 Display NOK_x000a_"/>
    <x v="1"/>
    <x v="0"/>
    <m/>
    <x v="2"/>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r>
  <r>
    <d v="2021-09-21T00:00:00"/>
    <s v="TIR0026"/>
    <x v="0"/>
    <s v="PM1639"/>
    <n v="422"/>
    <s v="IP offline { Papis.Ctrl2,Papis.Pa2 ,Ledi1-V2}_x000a_Display Status { SWD5-v2 Half, Ledi1-v2 NOK}"/>
    <x v="0"/>
    <x v="0"/>
    <s v="Updated again software manually and test it online and display OK"/>
    <x v="0"/>
  </r>
  <r>
    <d v="2021-09-21T00:00:00"/>
    <s v="TIR0028"/>
    <x v="0"/>
    <s v="PM1640"/>
    <n v="424"/>
    <s v="IP offline { Papis.Pa1 }_x000a_Display status { Swd5-v1 NOK }"/>
    <x v="0"/>
    <x v="0"/>
    <s v="updated software manually,cheched online and display  ok"/>
    <x v="0"/>
  </r>
  <r>
    <d v="2021-09-21T00:00:00"/>
    <s v="TIR0029"/>
    <x v="0"/>
    <s v="PM1641"/>
    <n v="607"/>
    <s v="IP offline-HC2 { Pei6,Ledi6,Lcd5,Swd6,NVR } _x000a_{ NVR removed for Retrofit }"/>
    <x v="0"/>
    <x v="0"/>
    <s v="Checked again the offline devices all good,_x000a_NVR also normalised."/>
    <x v="0"/>
  </r>
  <r>
    <d v="2021-09-21T00:00:00"/>
    <s v="TIR0030"/>
    <x v="0"/>
    <s v="PM1643"/>
    <n v="625"/>
    <s v="IP Offline { (Papis.Ctrl2,Pa2 )(Pei1,2,3-v2)(Ledi1,3,5-v2)(Lcd1,3,5-_x000a_v2)(Swd1,3,5)(Cami2-v2) }"/>
    <x v="0"/>
    <x v="0"/>
    <s v="updated software manually,cheched online and display  ok"/>
    <x v="0"/>
  </r>
  <r>
    <d v="2021-09-21T00:00:00"/>
    <s v="TIR0027"/>
    <x v="0"/>
    <s v="PM1639"/>
    <n v="422"/>
    <s v="HC1 Door-6 glass minor cracked"/>
    <x v="1"/>
    <x v="1"/>
    <m/>
    <x v="3"/>
  </r>
  <r>
    <d v="2021-09-21T00:00:00"/>
    <s v="TIR0033"/>
    <x v="0"/>
    <s v="PM1645"/>
    <n v="515"/>
    <s v="HC2 Bogie2 Left Fuse box glass minor cracked"/>
    <x v="1"/>
    <x v="3"/>
    <s v="27/12 : Fuse box glass cracked. Need to replace. No spare available"/>
    <x v="3"/>
  </r>
  <r>
    <d v="2021-09-21T00:00:00"/>
    <s v="TIR1014"/>
    <x v="0"/>
    <s v="PM1644"/>
    <n v="506"/>
    <s v="IP Offline - HC2 {Ledi1, Lcd3, Lcd4}_x000a_Display Status - HC2 { (Ledi1-White)(Lcd3-Nok)(Lcd4-Dim) "/>
    <x v="1"/>
    <x v="2"/>
    <s v="STE local support working on this issues (03/03)."/>
    <x v="4"/>
  </r>
  <r>
    <d v="2021-09-21T00:00:00"/>
    <s v="TIR1015"/>
    <x v="0"/>
    <s v="PM1645"/>
    <n v="515"/>
    <s v="IP Offline { Papis.Ctrl2, Papis.Pa2 }_x000a_Display Status { Swd1-v1 Half "/>
    <x v="1"/>
    <x v="0"/>
    <m/>
    <x v="2"/>
  </r>
  <r>
    <d v="2021-09-26T00:00:00"/>
    <s v="TIR0037"/>
    <x v="0"/>
    <s v="PM1647"/>
    <n v="601"/>
    <s v="HC2-Palm tree # 1 lights NOK"/>
    <x v="0"/>
    <x v="1"/>
    <s v="After ripeared tha LED strip working fine now"/>
    <x v="0"/>
  </r>
  <r>
    <d v="2021-09-26T00:00:00"/>
    <s v="TIR0034"/>
    <x v="0"/>
    <s v="PM1646"/>
    <n v="416"/>
    <s v="HC1- Wiper broken."/>
    <x v="1"/>
    <x v="1"/>
    <m/>
    <x v="3"/>
  </r>
  <r>
    <d v="2021-09-26T00:00:00"/>
    <s v="TIR0035"/>
    <x v="0"/>
    <s v="PM1647"/>
    <n v="601"/>
    <s v="TS601 HC2-Axle 2 leakage found from the spring brake part"/>
    <x v="3"/>
    <x v="3"/>
    <s v="12/12 : leakage found from the spring brake part. (BRAKE UNIT WITH PARKING BRAKE)._x000a_Need to normalize by replacing the brake part."/>
    <x v="0"/>
  </r>
  <r>
    <d v="2021-09-26T00:00:00"/>
    <s v="TIR0036"/>
    <x v="0"/>
    <s v="PM1647"/>
    <n v="601"/>
    <s v="HC2- Saloon lights NOK"/>
    <x v="1"/>
    <x v="1"/>
    <m/>
    <x v="3"/>
  </r>
  <r>
    <d v="2021-09-26T00:00:00"/>
    <s v="TIR0038"/>
    <x v="0"/>
    <s v="PM1649"/>
    <n v="615"/>
    <s v="HVAC1-V1 Abnormal sound coming from compressors."/>
    <x v="0"/>
    <x v="1"/>
    <s v="Checked compressor by compressor no vibration found, GP level Ok, We need life line certificate to access roof of the train, need more investigation"/>
    <x v="1"/>
  </r>
  <r>
    <d v="2021-09-26T00:00:00"/>
    <s v="TIR1016"/>
    <x v="0"/>
    <s v="PM1652"/>
    <n v="508"/>
    <s v="IP Offline and Display also NOK { Ledi4-V1, Swd2-V1 }"/>
    <x v="1"/>
    <x v="0"/>
    <m/>
    <x v="2"/>
  </r>
  <r>
    <d v="2021-09-26T00:00:00"/>
    <s v="TIR1017"/>
    <x v="0"/>
    <s v="PM1653"/>
    <n v="509"/>
    <s v="Display Status { Ledi4-V2 - NOK }"/>
    <x v="1"/>
    <x v="0"/>
    <m/>
    <x v="2"/>
  </r>
  <r>
    <d v="2021-09-26T00:00:00"/>
    <s v="TIR1018"/>
    <x v="0"/>
    <s v="PM1654"/>
    <n v="519"/>
    <s v="Display Status { Lcd6-V1 - Dim }"/>
    <x v="1"/>
    <x v="2"/>
    <s v="Checked and no dim issue observed."/>
    <x v="1"/>
  </r>
  <r>
    <d v="2021-09-26T00:00:00"/>
    <s v="TIR1019"/>
    <x v="0"/>
    <s v="PM1654"/>
    <n v="519"/>
    <s v="HVAC2-V2 Low Pressure 1 NOK ( Compressor 1&amp;2 )"/>
    <x v="2"/>
    <x v="2"/>
    <m/>
    <x v="3"/>
  </r>
  <r>
    <d v="2021-09-28T00:00:00"/>
    <s v="TIR0043"/>
    <x v="1"/>
    <s v="NA"/>
    <n v="410"/>
    <s v="Doors unlocked issue "/>
    <x v="0"/>
    <x v="1"/>
    <m/>
    <x v="0"/>
  </r>
  <r>
    <d v="2021-09-28T00:00:00"/>
    <s v="TIR0044"/>
    <x v="1"/>
    <s v="NA"/>
    <s v="422_x000a_602_x000a_608_x000a_612_x000a_615_x000a_617_x000a_503_x000a_509_x000a_512_x000a_514_x000a_519"/>
    <s v="Doors unlocked issue "/>
    <x v="0"/>
    <x v="1"/>
    <m/>
    <x v="0"/>
  </r>
  <r>
    <d v="2021-09-28T00:00:00"/>
    <s v="TIR0045"/>
    <x v="1"/>
    <s v="NA"/>
    <s v="601_x000a_607_x000a_624"/>
    <s v="Doors unlocked issue "/>
    <x v="0"/>
    <x v="1"/>
    <m/>
    <x v="0"/>
  </r>
  <r>
    <d v="2021-09-28T00:00:00"/>
    <s v="TIR0046"/>
    <x v="1"/>
    <s v="NA"/>
    <s v="_x000a_603_x000a_619_x000a_622_x000a_510"/>
    <s v="Doors unlocked issue "/>
    <x v="0"/>
    <x v="1"/>
    <m/>
    <x v="0"/>
  </r>
  <r>
    <d v="2021-09-28T00:00:00"/>
    <s v="TIR0047"/>
    <x v="1"/>
    <s v="NA"/>
    <n v="508"/>
    <s v="HC2_DOOR2not function properly, in UTO mode not getting open _x000a_( Motor brake issue)"/>
    <x v="0"/>
    <x v="1"/>
    <m/>
    <x v="0"/>
  </r>
  <r>
    <d v="2021-10-28T00:00:00"/>
    <s v="TIR0048"/>
    <x v="2"/>
    <s v="NA"/>
    <n v="605"/>
    <s v="Train driver and preventive team reported when HC2 cab active,_x000a_ no cab actvie and EB not release."/>
    <x v="0"/>
    <x v="2"/>
    <m/>
    <x v="0"/>
  </r>
  <r>
    <d v="2021-10-28T00:00:00"/>
    <s v="TIR0050"/>
    <x v="3"/>
    <s v="NA"/>
    <n v="615"/>
    <s v="IOS226 : Loss of traction and ED brajke on one PCE and issue reported_x000a_when train want to depart from satbling to mainline."/>
    <x v="0"/>
    <x v="2"/>
    <m/>
    <x v="0"/>
  </r>
  <r>
    <d v="2021-10-28T00:00:00"/>
    <s v="TIR0051"/>
    <x v="2"/>
    <s v="NA"/>
    <n v="513"/>
    <s v="IOS274: Communication Loss of CRS. We found CRS42 HC_2 is totally death and unable to recover manually"/>
    <x v="3"/>
    <x v="2"/>
    <m/>
    <x v="0"/>
  </r>
  <r>
    <d v="2021-10-28T00:00:00"/>
    <s v="TIR0052"/>
    <x v="2"/>
    <s v="NA"/>
    <n v="513"/>
    <s v=" IOS274: Communication Loss of CRS. We found CRS vs2 HC_2 is totally death and unable to recover manually"/>
    <x v="3"/>
    <x v="2"/>
    <m/>
    <x v="0"/>
  </r>
  <r>
    <d v="2021-10-28T00:00:00"/>
    <s v="TIR0053"/>
    <x v="2"/>
    <s v="NA"/>
    <n v="424"/>
    <s v="CRS4_V2 offline"/>
    <x v="3"/>
    <x v="2"/>
    <m/>
    <x v="0"/>
  </r>
  <r>
    <d v="2021-10-28T00:00:00"/>
    <s v="TIR0055"/>
    <x v="3"/>
    <m/>
    <s v="406_x000a_615_x000a_609_x000a_412"/>
    <s v="TOM issue"/>
    <x v="0"/>
    <x v="2"/>
    <s v="406 : 4/11/2021 : New NVR online and working normally._x000a_615 : 4/11/2021 : New NVR online and working normally."/>
    <x v="0"/>
  </r>
  <r>
    <d v="2021-10-28T00:00:00"/>
    <s v="TIR0049"/>
    <x v="4"/>
    <s v="N/A"/>
    <n v="404"/>
    <s v="Traction issue"/>
    <x v="0"/>
    <x v="2"/>
    <m/>
    <x v="1"/>
  </r>
  <r>
    <d v="2021-10-28T00:00:00"/>
    <s v="TIR0054"/>
    <x v="3"/>
    <s v="NA"/>
    <n v="651"/>
    <s v="TS651 (coupled train) moved in UTO with one train door opened"/>
    <x v="0"/>
    <x v="1"/>
    <m/>
    <x v="1"/>
  </r>
  <r>
    <d v="2021-10-31T00:00:00"/>
    <s v="TIR0057"/>
    <x v="2"/>
    <s v="NA"/>
    <n v="418"/>
    <s v=" We found pei fail to ping and unable to recover"/>
    <x v="0"/>
    <x v="0"/>
    <m/>
    <x v="0"/>
  </r>
  <r>
    <d v="2021-10-31T00:00:00"/>
    <s v="TIR0058"/>
    <x v="3"/>
    <s v="NA"/>
    <n v="422"/>
    <m/>
    <x v="1"/>
    <x v="2"/>
    <m/>
    <x v="0"/>
  </r>
  <r>
    <d v="2021-10-31T00:00:00"/>
    <s v="TIR0060"/>
    <x v="0"/>
    <s v="PM1684"/>
    <n v="407"/>
    <s v="HC1- While CVS transformer cables inspection, found leakage from the_x000a_input Capacitor on"/>
    <x v="3"/>
    <x v="2"/>
    <m/>
    <x v="0"/>
  </r>
  <r>
    <d v="2021-10-31T00:00:00"/>
    <s v="TIR0059"/>
    <x v="3"/>
    <s v="NA"/>
    <n v="417"/>
    <s v="TS417 stuck at neutral sec"/>
    <x v="0"/>
    <x v="2"/>
    <m/>
    <x v="1"/>
  </r>
  <r>
    <d v="2021-10-31T00:00:00"/>
    <s v="TIR1020"/>
    <x v="5"/>
    <s v="NA"/>
    <s v="All"/>
    <s v="Harting brake connector improperly locked"/>
    <x v="1"/>
    <x v="3"/>
    <m/>
    <x v="2"/>
  </r>
  <r>
    <d v="2021-11-03T00:00:00"/>
    <s v="TIR0061"/>
    <x v="3"/>
    <s v="NA"/>
    <s v="401_x000a_405"/>
    <s v="TOM issue : IOS 191 and F_N VR1Lostcom"/>
    <x v="0"/>
    <x v="2"/>
    <s v="405 - 3/11/2021 : Reprogram manually NVR by STE local support._x000a_401 - Hard disk was not properly inserted"/>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r>
  <r>
    <d v="2021-11-13T00:00:00"/>
    <s v="TIR0063"/>
    <x v="3"/>
    <s v="Mail"/>
    <n v="423"/>
    <s v="13 Nov Mainline launching D4/6 :_x000a_IOS247: One ACE have a communication fault"/>
    <x v="0"/>
    <x v="2"/>
    <s v="6/12/2021 : No Issues observed after monitoring."/>
    <x v="1"/>
  </r>
  <r>
    <d v="2021-11-13T00:00:00"/>
    <s v="TIR0065"/>
    <x v="3"/>
    <s v="Mail"/>
    <n v="421"/>
    <s v="17 train carrousel _ 13/11/2021_x000a_TS421: IOS179,185"/>
    <x v="0"/>
    <x v="2"/>
    <m/>
    <x v="1"/>
  </r>
  <r>
    <d v="2021-11-13T00:00:00"/>
    <s v="TIR0066"/>
    <x v="3"/>
    <s v="Mail"/>
    <n v="409"/>
    <s v="17 train carrousel _ 13/11/2021_x000a_IOS17"/>
    <x v="0"/>
    <x v="2"/>
    <s v="Performed test and checked MPU logs, found while daily brake test in progress. EAD were activated and EB applied."/>
    <x v="1"/>
  </r>
  <r>
    <d v="2021-11-14T00:00:00"/>
    <s v="TIR0067"/>
    <x v="3"/>
    <s v="Mail"/>
    <n v="421"/>
    <s v="15 Nov Mainline launching D4/6_x000a_Pei5 hc2 offline "/>
    <x v="0"/>
    <x v="0"/>
    <s v="Updated the pei software and online. To test "/>
    <x v="0"/>
  </r>
  <r>
    <d v="2021-11-14T00:00:00"/>
    <s v="TIR0068"/>
    <x v="3"/>
    <s v="Mail"/>
    <n v="401"/>
    <s v="15 Nov Mainline launching D4/6_x000a_IOS94 : Zero velocity fault"/>
    <x v="0"/>
    <x v="2"/>
    <m/>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r>
  <r>
    <d v="2021-11-14T00:00:00"/>
    <s v="TIR0070"/>
    <x v="3"/>
    <s v="Mail"/>
    <n v="603"/>
    <s v="15 Nov Mainline launching D4/6_x000a_IOS196  "/>
    <x v="0"/>
    <x v="0"/>
    <s v="Updated pei software and no more IOS196 report"/>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r>
  <r>
    <d v="2021-11-14T00:00:00"/>
    <s v="TIR0072"/>
    <x v="3"/>
    <s v="Mail"/>
    <n v="614"/>
    <s v="Alarms from CCR_x000a_IOS264:More than one UMC have a communication fault"/>
    <x v="0"/>
    <x v="0"/>
    <s v="Updated the pei software and online. To test "/>
    <x v="0"/>
  </r>
  <r>
    <d v="2021-11-14T00:00:00"/>
    <s v="TIR0073"/>
    <x v="3"/>
    <s v="Mail"/>
    <n v="413"/>
    <s v="Alarms from CCR_x000a_IOS250:One HVAC has a communication fault"/>
    <x v="0"/>
    <x v="3"/>
    <s v="16/11 : Train in mainline today and no issue reported."/>
    <x v="0"/>
  </r>
  <r>
    <d v="2021-11-14T00:00:00"/>
    <s v="TIR0074"/>
    <x v="3"/>
    <s v="Mail"/>
    <n v="414"/>
    <s v="Alarms from CCR_x000a_IOS196:Loss of at least 1 PEI in a class"/>
    <x v="0"/>
    <x v="0"/>
    <s v="Checked and confirmed E2 port have communication issue. "/>
    <x v="0"/>
  </r>
  <r>
    <d v="2021-11-15T00:00:00"/>
    <s v="TIR0075"/>
    <x v="3"/>
    <s v="Mail"/>
    <n v="617"/>
    <s v="15 Nov Mainline launching D4/6 :_x000a_IOS250 : HVAC1_V1 offline"/>
    <x v="0"/>
    <x v="3"/>
    <s v="16/11 : Train checked in the workshop : Train woke up and asleep 5 times =&gt; we have communication with all HVAC. There is no IOS250."/>
    <x v="0"/>
  </r>
  <r>
    <d v="2021-11-15T00:00:00"/>
    <s v="TIR0076"/>
    <x v="3"/>
    <s v="Mail"/>
    <n v="612"/>
    <s v="15 Nov Mainline launching D4/6 :_x000a_IOS249 : Door6-hc1 no communication "/>
    <x v="0"/>
    <x v="1"/>
    <s v="we replaced the DCU because it was offline "/>
    <x v="0"/>
  </r>
  <r>
    <d v="2021-11-15T00:00:00"/>
    <s v="TIR0078"/>
    <x v="3"/>
    <s v="Mail"/>
    <n v="403"/>
    <s v="15 Nov Mainline launching D4/6 :_x000a_SWD4_V2 is offline after reset became OK"/>
    <x v="0"/>
    <x v="0"/>
    <s v="Reset it and SWD display OK."/>
    <x v="0"/>
  </r>
  <r>
    <d v="2021-11-15T00:00:00"/>
    <s v="TIR0079"/>
    <x v="3"/>
    <s v="Mail"/>
    <n v="401"/>
    <s v="15 Nov PACIS issues on Mainline_x000a_TCCU 1 Faulty and PEI1 _V1 offline "/>
    <x v="0"/>
    <x v="0"/>
    <s v=" Replaced TCCU1 and PEI1-V1 and to test"/>
    <x v="0"/>
  </r>
  <r>
    <d v="2021-11-15T00:00:00"/>
    <s v="TIR0080"/>
    <x v="3"/>
    <s v="Mail"/>
    <n v="403"/>
    <s v="15 Nov PACIS issues on Mainline_x000a_Pei 1_v2 and Pei 6 _v1 Offline "/>
    <x v="0"/>
    <x v="2"/>
    <s v="Checked and confirmed both PEI E1,E2 port have communication issue. "/>
    <x v="0"/>
  </r>
  <r>
    <d v="2021-11-15T00:00:00"/>
    <s v="TIR0081"/>
    <x v="3"/>
    <s v="Mail"/>
    <n v="421"/>
    <s v="15 Nov PACIS issues on Mainline_x000a_No CAM working(tccu 1 need to check)"/>
    <x v="0"/>
    <x v="0"/>
    <s v="Updated TCCU1 software and to test "/>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r>
  <r>
    <d v="2021-11-15T00:00:00"/>
    <s v="TIR0084"/>
    <x v="3"/>
    <s v="Mail"/>
    <n v="423"/>
    <s v="15 Nov PACIS issues on Mainline_x000a_No COM with ism reported on mainline "/>
    <x v="0"/>
    <x v="0"/>
    <s v="Updated TCCU1 software and no more report"/>
    <x v="0"/>
  </r>
  <r>
    <d v="2021-11-15T00:00:00"/>
    <s v="TIR0085"/>
    <x v="3"/>
    <s v="Mail"/>
    <n v="414"/>
    <s v="15 Nov PACIS issues on Mainline_x000a_IOS196 :pei5_v1 offline"/>
    <x v="0"/>
    <x v="2"/>
    <s v="Checked and confirmed E2 port have communication issue. "/>
    <x v="0"/>
  </r>
  <r>
    <d v="2021-11-15T00:00:00"/>
    <s v="TIR0077"/>
    <x v="3"/>
    <s v="Mail"/>
    <n v="602"/>
    <s v="15 Nov Mainline launching D4/6 :_x000a_IOS247: One ACE have a communication fault"/>
    <x v="0"/>
    <x v="2"/>
    <m/>
    <x v="1"/>
  </r>
  <r>
    <d v="2021-11-15T00:00:00"/>
    <s v="TIR0086"/>
    <x v="3"/>
    <s v="Mail"/>
    <n v="412"/>
    <s v="15 Nov Mainline launching D4/6 :_x000a_IOS250 : IOS252 and F_TCN_ATC2ComNOK"/>
    <x v="0"/>
    <x v="3"/>
    <s v="Confirmed SLV"/>
    <x v="1"/>
  </r>
  <r>
    <d v="2021-11-16T00:00:00"/>
    <s v="TIR0087"/>
    <x v="3"/>
    <s v="Mail"/>
    <n v="612"/>
    <s v="T612 report IOS253, The EVR have a communication fault"/>
    <x v="0"/>
    <x v="0"/>
    <s v="The issue is solved after we update evr software."/>
    <x v="0"/>
  </r>
  <r>
    <d v="2021-11-16T00:00:00"/>
    <s v="TIR0088"/>
    <x v="3"/>
    <s v="Mail"/>
    <n v="411"/>
    <s v="IOS196 : Loss of at least 1 PEI in a class, from the MPU logs shown that_x000a_PEI4_V2 communication not stable"/>
    <x v="0"/>
    <x v="0"/>
    <s v="Replaced a new PEI and updated software OK"/>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r>
  <r>
    <d v="2021-11-17T00:00:00"/>
    <s v="TIR0090"/>
    <x v="3"/>
    <s v="Mail"/>
    <n v="404"/>
    <s v="IOS226 : Loss of traction and ED brake on one PCE."/>
    <x v="0"/>
    <x v="2"/>
    <s v="25/11/2021 : Isseu rectified, cable for discharging were wrongly connected."/>
    <x v="0"/>
  </r>
  <r>
    <d v="2021-11-17T00:00:00"/>
    <s v="TIR0091"/>
    <x v="3"/>
    <s v="Mail"/>
    <n v="401"/>
    <s v="IOS191 : Loss of video recorder."/>
    <x v="0"/>
    <x v="2"/>
    <s v="Recovered automatically , Reboot NVR to simulate the issue ._x000a_still NVR video recording "/>
    <x v="0"/>
  </r>
  <r>
    <d v="2021-11-17T00:00:00"/>
    <s v="TIR0103"/>
    <x v="3"/>
    <s v="RMDT"/>
    <n v="605"/>
    <s v="TS605 door did not open at 4C1 PF1. _x000a_TS605 dwelled and departed on time "/>
    <x v="0"/>
    <x v="3"/>
    <s v="SLV issue , issue is happen during ATC master changeover "/>
    <x v="1"/>
  </r>
  <r>
    <d v="2021-11-18T00:00:00"/>
    <s v="TIR0092"/>
    <x v="3"/>
    <s v="Mail"/>
    <n v="606"/>
    <s v="IOS264:more than one UMC have a communication fault"/>
    <x v="0"/>
    <x v="0"/>
    <s v="Found HC2 CRS42 fail to power up.Replaced a new CRS and test OK"/>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r>
  <r>
    <d v="2021-11-21T00:00:00"/>
    <s v="TIR0097"/>
    <x v="3"/>
    <s v="Mail"/>
    <n v="626"/>
    <s v="Mainline launching D4/6._x000a_IOS196 &quot; PEI of line &quot; , PEI1_V1 "/>
    <x v="0"/>
    <x v="0"/>
    <s v="updated software manually,cheched online and display  ok"/>
    <x v="0"/>
  </r>
  <r>
    <d v="2021-11-21T00:00:00"/>
    <s v="TIR0098"/>
    <x v="3"/>
    <s v="Mail"/>
    <n v="610"/>
    <s v="Mainline launching D4/6._x000a_LEDI1_V2 and (LEDI, LCD &amp; SWD 2_V2) are offline "/>
    <x v="0"/>
    <x v="0"/>
    <s v="See TIR205"/>
    <x v="0"/>
  </r>
  <r>
    <d v="2021-11-21T00:00:00"/>
    <s v="TIR0099"/>
    <x v="3"/>
    <s v="Mail"/>
    <n v="404"/>
    <s v="SWD1_V1 is offline and LCD2_V1 &amp; LCD2_V2 are dim"/>
    <x v="0"/>
    <x v="1"/>
    <s v="after manually update all now working fine"/>
    <x v="0"/>
  </r>
  <r>
    <d v="2021-11-21T00:00:00"/>
    <s v="TIR0100"/>
    <x v="3"/>
    <s v="Mail"/>
    <n v="601"/>
    <s v="LCD5_V2 Off line _x000a_LCD2_V1 &amp; SWD4_V1 are shown faulty screens"/>
    <x v="0"/>
    <x v="1"/>
    <s v="after manually update now working fine"/>
    <x v="0"/>
  </r>
  <r>
    <d v="2021-11-21T00:00:00"/>
    <s v="TIR0101"/>
    <x v="3"/>
    <s v="Mail"/>
    <n v="421"/>
    <s v="HVAC 1_V2 fault"/>
    <x v="0"/>
    <x v="2"/>
    <m/>
    <x v="0"/>
  </r>
  <r>
    <d v="2021-11-21T00:00:00"/>
    <s v="TIR0102"/>
    <x v="3"/>
    <s v="Mail"/>
    <n v="421"/>
    <s v="Emergency ventilation fault _x000a_HVAC2-V2"/>
    <x v="1"/>
    <x v="2"/>
    <m/>
    <x v="2"/>
  </r>
  <r>
    <d v="2021-11-21T00:00:00"/>
    <s v="TIR0095"/>
    <x v="3"/>
    <s v="Mail"/>
    <n v="602"/>
    <s v="Mainline launching D4/6._x000a_the driver noticed during departure from 6F1 train jerking and like sparking "/>
    <x v="3"/>
    <x v="1"/>
    <s v="CCD Cable missing _x000a_HC1-BOGIE2_Fuse box to JB one HV cable not available."/>
    <x v="0"/>
  </r>
  <r>
    <d v="2021-11-21T00:00:00"/>
    <s v="TIR0093"/>
    <x v="2"/>
    <s v="CM"/>
    <n v="610"/>
    <s v="HC1 Horn not working"/>
    <x v="0"/>
    <x v="2"/>
    <s v="Horn connector not proeprly connected"/>
    <x v="1"/>
  </r>
  <r>
    <d v="2021-11-21T00:00:00"/>
    <s v="TIR1022"/>
    <x v="3"/>
    <s v="Mail"/>
    <n v="616"/>
    <s v="Mainline launching D4/6._x000a_IOS179"/>
    <x v="1"/>
    <x v="2"/>
    <m/>
    <x v="1"/>
  </r>
  <r>
    <d v="2021-11-23T00:00:00"/>
    <s v="TIR0104"/>
    <x v="0"/>
    <s v="NA"/>
    <n v="403"/>
    <s v="PEI4_V1 fault, lost com, "/>
    <x v="0"/>
    <x v="0"/>
    <s v="Updated software still pei lost communication. Replaced a new one and test ok."/>
    <x v="0"/>
  </r>
  <r>
    <d v="2021-11-23T00:00:00"/>
    <s v="TIR0105"/>
    <x v="0"/>
    <s v="NA"/>
    <n v="606"/>
    <s v="SWD1_V1 blinking issue"/>
    <x v="0"/>
    <x v="0"/>
    <s v="12/9/2021:To investigate_x000a_12/26/2021:Updated again software manually and test it online and display OK"/>
    <x v="0"/>
  </r>
  <r>
    <d v="2021-11-23T00:00:00"/>
    <s v="TIR0106"/>
    <x v="3"/>
    <s v="Mail"/>
    <n v="601"/>
    <s v="PEI2_V1,PEI1_V2,PEI3_V2,PEI5_V2"/>
    <x v="0"/>
    <x v="1"/>
    <s v="update the software Manually all PEI Online. Date:24/11/2021 again cross In ism(pei2_v1,pei1_v2,pei5_v2) need to replace "/>
    <x v="0"/>
  </r>
  <r>
    <d v="2021-11-23T00:00:00"/>
    <s v="TIR0108"/>
    <x v="3"/>
    <s v="Mail"/>
    <n v="420"/>
    <s v=" combine test RST NOK"/>
    <x v="0"/>
    <x v="1"/>
    <s v="Door #1 hc2 Found cable mechanically not connected in proper pulley"/>
    <x v="0"/>
  </r>
  <r>
    <d v="2021-11-23T00:00:00"/>
    <s v="TIR0107"/>
    <x v="3"/>
    <s v="Mail"/>
    <n v="603"/>
    <s v="Red light Door3 V1"/>
    <x v="0"/>
    <x v="1"/>
    <m/>
    <x v="1"/>
  </r>
  <r>
    <d v="2021-11-25T00:00:00"/>
    <s v="TIR0109"/>
    <x v="3"/>
    <s v="Mail"/>
    <n v="604"/>
    <s v="TOM issue : IOS 191 and F_N VR1Lostcom"/>
    <x v="0"/>
    <x v="2"/>
    <s v="Checekd and found NVR HDD1 faulty since 19/7/2021. Swapped HDD and confirmed HDD malfunction, already replaced and test it."/>
    <x v="0"/>
  </r>
  <r>
    <d v="2021-11-25T00:00:00"/>
    <s v="TIR0110"/>
    <x v="3"/>
    <s v="Mail"/>
    <n v="516"/>
    <s v="BRIO 72A32 faulty"/>
    <x v="1"/>
    <x v="2"/>
    <s v="Checked and confirmed that BRIO 72A32 faulty (Analog input and output) failure. Need to replace."/>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r>
  <r>
    <d v="2021-11-29T00:00:00"/>
    <s v="TIR0112"/>
    <x v="2"/>
    <s v="NA"/>
    <n v="411"/>
    <s v="PEI5-V1 NOK from ISM"/>
    <x v="0"/>
    <x v="0"/>
    <s v="Updated PEI software and PEI status is good in ISM side,"/>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r>
  <r>
    <d v="2021-11-29T00:00:00"/>
    <s v="TIR0113"/>
    <x v="2"/>
    <s v="NA"/>
    <n v="610"/>
    <s v="CB 61Q05 trip during rescue coupling "/>
    <x v="0"/>
    <x v="1"/>
    <s v="During the Rescue coupling they coupled 612HC2 and 610HC1 side the problem we found in 612 HC2. two cables was cross in PB+RP3(WF00105\108 and WF00103_01\107)"/>
    <x v="1"/>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r>
  <r>
    <d v="2021-11-30T00:00:00"/>
    <s v="TIR0115"/>
    <x v="3"/>
    <s v="Mail"/>
    <n v="418"/>
    <s v="IOS179 + IOS185"/>
    <x v="0"/>
    <x v="2"/>
    <s v="Found ACE2 has critical faults, after reset no more IOSs."/>
    <x v="0"/>
  </r>
  <r>
    <d v="2021-11-30T00:00:00"/>
    <s v="TIR0119"/>
    <x v="3"/>
    <s v="Mail"/>
    <n v="410"/>
    <s v="IOS191 : Loss of video recorder."/>
    <x v="0"/>
    <x v="2"/>
    <s v="Found NVR IP is online but TOM NOK also from the MPU logs shown_x000a_ “F_NVR1LostCom then F_NVR1Fault” and shown faulty LED light on the device"/>
    <x v="0"/>
  </r>
  <r>
    <d v="2021-11-30T00:00:00"/>
    <s v="TIR0121"/>
    <x v="6"/>
    <s v="NA"/>
    <n v="404"/>
    <s v="Both TCCU have not same software "/>
    <x v="0"/>
    <x v="0"/>
    <s v="Updated both TCCU to STR570 verstion"/>
    <x v="0"/>
  </r>
  <r>
    <d v="2021-11-30T00:00:00"/>
    <s v="TIR0122"/>
    <x v="3"/>
    <s v="Mail"/>
    <n v="651"/>
    <s v="WSP + Holding brake issue "/>
    <x v="0"/>
    <x v="3"/>
    <s v="05/12 : A-MATRIC of train 604 replaced and programmed."/>
    <x v="0"/>
  </r>
  <r>
    <d v="2021-11-30T00:00:00"/>
    <s v="TIR0123"/>
    <x v="3"/>
    <s v="Alarm Viewer Alarms Report"/>
    <n v="405"/>
    <s v="IOS196 &quot; PEI of line &quot;"/>
    <x v="0"/>
    <x v="5"/>
    <s v="Updated the pei software and online"/>
    <x v="0"/>
  </r>
  <r>
    <d v="2021-11-30T00:00:00"/>
    <s v="TIR0118"/>
    <x v="3"/>
    <s v="Mail"/>
    <n v="623"/>
    <s v="IOS227"/>
    <x v="3"/>
    <x v="2"/>
    <s v="Highlighted by TC thru Irvin ~12:49 but train is moving,_x000a_ Checked and found in PCE1 have QNEB failure many times."/>
    <x v="0"/>
  </r>
  <r>
    <d v="2021-11-30T00:00:00"/>
    <s v="TIR0125"/>
    <x v="3"/>
    <s v="Alarm Viewer Alarms Report"/>
    <n v="601"/>
    <s v="IOS196 &quot; PEI of line &quot;_x000a_LCD5-V2 error display_x000a_LEDI5-V2 error display"/>
    <x v="1"/>
    <x v="0"/>
    <s v="Updaed software manually and test ok"/>
    <x v="1"/>
  </r>
  <r>
    <d v="2021-11-30T00:00:00"/>
    <s v="TIR0126"/>
    <x v="3"/>
    <s v="NA"/>
    <n v="512"/>
    <s v="IOS179 + IOS180"/>
    <x v="2"/>
    <x v="2"/>
    <s v="CVS1 faulty due to HVAC2_V1 compressor fault and HVAC1_V1 ventilation fault (overcurrent). Switch off HVAC 52Q06 CB and reset CVS1, CVS working normal.Nedd to checked HVAC compressor."/>
    <x v="3"/>
  </r>
  <r>
    <d v="2021-11-30T00:00:00"/>
    <s v="TIR0114"/>
    <x v="3"/>
    <s v="Mail"/>
    <n v="404"/>
    <s v="IOS263/IOS250_x000a_both V2 HVAC NOK then only HVAC1_V2 NOK"/>
    <x v="0"/>
    <x v="1"/>
    <s v="No issue found"/>
    <x v="1"/>
  </r>
  <r>
    <d v="2021-11-30T00:00:00"/>
    <s v="TIR0116"/>
    <x v="3"/>
    <s v="Mail"/>
    <n v="624"/>
    <s v="IOS061 + IOS071"/>
    <x v="0"/>
    <x v="1"/>
    <s v="Found EAD2_V2’s key not in proper position. After normalized it no more IOSs."/>
    <x v="1"/>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r>
  <r>
    <d v="2021-11-30T00:00:00"/>
    <s v="TIR0120"/>
    <x v="6"/>
    <s v="NA"/>
    <n v="414"/>
    <s v="Train communication issue see in the log"/>
    <x v="0"/>
    <x v="3"/>
    <s v="30/12 : Train checked and communication with all equipment ok. Issue happened last 14 November with communication lost with CRS1_V1 first."/>
    <x v="1"/>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r>
  <r>
    <d v="2021-11-30T00:00:00"/>
    <s v="TIR1023"/>
    <x v="3"/>
    <s v="Alarm Viewer Alarms Report"/>
    <n v="409"/>
    <s v="IOS196 &quot; PEI of line &quot;"/>
    <x v="1"/>
    <x v="5"/>
    <s v="Checked all PEIs online"/>
    <x v="1"/>
  </r>
  <r>
    <d v="2021-12-01T00:00:00"/>
    <s v="TIR0128"/>
    <x v="2"/>
    <s v="Mail"/>
    <n v="603"/>
    <s v="TU4:EB in UTO/ATPM mode"/>
    <x v="0"/>
    <x v="3"/>
    <s v="Found one wire W56802 wrongly connected and correct it, and no more EB happened"/>
    <x v="0"/>
  </r>
  <r>
    <d v="2021-12-01T00:00:00"/>
    <s v="TIR0129"/>
    <x v="2"/>
    <s v="Mail"/>
    <n v="618"/>
    <s v="TU4:EB in UTO/ATPM mode"/>
    <x v="0"/>
    <x v="0"/>
    <s v="Checked the wires are OK, and no issue found, to test it"/>
    <x v="0"/>
  </r>
  <r>
    <d v="2021-12-01T00:00:00"/>
    <s v="TIR0130"/>
    <x v="3"/>
    <s v="Mail"/>
    <n v="410"/>
    <s v="NVR fault"/>
    <x v="0"/>
    <x v="2"/>
    <s v="NVR lost communication and after checked by STE local support, confirmed NVR lost communication everytime train wake up. NVR will be replaced."/>
    <x v="0"/>
  </r>
  <r>
    <d v="2021-12-05T00:00:00"/>
    <s v="TIR0131"/>
    <x v="2"/>
    <s v="NA"/>
    <n v="414"/>
    <s v="DRM4 , DRM5 , LCD5 , LID4 , LID5 _x000a_loss of communication"/>
    <x v="0"/>
    <x v="0"/>
    <s v="Checked on 07/12/2021,and follow to  TIR173"/>
    <x v="0"/>
  </r>
  <r>
    <d v="2021-12-05T00:00:00"/>
    <s v="TIR0132"/>
    <x v="2"/>
    <s v="NA"/>
    <n v="409"/>
    <s v="SWD2-V2 offline"/>
    <x v="0"/>
    <x v="0"/>
    <s v="Updated again software manually and test it online and display OK"/>
    <x v="0"/>
  </r>
  <r>
    <d v="2021-12-05T00:00:00"/>
    <s v="TIR0136"/>
    <x v="3"/>
    <s v="Mail"/>
    <n v="413"/>
    <s v="IOS264 : More than one MUC have a communication fault"/>
    <x v="0"/>
    <x v="0"/>
    <s v="Update the TCCU2 software and no more ios264"/>
    <x v="0"/>
  </r>
  <r>
    <d v="2021-12-05T00:00:00"/>
    <s v="TIR0134"/>
    <x v="0"/>
    <s v="PM1950"/>
    <n v="418"/>
    <s v="Hc1- Door1 glass Minor cracked at corner"/>
    <x v="1"/>
    <x v="1"/>
    <s v="Need to Reapair "/>
    <x v="3"/>
  </r>
  <r>
    <d v="2021-12-05T00:00:00"/>
    <s v="TIR0135"/>
    <x v="3"/>
    <s v="NA"/>
    <n v="624"/>
    <s v="Hc1- Door4 and Window glass Scratches"/>
    <x v="1"/>
    <x v="1"/>
    <s v="Reapaired by Painter"/>
    <x v="3"/>
  </r>
  <r>
    <d v="2021-12-05T00:00:00"/>
    <s v="TIR0140"/>
    <x v="3"/>
    <s v="RMDT Report"/>
    <n v="623"/>
    <s v="IOS196 : Loss of PEI"/>
    <x v="1"/>
    <x v="5"/>
    <s v="PEI E2 port faulty - to be replaced with new one_x000a_2/6/2022: found PEI3-V1 report lost communication; Updated software manually and test ok"/>
    <x v="1"/>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r>
  <r>
    <d v="2021-12-05T00:00:00"/>
    <s v="TIR0138"/>
    <x v="3"/>
    <s v="RMDT Report"/>
    <n v="407"/>
    <s v="TS 407: “IOS96 : Discrepancy between K_ZeroVel relay and BCE or PCE or ATC”,_x000a_"/>
    <x v="0"/>
    <x v="3"/>
    <s v="07/12 : From MPU log no IOS96 triggered. Logs checked from 23 november to 7 december."/>
    <x v="1"/>
  </r>
  <r>
    <d v="2021-12-05T00:00:00"/>
    <s v="TIR1024"/>
    <x v="2"/>
    <s v="NA"/>
    <n v="416"/>
    <s v="PEI2-V1 loss of communication"/>
    <x v="1"/>
    <x v="5"/>
    <s v="Checked and no issue found"/>
    <x v="1"/>
  </r>
  <r>
    <d v="2021-12-05T00:00:00"/>
    <s v="TIR1025"/>
    <x v="3"/>
    <s v="RMDT Report"/>
    <n v="422"/>
    <s v="IOS196 : Loss of PEI"/>
    <x v="1"/>
    <x v="5"/>
    <s v="Checked PEIs all online"/>
    <x v="1"/>
  </r>
  <r>
    <d v="2021-12-06T00:00:00"/>
    <s v="TIR0141"/>
    <x v="0"/>
    <s v="NA"/>
    <n v="605"/>
    <s v="LEDI fail to power up"/>
    <x v="0"/>
    <x v="0"/>
    <s v="Replaced a new LEDI and updated software OK"/>
    <x v="0"/>
  </r>
  <r>
    <d v="2021-12-06T00:00:00"/>
    <s v="TIR0150"/>
    <x v="0"/>
    <s v="PM2028"/>
    <n v="608"/>
    <s v="HC2-RHS Saloon lights Dim."/>
    <x v="0"/>
    <x v="1"/>
    <s v="110v to 24v DC converter output emergency Switch in 3 coverter was on worng position it should be on 100% "/>
    <x v="0"/>
  </r>
  <r>
    <d v="2021-12-06T00:00:00"/>
    <s v="TIR0154"/>
    <x v="0"/>
    <s v="PM2026"/>
    <n v="412"/>
    <s v="hc1 axle 3 oil level low hc2 axle 2 oil level low"/>
    <x v="0"/>
    <x v="3"/>
    <s v="08/12 : visual inspection done. No leakage found, need to normalize the oil level. All other axle are close to the low level also. "/>
    <x v="0"/>
  </r>
  <r>
    <d v="2021-12-06T00:00:00"/>
    <s v="TIR0155"/>
    <x v="0"/>
    <s v="PM2026"/>
    <n v="412"/>
    <s v="HC1-CAB LIGHT DIM ,                                                                                                                                                       HC1-GANGWAY LIGHT DIM"/>
    <x v="0"/>
    <x v="0"/>
    <s v="12/9/2021:To investigate_x000a_12/19/2021:Adjust the light parameters and light is OK"/>
    <x v="0"/>
  </r>
  <r>
    <d v="2021-12-06T00:00:00"/>
    <s v="TIR0156"/>
    <x v="0"/>
    <s v="PM2025"/>
    <n v="411"/>
    <s v="HC1- Cab light Dim, HC1&amp;2-GANGWAY LIGHT DIM"/>
    <x v="0"/>
    <x v="0"/>
    <s v="12/9/2021:To investigate_x000a_12/19/2021:Adjust the light parameters and light is OK"/>
    <x v="0"/>
  </r>
  <r>
    <d v="2021-12-06T00:00:00"/>
    <s v="TIR0166"/>
    <x v="3"/>
    <s v="Mail"/>
    <n v="623"/>
    <s v="Ledi6_V2 - blank"/>
    <x v="0"/>
    <x v="0"/>
    <s v="Updated software manuall and test OK"/>
    <x v="0"/>
  </r>
  <r>
    <d v="2021-12-06T00:00:00"/>
    <s v="TIR0168"/>
    <x v="6"/>
    <s v="Mail"/>
    <n v="619"/>
    <s v="Lcd1_V2, ledi1_V2, swd1_V2 &amp; ledi5_V2 blank &amp; multimedia not update"/>
    <x v="0"/>
    <x v="0"/>
    <s v="12/9/2021:To investigate_x000a_1/9/2022:update media OK,   checked other devices ok."/>
    <x v="0"/>
  </r>
  <r>
    <d v="2021-12-06T00:00:00"/>
    <s v="TIR0169"/>
    <x v="3"/>
    <s v="Mail"/>
    <n v="613"/>
    <s v="IOS226: Loss of traction and ED brake on one PCE"/>
    <x v="0"/>
    <x v="2"/>
    <s v="Checked and found same issue with 404, logs already send and waiting for feedback. SW09"/>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r>
  <r>
    <d v="2021-12-06T00:00:00"/>
    <s v="TIR0145"/>
    <x v="0"/>
    <s v="PM2030"/>
    <n v="623"/>
    <s v="HC1-GCR saloon light not lit"/>
    <x v="1"/>
    <x v="1"/>
    <m/>
    <x v="0"/>
  </r>
  <r>
    <d v="2021-12-06T00:00:00"/>
    <s v="TIR0146"/>
    <x v="0"/>
    <s v="PM2030"/>
    <n v="623"/>
    <s v="HC1-stinger cap cover broken"/>
    <x v="1"/>
    <x v="1"/>
    <m/>
    <x v="3"/>
  </r>
  <r>
    <d v="2021-12-06T00:00:00"/>
    <s v="TIR0148"/>
    <x v="0"/>
    <s v="PM2028"/>
    <n v="608"/>
    <s v="1.HVAC-Roof Panel gap filler  plate not fixed(near to Gangway)"/>
    <x v="1"/>
    <x v="1"/>
    <s v="Parts not available"/>
    <x v="3"/>
  </r>
  <r>
    <d v="2021-12-06T00:00:00"/>
    <s v="TIR0151"/>
    <x v="0"/>
    <s v="PM2027"/>
    <n v="603"/>
    <s v="HC2-Bogie1_Axle2 minor air leakage "/>
    <x v="1"/>
    <x v="3"/>
    <s v="19/12 : leakage found from the spring brake part. (BRAKE UNIT WITH PARKING BRAKE)._x000a_Need to normalize by replacing the brake part."/>
    <x v="3"/>
  </r>
  <r>
    <d v="2021-12-06T00:00:00"/>
    <s v="TIR0152"/>
    <x v="0"/>
    <s v="PM2027"/>
    <n v="603"/>
    <s v="Becon Antenna screw not there(4 missing),_x000a_HC2-Left side hose not availabe,"/>
    <x v="1"/>
    <x v="1"/>
    <m/>
    <x v="3"/>
  </r>
  <r>
    <d v="2021-12-06T00:00:00"/>
    <s v="TIR0158"/>
    <x v="0"/>
    <s v="PM2025"/>
    <n v="411"/>
    <s v="HC1- Electrical Coupler NOK. ( Required Fasteners )."/>
    <x v="1"/>
    <x v="2"/>
    <s v="Waiting for spare part."/>
    <x v="3"/>
  </r>
  <r>
    <d v="2021-12-06T00:00:00"/>
    <s v="TIR0160"/>
    <x v="0"/>
    <s v="PM2031"/>
    <n v="503"/>
    <s v="Gangway lights Dim in Hc1 and Hc2,working inversely"/>
    <x v="1"/>
    <x v="1"/>
    <m/>
    <x v="0"/>
  </r>
  <r>
    <d v="2021-12-06T00:00:00"/>
    <s v="TIR0161"/>
    <x v="0"/>
    <s v="PM2031"/>
    <n v="503"/>
    <s v="HC1 Bogie2 Right- Fuse box glass minor cracked."/>
    <x v="1"/>
    <x v="2"/>
    <m/>
    <x v="3"/>
  </r>
  <r>
    <d v="2021-12-06T00:00:00"/>
    <s v="TIR0162"/>
    <x v="0"/>
    <s v="NA"/>
    <n v="608"/>
    <s v="T608_HC2_AGTU filter locked nut tread damaged."/>
    <x v="1"/>
    <x v="3"/>
    <s v="06/12 : need to change it and normalize."/>
    <x v="0"/>
  </r>
  <r>
    <d v="2021-12-06T00:00:00"/>
    <s v="TIR0163"/>
    <x v="0"/>
    <s v="NA"/>
    <n v="623"/>
    <s v="T623_HC2_RHS_ Sanding rubber hoses damaged - _x000a_1 nos. (DTR0000550155)"/>
    <x v="1"/>
    <x v="1"/>
    <s v="Need to replace "/>
    <x v="3"/>
  </r>
  <r>
    <d v="2021-12-06T00:00:00"/>
    <s v="TIR0164"/>
    <x v="0"/>
    <s v="NA"/>
    <n v="502"/>
    <s v="Sanding rubber hoses missing - 4 nos, clamp - 4pcs. (RIY 000000370)"/>
    <x v="1"/>
    <x v="1"/>
    <s v="Sending hoses need to install "/>
    <x v="3"/>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r>
  <r>
    <d v="2021-12-06T00:00:00"/>
    <s v="TIR0144"/>
    <x v="0"/>
    <s v="PM2030"/>
    <n v="623"/>
    <s v="Door-Inter glass Nok ( not closed and locked)"/>
    <x v="0"/>
    <x v="1"/>
    <m/>
    <x v="1"/>
  </r>
  <r>
    <d v="2021-12-06T00:00:00"/>
    <s v="TIR0147"/>
    <x v="0"/>
    <s v="PM2028"/>
    <n v="608"/>
    <s v="HC1-Headligh LHS white led not ok."/>
    <x v="0"/>
    <x v="1"/>
    <s v="both head light are working fine no issue found "/>
    <x v="1"/>
  </r>
  <r>
    <d v="2021-12-06T00:00:00"/>
    <s v="TIR0149"/>
    <x v="0"/>
    <s v="PM2028"/>
    <n v="608"/>
    <s v="2. Earth cable not fixed between Permanent coupler _Retofit "/>
    <x v="0"/>
    <x v="2"/>
    <m/>
    <x v="0"/>
  </r>
  <r>
    <d v="2021-12-06T00:00:00"/>
    <s v="TIR0153"/>
    <x v="0"/>
    <s v="PM2027"/>
    <n v="603"/>
    <s v="HC1-CAB Headlight Nok(LHS) BLINK,HC2-UNDER seat Light Not lit"/>
    <x v="0"/>
    <x v="1"/>
    <m/>
    <x v="1"/>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r>
  <r>
    <d v="2021-12-06T00:00:00"/>
    <s v="TIR0167"/>
    <x v="3"/>
    <s v="Mail"/>
    <n v="619"/>
    <s v="IOS185:1 APC LV Status false, _x000a_IOS179:1 APC MV Status false"/>
    <x v="0"/>
    <x v="2"/>
    <s v="Check logs in the webScope for ACE2 shown the CVS locked due to reversible mode failure.Waiting for CVS software."/>
    <x v="1"/>
  </r>
  <r>
    <d v="2021-12-06T00:00:00"/>
    <s v="TIR1026"/>
    <x v="3"/>
    <s v="Mail"/>
    <s v="All"/>
    <s v="fake derailment alarm in case of coupling."/>
    <x v="1"/>
    <x v="4"/>
    <s v="CR TCMS to open "/>
    <x v="1"/>
  </r>
  <r>
    <d v="2021-12-06T00:00:00"/>
    <s v="TIR1027"/>
    <x v="0"/>
    <s v="PM2025"/>
    <n v="411"/>
    <s v="IP offline [ HC1{ Pei5, ]  HC2-SWD.3 NOK"/>
    <x v="1"/>
    <x v="5"/>
    <s v="Replaced a new PEI and updated software OK"/>
    <x v="1"/>
  </r>
  <r>
    <d v="2021-12-07T00:00:00"/>
    <s v="TIR0171"/>
    <x v="6"/>
    <s v="NA"/>
    <n v="403"/>
    <s v="LEDI6-V1 ,LEDI4-V2 error dispaly"/>
    <x v="0"/>
    <x v="0"/>
    <s v="12/9/2021:To investigat_x000a_1/2/2022:Updated LEDI software manually and OK"/>
    <x v="0"/>
  </r>
  <r>
    <d v="2021-12-07T00:00:00"/>
    <s v="TIR0172"/>
    <x v="6"/>
    <s v="NA"/>
    <n v="619"/>
    <s v="LEDI5-V2 dark, and offline"/>
    <x v="0"/>
    <x v="0"/>
    <s v="12/9/2021:To investigate_x000a_1/3/2022:Updated software manually and test OK"/>
    <x v="0"/>
  </r>
  <r>
    <d v="2021-12-07T00:00:00"/>
    <s v="TIR0170"/>
    <x v="3"/>
    <s v="Mail"/>
    <n v="411"/>
    <s v="coupler without electrical coupler cover"/>
    <x v="1"/>
    <x v="1"/>
    <s v="coupler without electrical coupler cover need to install"/>
    <x v="3"/>
  </r>
  <r>
    <d v="2021-12-07T00:00:00"/>
    <s v="TIR0173"/>
    <x v="6"/>
    <s v="NA"/>
    <n v="414"/>
    <s v="LEDI4-V1 dark and offline_x000a_SWD5-V1 dark and offline_x000a_LCD5-V1 error display and offline"/>
    <x v="1"/>
    <x v="0"/>
    <s v="12/9/2021:To investigate_x000a_1/26/2022:Updated software manually and test OK"/>
    <x v="1"/>
  </r>
  <r>
    <d v="2021-12-08T00:00:00"/>
    <s v="TIR0174"/>
    <x v="6"/>
    <s v="NA"/>
    <n v="423"/>
    <s v="LCD6-V1,SWD6-V1,LEDI6-V1 offline_x000a_SWD4-V2 offline and dark_x000a_SWD2-V2 half display"/>
    <x v="0"/>
    <x v="0"/>
    <s v="12/9/2021:To investigate_x000a_1/5/2022:Updated software manually and test OK"/>
    <x v="0"/>
  </r>
  <r>
    <d v="2021-12-08T00:00:00"/>
    <s v="TIR0177"/>
    <x v="0"/>
    <s v="PM2035"/>
    <n v="605"/>
    <s v="HC1-Traction box bottom  cover 1 screw threat issue and 1 screw  broken,_x000a_HC2-Palm 3 cover Nok."/>
    <x v="0"/>
    <x v="2"/>
    <s v="Found 3 screw damaged because not proper installed, make new retreat. Palm tree cover refit and done."/>
    <x v="0"/>
  </r>
  <r>
    <d v="2021-12-08T00:00:00"/>
    <s v="TIR0178"/>
    <x v="0"/>
    <s v="PM2035"/>
    <n v="605"/>
    <s v="Display Status [ SWD1-V1 NOK,LCD1/V2 ]"/>
    <x v="0"/>
    <x v="0"/>
    <s v="Updated software manually and test OK"/>
    <x v="0"/>
  </r>
  <r>
    <d v="2021-12-08T00:00:00"/>
    <s v="TIR0183"/>
    <x v="0"/>
    <s v="PM2036"/>
    <n v="606"/>
    <s v="  Display status [ HC2-LCD2-NOK]"/>
    <x v="0"/>
    <x v="0"/>
    <s v="Updated again software manually and test it online and display OK"/>
    <x v="0"/>
  </r>
  <r>
    <d v="2021-12-08T00:00:00"/>
    <s v="TIR0185"/>
    <x v="0"/>
    <s v="PM2037"/>
    <n v="621"/>
    <s v="DISPLAY -HC2-LCD.2 offline NOK"/>
    <x v="0"/>
    <x v="0"/>
    <s v="Updated again software manually and test it online and display OK"/>
    <x v="0"/>
  </r>
  <r>
    <d v="2021-12-08T00:00:00"/>
    <s v="TIR0187"/>
    <x v="0"/>
    <s v="PM2040"/>
    <n v="403"/>
    <s v="HC2 - Saloon lights Dim."/>
    <x v="0"/>
    <x v="1"/>
    <s v="After 110v To 24v coverter output setting now working fine. "/>
    <x v="0"/>
  </r>
  <r>
    <d v="2021-12-08T00:00:00"/>
    <s v="TIR0188"/>
    <x v="0"/>
    <s v="PM2040"/>
    <n v="403"/>
    <s v="IP offline [ HC1 {  Ledi6 } HC2 { Ledi4 } ]_x000a_Display Status [ HC1 {Ledi6(NOK) } ,HC2 {Ledi4-ERROR} ]"/>
    <x v="0"/>
    <x v="0"/>
    <s v="See TIR171"/>
    <x v="0"/>
  </r>
  <r>
    <d v="2021-12-08T00:00:00"/>
    <s v="TIR0189"/>
    <x v="0"/>
    <s v="PM2040"/>
    <n v="403"/>
    <s v="HC2 - flange lubricator screw tighten without saftey pin lock"/>
    <x v="0"/>
    <x v="3"/>
    <s v="21/12 : One Safety pin lock missing. Normalized by putting new one "/>
    <x v="0"/>
  </r>
  <r>
    <d v="2021-12-08T00:00:00"/>
    <s v="TIR0192"/>
    <x v="0"/>
    <s v="PM2041"/>
    <n v="407"/>
    <s v="IP offline: HC1-SWD3, PEI3 HC2- ACE _x000a_                                                           Display Status: SWD3-V1"/>
    <x v="0"/>
    <x v="0"/>
    <s v="Updated software manually and test OK"/>
    <x v="0"/>
  </r>
  <r>
    <d v="2021-12-08T00:00:00"/>
    <s v="TIR0193"/>
    <x v="0"/>
    <s v="PM2042"/>
    <n v="602"/>
    <s v="HC1-SWD3,LEDI3"/>
    <x v="0"/>
    <x v="0"/>
    <s v="Updated software manually and test OK"/>
    <x v="0"/>
  </r>
  <r>
    <d v="2021-12-08T00:00:00"/>
    <s v="TIR0194"/>
    <x v="0"/>
    <s v="PM2043"/>
    <n v="617"/>
    <s v="Display status: SWD6 -HC1 ,SWD2-HC2 "/>
    <x v="0"/>
    <x v="0"/>
    <s v="Checked swd6-v1 display ok and online, But SWD2-V2 half display, need to replace it_x000a_1/9/2022:Updated SWD software manually and test OK"/>
    <x v="0"/>
  </r>
  <r>
    <d v="2021-12-08T00:00:00"/>
    <s v="TIR0195"/>
    <x v="0"/>
    <s v="PM2044"/>
    <n v="624"/>
    <s v="Display status: SWD6 -HC1 ,SWD1-HC2 "/>
    <x v="0"/>
    <x v="0"/>
    <s v="Checked the SWD display OK and Online"/>
    <x v="0"/>
  </r>
  <r>
    <d v="2021-12-08T00:00:00"/>
    <s v="TIR0175"/>
    <x v="0"/>
    <s v="PM2033"/>
    <n v="415"/>
    <s v="Earthing cable is not connected between permanent coupler"/>
    <x v="1"/>
    <x v="1"/>
    <m/>
    <x v="3"/>
  </r>
  <r>
    <d v="2021-12-08T00:00:00"/>
    <s v="TIR0179"/>
    <x v="0"/>
    <s v="PM2035"/>
    <n v="605"/>
    <s v="HC2 Bogie1 LHS Fuse box glass minor cracked."/>
    <x v="1"/>
    <x v="2"/>
    <m/>
    <x v="0"/>
  </r>
  <r>
    <d v="2021-12-08T00:00:00"/>
    <s v="TIR0180"/>
    <x v="0"/>
    <s v="PM2035"/>
    <n v="605"/>
    <s v="Jumper MV cable's holding support Plate Not available"/>
    <x v="1"/>
    <x v="2"/>
    <m/>
    <x v="0"/>
  </r>
  <r>
    <d v="2021-12-08T00:00:00"/>
    <s v="TIR0181"/>
    <x v="0"/>
    <s v="PM2036"/>
    <n v="606"/>
    <s v="HC2-Saloon Light nok"/>
    <x v="1"/>
    <x v="1"/>
    <m/>
    <x v="0"/>
  </r>
  <r>
    <d v="2021-12-08T00:00:00"/>
    <s v="TIR0182"/>
    <x v="0"/>
    <s v="PM2036"/>
    <n v="606"/>
    <s v="Gangway light mounting nok,there is a gap"/>
    <x v="1"/>
    <x v="1"/>
    <m/>
    <x v="3"/>
  </r>
  <r>
    <d v="2021-12-08T00:00:00"/>
    <s v="TIR0184"/>
    <x v="0"/>
    <s v="PM2036"/>
    <n v="606"/>
    <s v="HC2 Wiper broken."/>
    <x v="1"/>
    <x v="1"/>
    <m/>
    <x v="3"/>
  </r>
  <r>
    <d v="2021-12-08T00:00:00"/>
    <s v="TIR0186"/>
    <x v="0"/>
    <s v="PM2038"/>
    <n v="507"/>
    <s v="HC2-Single Class Fire extingusher not available"/>
    <x v="1"/>
    <x v="1"/>
    <m/>
    <x v="0"/>
  </r>
  <r>
    <d v="2021-12-08T00:00:00"/>
    <s v="TIR0190"/>
    <x v="0"/>
    <s v="PM2040"/>
    <n v="403"/>
    <s v="HC1 AXEL 1,2,3 GEAR BOX OIL LEVEL LOW"/>
    <x v="1"/>
    <x v="3"/>
    <s v="21/12 : leakage found from the inspection cover (gearbox) Axle 2 HC1"/>
    <x v="3"/>
  </r>
  <r>
    <d v="2021-12-08T00:00:00"/>
    <s v="TIR0191"/>
    <x v="0"/>
    <s v="PM2041"/>
    <n v="407"/>
    <s v="HC1:Driver Cab Light not Lit ,Passenger Saloon Light nok(+RP1,RP3),        _x000a_                                                                                                                                                                  HC1&amp;2-Gangway Light Dim"/>
    <x v="1"/>
    <x v="1"/>
    <s v="we fixed other issue but Cab light need to be replaced the Converter 110v to 24v"/>
    <x v="0"/>
  </r>
  <r>
    <d v="2021-12-08T00:00:00"/>
    <s v="TIR0197"/>
    <x v="0"/>
    <s v="PM2043"/>
    <n v="617"/>
    <s v="HC1-CAB HEAD LIGHT LHS_WHITE one LED NOT LIT                      _x000a_                                                                                                                                                                                    HC1-PALM TREE LIGHT NOT LIT           "/>
    <x v="1"/>
    <x v="1"/>
    <m/>
    <x v="0"/>
  </r>
  <r>
    <d v="2021-12-08T00:00:00"/>
    <s v="TIR0198"/>
    <x v="0"/>
    <s v="PM2042"/>
    <n v="502"/>
    <s v="HC2 Axle 4 found minor leakage from the gearbox."/>
    <x v="1"/>
    <x v="3"/>
    <s v="4/1/2022 - NCR create for the drain plug O-ring."/>
    <x v="3"/>
  </r>
  <r>
    <d v="2021-12-08T00:00:00"/>
    <s v="TIR0199"/>
    <x v="0"/>
    <s v="PM2045"/>
    <n v="502"/>
    <s v="Sand hose not available in both HC."/>
    <x v="1"/>
    <x v="3"/>
    <s v="7/12 : NCR open. Waiting the availaibility of parts"/>
    <x v="3"/>
  </r>
  <r>
    <d v="2021-12-08T00:00:00"/>
    <s v="TIR1028"/>
    <x v="0"/>
    <s v="PM2034"/>
    <n v="604"/>
    <s v="HC1-Axle1&amp;2 Gear box oil level low"/>
    <x v="1"/>
    <x v="3"/>
    <s v="02/14 : checked and no leakage found. Need to normalize, level very low for the axle2 Hc1. need to check also for 606 axle 1,3,4 Hc1 and axle3 hc2 level low."/>
    <x v="4"/>
  </r>
  <r>
    <d v="2021-12-08T00:00:00"/>
    <s v="TIR1029"/>
    <x v="0"/>
    <s v="PM2044"/>
    <n v="624"/>
    <s v="HVAC -Venting error"/>
    <x v="2"/>
    <x v="1"/>
    <m/>
    <x v="1"/>
  </r>
  <r>
    <d v="2021-12-09T00:00:00"/>
    <s v="TIR0203"/>
    <x v="0"/>
    <s v="Mail"/>
    <n v="616"/>
    <s v="SWD5-V1 half display"/>
    <x v="0"/>
    <x v="0"/>
    <s v="Updated again software manually,and replaced a card inside SWD,  and OK"/>
    <x v="0"/>
  </r>
  <r>
    <d v="2021-12-09T00:00:00"/>
    <s v="TIR0205"/>
    <x v="0"/>
    <s v="PM2048"/>
    <n v="610"/>
    <s v="IP-lcd2.v2,lcd5.v2,led5.v2,swd2.v2 offline, _x000a_Display status-LCD1.V1,LCD4.V1,LCD5.V2,LCD3.V2(low light)"/>
    <x v="0"/>
    <x v="0"/>
    <s v="Updated the software and they online, display OK."/>
    <x v="0"/>
  </r>
  <r>
    <d v="2021-12-09T00:00:00"/>
    <s v="TIR0202"/>
    <x v="3"/>
    <s v="Mail"/>
    <n v="601"/>
    <s v="T601_HC2- missing of sand filter assembly"/>
    <x v="1"/>
    <x v="3"/>
    <s v="12/12 : Confirmed part is missing. Need to normalize. Waiting to confirm the availablity of components from faively."/>
    <x v="3"/>
  </r>
  <r>
    <d v="2021-12-09T00:00:00"/>
    <s v="TIR0204"/>
    <x v="0"/>
    <s v="PM2048"/>
    <n v="610"/>
    <s v="HC1 Headlight one white led not ok."/>
    <x v="1"/>
    <x v="1"/>
    <m/>
    <x v="3"/>
  </r>
  <r>
    <d v="2021-12-09T00:00:00"/>
    <s v="TIR0207"/>
    <x v="0"/>
    <s v="PM2052"/>
    <n v="512"/>
    <s v="HC2- Head Light Nok(LHS 1 white LED not lit)"/>
    <x v="1"/>
    <x v="1"/>
    <m/>
    <x v="3"/>
  </r>
  <r>
    <d v="2021-12-09T00:00:00"/>
    <s v="TIR0208"/>
    <x v="0"/>
    <s v="PM2053"/>
    <n v="513"/>
    <s v="TCN NOK -several devices are  communcation fail "/>
    <x v="3"/>
    <x v="3"/>
    <m/>
    <x v="0"/>
  </r>
  <r>
    <d v="2021-12-09T00:00:00"/>
    <s v="TIR0209"/>
    <x v="0"/>
    <s v="PM2050"/>
    <n v="618"/>
    <s v="Semi permanent coupler earthing bolt is missing,and Earth _x000a_strip is lose both sides."/>
    <x v="1"/>
    <x v="1"/>
    <m/>
    <x v="3"/>
  </r>
  <r>
    <d v="2021-12-09T00:00:00"/>
    <s v="TIR0210"/>
    <x v="0"/>
    <s v="PM2051"/>
    <n v="622"/>
    <s v="Semi permanent coupler earthing bolt is missing."/>
    <x v="1"/>
    <x v="1"/>
    <m/>
    <x v="3"/>
  </r>
  <r>
    <d v="2021-12-09T00:00:00"/>
    <s v="TIR0201"/>
    <x v="3"/>
    <s v="Mail"/>
    <n v="617"/>
    <s v="IOS148 : IES consistency failure"/>
    <x v="0"/>
    <x v="2"/>
    <s v="Checked train in workshop and no issues observed with IES and traction working normal."/>
    <x v="1"/>
  </r>
  <r>
    <d v="2021-12-09T00:00:00"/>
    <s v="TIR0206"/>
    <x v="0"/>
    <s v="PM2052"/>
    <n v="512"/>
    <s v="HC1-HVAC1 venting error Supply fan 1&amp;2 low and high"/>
    <x v="0"/>
    <x v="1"/>
    <s v="checked by Ahmed"/>
    <x v="1"/>
  </r>
  <r>
    <d v="2021-12-09T00:00:00"/>
    <s v="TIR0211"/>
    <x v="0"/>
    <s v="PM2049"/>
    <n v="612"/>
    <s v="Semi permanent coupler earthing bolt is missing."/>
    <x v="0"/>
    <x v="1"/>
    <m/>
    <x v="1"/>
  </r>
  <r>
    <d v="2021-12-12T00:00:00"/>
    <s v="TIR0217"/>
    <x v="0"/>
    <s v="PM2055"/>
    <n v="408"/>
    <s v="HC1- underframe cable no.W07324  ground not connected"/>
    <x v="0"/>
    <x v="3"/>
    <s v="23/12 : Bolt was missing. Normalize by putting new one with 2 washer. "/>
    <x v="0"/>
  </r>
  <r>
    <d v="2021-12-12T00:00:00"/>
    <s v="TIR0219"/>
    <x v="0"/>
    <s v="PM2056"/>
    <n v="409"/>
    <s v="IP offline - Swd2-v2 _x000a_Display status -Swd2-v2 ( NOK ) "/>
    <x v="0"/>
    <x v="0"/>
    <s v="Updated again software manually and test it online and display OK"/>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r>
  <r>
    <d v="2021-12-12T00:00:00"/>
    <s v="TIR0224"/>
    <x v="0"/>
    <s v="PM2058"/>
    <n v="614"/>
    <s v="IP offline [ HC2 -SWD5  ]_x000a_Display Status [ HC2 {SWD2 HALF }  { SWD5 NOK }"/>
    <x v="0"/>
    <x v="0"/>
    <s v="Replaced a new card inside SWD and updated software manually and OK"/>
    <x v="0"/>
  </r>
  <r>
    <d v="2021-12-12T00:00:00"/>
    <s v="TIR0214"/>
    <x v="0"/>
    <s v="PM2054"/>
    <n v="404"/>
    <s v="HC1 Bogie1- One HV cable gland missing from the underframe JB."/>
    <x v="1"/>
    <x v="2"/>
    <m/>
    <x v="3"/>
  </r>
  <r>
    <d v="2021-12-12T00:00:00"/>
    <s v="TIR0215"/>
    <x v="0"/>
    <s v="PM2054"/>
    <n v="404"/>
    <s v="HC1-GCL fire extinguisher holding plate not assembled_x000a_(so Fire extinguisher not available)"/>
    <x v="1"/>
    <x v="1"/>
    <m/>
    <x v="0"/>
  </r>
  <r>
    <d v="2021-12-12T00:00:00"/>
    <s v="TIR0216"/>
    <x v="0"/>
    <s v="PM2054"/>
    <n v="404"/>
    <s v="HC1-Saloon Light NOk.(Near door 4,black spot)"/>
    <x v="1"/>
    <x v="1"/>
    <m/>
    <x v="0"/>
  </r>
  <r>
    <d v="2021-12-12T00:00:00"/>
    <s v="TIR0218"/>
    <x v="0"/>
    <s v="PM2056"/>
    <n v="409"/>
    <s v="HC1-Gangway lights DIM   HC2- Some saloon lights not ok and some of them are dim."/>
    <x v="1"/>
    <x v="1"/>
    <s v="other issue we fixed but Hc2 saloon light need to be replaced the coverter 110v to 24v"/>
    <x v="0"/>
  </r>
  <r>
    <d v="2021-12-12T00:00:00"/>
    <s v="TIR0220"/>
    <x v="0"/>
    <s v="PM2057"/>
    <n v="611"/>
    <s v="HC2-LHS head light Nok(white one LED)"/>
    <x v="1"/>
    <x v="1"/>
    <m/>
    <x v="3"/>
  </r>
  <r>
    <d v="2021-12-12T00:00:00"/>
    <s v="TIR0221"/>
    <x v="0"/>
    <s v="PM2057"/>
    <n v="611"/>
    <s v="HC1- Near Door3 saloon light spot more brightness,Gangway Light Dim,    _x000a_ HC2-Passenger Saloon Light Not Lit(+RP3)"/>
    <x v="1"/>
    <x v="1"/>
    <s v="Gangway light now working fine but RP3 light converter need to replace "/>
    <x v="0"/>
  </r>
  <r>
    <d v="2021-12-12T00:00:00"/>
    <s v="TIR0223"/>
    <x v="0"/>
    <s v="PM2057"/>
    <n v="611"/>
    <s v="Hc2- gearbox #4oil level below minimum"/>
    <x v="3"/>
    <x v="3"/>
    <s v="13/12 : leakage found from the inspection cover (gearbox)"/>
    <x v="0"/>
  </r>
  <r>
    <d v="2021-12-13T00:00:00"/>
    <s v="TIR0228"/>
    <x v="0"/>
    <s v="PM2065"/>
    <n v="515"/>
    <s v="TCN-Fail  for Netbox,Netmm1.local,netmm2.local,netmm.virt.local-IP offline"/>
    <x v="0"/>
    <x v="3"/>
    <s v="28/12 : Breakers was OFF. All equipments are online after switch ON the breakers."/>
    <x v="0"/>
  </r>
  <r>
    <d v="2021-12-13T00:00:00"/>
    <s v="TIR0225"/>
    <x v="6"/>
    <s v="NA"/>
    <n v="608"/>
    <s v="LEDI4-V1 Dark issue_x000a_LCD2-V2 deem issue                                                                                                                                                                                                                                                                                                                                SWD3-V1 half display"/>
    <x v="1"/>
    <x v="0"/>
    <s v="updated software manually and test ok"/>
    <x v="0"/>
  </r>
  <r>
    <d v="2021-12-13T00:00:00"/>
    <s v="TIR0226"/>
    <x v="6"/>
    <s v="NA"/>
    <n v="626"/>
    <s v="LCD6-V2 dark issue"/>
    <x v="1"/>
    <x v="0"/>
    <s v="Updated LCD software manually and test OK"/>
    <x v="1"/>
  </r>
  <r>
    <d v="2021-12-13T00:00:00"/>
    <s v="TIR0227"/>
    <x v="0"/>
    <s v="PM2065"/>
    <n v="508"/>
    <s v="HC1 1 bolt ,HC2 2 bolt not available in Becon Antenna"/>
    <x v="1"/>
    <x v="3"/>
    <s v="27/12 : Bolt missing. DTR sent to check if we have in the warehouse."/>
    <x v="3"/>
  </r>
  <r>
    <d v="2021-12-13T00:00:00"/>
    <s v="TIR0229"/>
    <x v="0"/>
    <s v="PM2065"/>
    <n v="515"/>
    <s v="HC1-flange lubricator saftey pin missing"/>
    <x v="1"/>
    <x v="3"/>
    <s v="27/12 : 2 safety pin missing. spare not available. Waiting to order and normalize by putting the missing part"/>
    <x v="3"/>
  </r>
  <r>
    <d v="2021-12-13T00:00:00"/>
    <s v="TIR0230"/>
    <x v="4"/>
    <s v="NA"/>
    <n v="625"/>
    <s v="IOS275: Communication Loss of CRS 1 (HC1)"/>
    <x v="3"/>
    <x v="3"/>
    <s v="14/12 : hardware issue coming from DC/DC converter. Need to replace it."/>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r>
  <r>
    <d v="2021-12-14T00:00:00"/>
    <s v="TIR0233"/>
    <x v="0"/>
    <s v="PM2072"/>
    <n v="619"/>
    <s v="HC1(CVS BOX) GASKET DAMAGE"/>
    <x v="0"/>
    <x v="2"/>
    <m/>
    <x v="1"/>
  </r>
  <r>
    <d v="2021-12-14T00:00:00"/>
    <s v="TIR1031"/>
    <x v="0"/>
    <s v="PM2068"/>
    <n v="406"/>
    <s v="HC-02, celling panel near to gangway screw is not alligned"/>
    <x v="1"/>
    <x v="5"/>
    <m/>
    <x v="1"/>
  </r>
  <r>
    <d v="2021-12-15T00:00:00"/>
    <s v="TIR0235"/>
    <x v="6"/>
    <s v="NA"/>
    <n v="624"/>
    <s v="SWD4-V2 half display"/>
    <x v="0"/>
    <x v="0"/>
    <s v="Replaced a card and updated software manually OK"/>
    <x v="0"/>
  </r>
  <r>
    <d v="2021-12-15T00:00:00"/>
    <s v="TIR0239"/>
    <x v="0"/>
    <s v="PM2076"/>
    <n v="416"/>
    <s v="HC1-Paration door interglass fail to close (stuck)"/>
    <x v="0"/>
    <x v="1"/>
    <s v="after the door Adjustments door working fine"/>
    <x v="0"/>
  </r>
  <r>
    <d v="2021-12-15T00:00:00"/>
    <s v="TIR0240"/>
    <x v="0"/>
    <s v="PM2077"/>
    <n v="424"/>
    <s v="HC1-Palm Tree 2 Light-Dim"/>
    <x v="0"/>
    <x v="1"/>
    <s v="set the output of 110V TO 24V coverter now working fine"/>
    <x v="0"/>
  </r>
  <r>
    <d v="2021-12-15T00:00:00"/>
    <s v="TIR0241"/>
    <x v="0"/>
    <s v="PM2077"/>
    <n v="424"/>
    <s v="IP-ledi4.v1 offline"/>
    <x v="0"/>
    <x v="0"/>
    <s v="Updated software manually and test OK"/>
    <x v="0"/>
  </r>
  <r>
    <d v="2021-12-15T00:00:00"/>
    <s v="TIR0243"/>
    <x v="0"/>
    <s v="PM2077"/>
    <n v="424"/>
    <s v="HC2 : BOGIE NO 2  -WFL LOCKING SAFETY PIN IS MISSING"/>
    <x v="0"/>
    <x v="3"/>
    <s v="21/12 : Two saftey pin lock missing. Normalized by putting now one "/>
    <x v="0"/>
  </r>
  <r>
    <d v="2021-12-15T00:00:00"/>
    <s v="TIR0236"/>
    <x v="6"/>
    <s v="NA"/>
    <n v="612"/>
    <s v="LCD1_V1 ,LCD4-V1 ;LCD2-V2,LCD3-V2 deem issue_x000a_LCD5-V2 offline and dark issue"/>
    <x v="1"/>
    <x v="0"/>
    <s v="updated software manually and test ok"/>
    <x v="0"/>
  </r>
  <r>
    <d v="2021-12-15T00:00:00"/>
    <s v="TIR0244"/>
    <x v="0"/>
    <s v="PM2078"/>
    <n v="613"/>
    <s v="Display status: lcd4.v1(dim)"/>
    <x v="1"/>
    <x v="0"/>
    <s v="Updated LCD software manually and test OK"/>
    <x v="0"/>
  </r>
  <r>
    <d v="2021-12-15T00:00:00"/>
    <s v="TIR0242"/>
    <x v="0"/>
    <s v="PM2077"/>
    <n v="424"/>
    <s v="HC1: TRACTION BOX PANEL COVER( LINE CONTACTING COVER)_x000a_ LOCK IS NOT WORKING )"/>
    <x v="0"/>
    <x v="2"/>
    <m/>
    <x v="1"/>
  </r>
  <r>
    <d v="2021-12-15T00:00:00"/>
    <s v="TIR0245"/>
    <x v="0"/>
    <s v="PM2078"/>
    <n v="613"/>
    <s v="HC1: CVS filter tap screw missing( Tap damage)"/>
    <x v="0"/>
    <x v="2"/>
    <m/>
    <x v="1"/>
  </r>
  <r>
    <d v="2021-12-15T00:00:00"/>
    <s v="TIR0246"/>
    <x v="0"/>
    <s v="PM2080"/>
    <n v="626"/>
    <s v="HC-02, celling panel near to gangway screw is not alligned"/>
    <x v="0"/>
    <x v="1"/>
    <m/>
    <x v="1"/>
  </r>
  <r>
    <d v="2021-12-15T00:00:00"/>
    <s v="TIR1032"/>
    <x v="0"/>
    <s v="PM2075"/>
    <n v="414"/>
    <s v="HC2: WFL (Wheel flange Lubricator) SAFETY PIN IS MISSING( 2 NOS)"/>
    <x v="1"/>
    <x v="3"/>
    <m/>
    <x v="2"/>
  </r>
  <r>
    <d v="2021-12-15T00:00:00"/>
    <s v="TIR1033"/>
    <x v="0"/>
    <s v="PM2075"/>
    <n v="414"/>
    <s v="HC1-Inter glass door much noise when open."/>
    <x v="1"/>
    <x v="1"/>
    <s v="After Adjustment of door no more noise"/>
    <x v="0"/>
  </r>
  <r>
    <d v="2021-12-15T00:00:00"/>
    <s v="TIR1034"/>
    <x v="0"/>
    <s v="PM2082"/>
    <n v="519"/>
    <s v="HC2-B2-Axle3 found minor leakage  "/>
    <x v="1"/>
    <x v="3"/>
    <m/>
    <x v="3"/>
  </r>
  <r>
    <d v="2021-12-16T00:00:00"/>
    <s v="TIR0249"/>
    <x v="6"/>
    <s v="NA"/>
    <n v="609"/>
    <s v="LCD5-V1 white display issue"/>
    <x v="0"/>
    <x v="0"/>
    <s v="Updated software manually and test OK"/>
    <x v="0"/>
  </r>
  <r>
    <d v="2021-12-16T00:00:00"/>
    <s v="TIR0250"/>
    <x v="6"/>
    <s v="NA"/>
    <n v="602"/>
    <s v="SWD2-V1,LEDI3-V1,swd5-v2 dark and offline"/>
    <x v="0"/>
    <x v="0"/>
    <s v="Updated software manually and test OK"/>
    <x v="0"/>
  </r>
  <r>
    <d v="2021-12-16T00:00:00"/>
    <s v="TIR0248"/>
    <x v="6"/>
    <s v="NA"/>
    <n v="416"/>
    <s v="LCD6-V2 deem issue"/>
    <x v="1"/>
    <x v="0"/>
    <s v="Update software manually and test Ok"/>
    <x v="0"/>
  </r>
  <r>
    <d v="2021-12-16T00:00:00"/>
    <s v="TIR0251"/>
    <x v="0"/>
    <s v="PM2086"/>
    <n v="501"/>
    <s v="HC2-DOOR2 indication not lit"/>
    <x v="1"/>
    <x v="1"/>
    <m/>
    <x v="3"/>
  </r>
  <r>
    <d v="2021-12-16T00:00:00"/>
    <s v="TIR0253"/>
    <x v="0"/>
    <s v="PM2086"/>
    <n v="501"/>
    <s v="HC2-Sleep push button not working."/>
    <x v="1"/>
    <x v="3"/>
    <m/>
    <x v="0"/>
  </r>
  <r>
    <d v="2021-12-16T00:00:00"/>
    <s v="TIR0252"/>
    <x v="0"/>
    <s v="PM2086"/>
    <n v="501"/>
    <s v="HC2-Under seat Light not Lit in the  first class"/>
    <x v="0"/>
    <x v="1"/>
    <m/>
    <x v="1"/>
  </r>
  <r>
    <d v="2021-12-19T00:00:00"/>
    <s v="TIR0255"/>
    <x v="6"/>
    <s v="NA"/>
    <s v="413_x000a_615_x000a_612"/>
    <s v="IOS071"/>
    <x v="0"/>
    <x v="4"/>
    <s v="EAD not correctly use"/>
    <x v="0"/>
  </r>
  <r>
    <d v="2021-12-19T00:00:00"/>
    <s v="TIR0254"/>
    <x v="6"/>
    <s v="NA"/>
    <n v="610"/>
    <s v="IOS14 : 19 Oct 2021"/>
    <x v="0"/>
    <x v="4"/>
    <m/>
    <x v="1"/>
  </r>
  <r>
    <d v="2021-12-19T00:00:00"/>
    <s v="TIR0256"/>
    <x v="6"/>
    <s v="NA"/>
    <n v="403"/>
    <s v="IOS084 : sleeping relays discordance"/>
    <x v="0"/>
    <x v="3"/>
    <s v="SLV : ATC live signal issue"/>
    <x v="1"/>
  </r>
  <r>
    <d v="2021-12-20T00:00:00"/>
    <s v="TIR0259"/>
    <x v="4"/>
    <s v="NA"/>
    <n v="608"/>
    <s v="PM team IOS180 : 1 APC major failure"/>
    <x v="0"/>
    <x v="2"/>
    <s v="Found SI_XP-FAN3 connector disconnected as per picture below. _x000a_Normalized and tested. No more failure observed"/>
    <x v="0"/>
  </r>
  <r>
    <d v="2021-12-20T00:00:00"/>
    <s v="TIR0261"/>
    <x v="0"/>
    <s v="PM2095"/>
    <n v="412"/>
    <s v="HC2:SEALING PANEL ALLEN SCREW MISSING"/>
    <x v="0"/>
    <x v="1"/>
    <s v="fixed the scew no more issue "/>
    <x v="0"/>
  </r>
  <r>
    <d v="2021-12-20T00:00:00"/>
    <s v="TIR0262"/>
    <x v="0"/>
    <s v="PM2096"/>
    <n v="603"/>
    <s v="IP-LCD1.V1,LED1.V1,SWD1.V1 OFFLINE Dispaly status_LCD5.V1 white screen"/>
    <x v="0"/>
    <x v="0"/>
    <m/>
    <x v="1"/>
  </r>
  <r>
    <d v="2021-12-20T00:00:00"/>
    <s v="TIR0263"/>
    <x v="0"/>
    <s v="PM2096"/>
    <n v="603"/>
    <s v="HC1 SEALING PANEL NO 1  2ALLEN SCREWS ARE MISSING._x000a_HC2 SEALING PANEL NEAR TO GANGWAY ALLEN SCREW HEAD DAMAGE._x000a_HC2 PANEL 1  HAND RAIL SCREW MISSING AND 2ALLEN SCREW MISSING."/>
    <x v="0"/>
    <x v="1"/>
    <s v="all issue solved"/>
    <x v="0"/>
  </r>
  <r>
    <d v="2021-12-20T00:00:00"/>
    <s v="TIR0264"/>
    <x v="0"/>
    <s v="PM2096"/>
    <n v="608"/>
    <s v="HC1&amp;HC2 NEAR TO GANGWAY SEALING PANEL 2ALLEN SCREW MISSING_x000a_HC2 HAND RAIL NEAR TO DOOR NO3 SCREW WAS MISSING"/>
    <x v="0"/>
    <x v="1"/>
    <s v="Fixed the all issue "/>
    <x v="0"/>
  </r>
  <r>
    <d v="2021-12-20T00:00:00"/>
    <s v="TIR0265"/>
    <x v="0"/>
    <s v="PM2096"/>
    <n v="608"/>
    <s v="led6.v2-IP offline ;  Display status:  swd2.v2(half),swd3.v1(half)"/>
    <x v="1"/>
    <x v="0"/>
    <s v="SWD3-V1 half display issue, updated software manually and test ok"/>
    <x v="1"/>
  </r>
  <r>
    <d v="2021-12-20T00:00:00"/>
    <s v="TIR0268"/>
    <x v="0"/>
    <s v="PM2099"/>
    <n v="623"/>
    <s v="one of the bolt is wrong threaded on the converter side panel -didn’t open this panel as we don’t have tapping bit for the M6 bolt          "/>
    <x v="0"/>
    <x v="1"/>
    <s v="Replaced the new Srew and fixer"/>
    <x v="0"/>
  </r>
  <r>
    <d v="2021-12-20T00:00:00"/>
    <s v="TIR0269"/>
    <x v="0"/>
    <s v="PM2099"/>
    <n v="623"/>
    <s v="led light cover not installed (close to RP3 carB)."/>
    <x v="0"/>
    <x v="0"/>
    <s v="removed out the cover beside and Installed again the cover OK"/>
    <x v="0"/>
  </r>
  <r>
    <d v="2021-12-20T00:00:00"/>
    <s v="TIR0258"/>
    <x v="6"/>
    <s v="NA"/>
    <n v="412"/>
    <s v="LCD3-V2 dim issue"/>
    <x v="1"/>
    <x v="0"/>
    <s v="Updated LCD software manually and test OK"/>
    <x v="0"/>
  </r>
  <r>
    <d v="2021-12-20T00:00:00"/>
    <s v="TIR0260"/>
    <x v="0"/>
    <s v="PM2094"/>
    <n v="411"/>
    <s v="HC2-near door3 one seat not closing"/>
    <x v="1"/>
    <x v="1"/>
    <m/>
    <x v="0"/>
  </r>
  <r>
    <d v="2021-12-20T00:00:00"/>
    <s v="TIR1036"/>
    <x v="0"/>
    <s v="PM2098"/>
    <n v="609"/>
    <s v="HC2 PANEL NO1 ALLEN SCREW MISSING._x000a_HC2 NEAR DOOR2 SEALING PANEL ALLEN SCREW MISSING._x000a_HC1&amp;HC2NEAR TO GANGWAY PANEL ALLEN SCREWS ARE MISSING."/>
    <x v="1"/>
    <x v="1"/>
    <m/>
    <x v="3"/>
  </r>
  <r>
    <d v="2021-12-20T00:00:00"/>
    <s v="TIR1037"/>
    <x v="0"/>
    <s v="PM2098"/>
    <n v="609"/>
    <s v="Gangway 2 Locks are missing."/>
    <x v="1"/>
    <x v="1"/>
    <m/>
    <x v="3"/>
  </r>
  <r>
    <d v="2021-12-21T00:00:00"/>
    <s v="TIR0270"/>
    <x v="6"/>
    <m/>
    <n v="618"/>
    <s v="LCD1-V1 offline and error display;SWD3-V1 offline"/>
    <x v="0"/>
    <x v="0"/>
    <s v="Updated software manually and test OK"/>
    <x v="0"/>
  </r>
  <r>
    <d v="2021-12-21T00:00:00"/>
    <s v="TIR0273"/>
    <x v="0"/>
    <s v="PM2104"/>
    <n v="605"/>
    <s v="HC2 NEAR GANGWAY PANEL1-1ALLEN SREW 1DAMAGE._x000a_HC1 NEAR GANGWAY PANEL1-1ALLEN SREW 1DAMAGE._x000a_HC2 ROOF PANEL1-1ALLEN SCREW MISSING._x000a_HC2 HANDRAIL SCREW ONE DAMAGE."/>
    <x v="0"/>
    <x v="1"/>
    <s v="all issue solved"/>
    <x v="0"/>
  </r>
  <r>
    <d v="2021-12-21T00:00:00"/>
    <s v="TIR0275"/>
    <x v="0"/>
    <s v="PM2105"/>
    <n v="606"/>
    <s v="Display Status: lcd1.v2(err),swd1.v1(err)"/>
    <x v="0"/>
    <x v="0"/>
    <s v="Updated software manually and test OK"/>
    <x v="0"/>
  </r>
  <r>
    <d v="2021-12-21T00:00:00"/>
    <s v="TIR1038"/>
    <x v="0"/>
    <s v="PM2102"/>
    <n v="415"/>
    <s v="HC1 ROOF PANEL1 ALLEN SREW 1MISSING AND 1DAMAGE_x000a_HC2 ROOF PANEL1 ALLEN SREW1DAMAGE."/>
    <x v="1"/>
    <x v="1"/>
    <s v="Need to fixed nut missing not in stock 02-01-2022"/>
    <x v="3"/>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r>
  <r>
    <d v="2021-12-21T00:00:00"/>
    <s v="TIR1040"/>
    <x v="0"/>
    <s v="PM2104"/>
    <n v="605"/>
    <s v="hc2 sanding reservoir for re-filling (empty)"/>
    <x v="1"/>
    <x v="3"/>
    <s v="16/02 : level HC1 very low and HC2 also need to normalize"/>
    <x v="4"/>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r>
  <r>
    <d v="2021-12-22T00:00:00"/>
    <s v="TIR0279"/>
    <x v="0"/>
    <s v="PM2109"/>
    <n v="403"/>
    <s v="HC1 PANEL 1- 1 ALLEN SCREW MISSING"/>
    <x v="0"/>
    <x v="1"/>
    <s v="fixed the issue "/>
    <x v="0"/>
  </r>
  <r>
    <d v="2021-12-22T00:00:00"/>
    <s v="TIR0281"/>
    <x v="0"/>
    <s v="PM2110"/>
    <n v="407"/>
    <s v="HVAC1.V2_loss of communication ;IOS250 : One HVAC have a communication fault"/>
    <x v="0"/>
    <x v="2"/>
    <s v="Checked  by MPU logs and also by train tracer. No issues were observed. "/>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r>
  <r>
    <d v="2021-12-22T00:00:00"/>
    <s v="TIR0283"/>
    <x v="0"/>
    <s v="PM2110"/>
    <n v="407"/>
    <s v="HC2 PANEL 1 - 1 ALLEN SCREW MISSING_x000a_HC1 PANEL NEAR TO GANGWAY - 1 ALLEN SCREW MISSING"/>
    <x v="0"/>
    <x v="1"/>
    <s v="fixed the screw"/>
    <x v="0"/>
  </r>
  <r>
    <d v="2021-12-22T00:00:00"/>
    <s v="TIR0284"/>
    <x v="0"/>
    <s v="PM2112"/>
    <n v="617"/>
    <s v="HC1 PANEL 1 - 1 ALLEN SCREW MISSING"/>
    <x v="0"/>
    <x v="1"/>
    <s v="issue solved"/>
    <x v="0"/>
  </r>
  <r>
    <d v="2021-12-22T00:00:00"/>
    <s v="TIR0285"/>
    <x v="0"/>
    <s v="PM2112"/>
    <n v="617"/>
    <s v="HVAC1.V2(NOT successful in MonA TEST PROTCOL)"/>
    <x v="0"/>
    <x v="0"/>
    <s v="Updated software and test HVAC 4 compressors working ok"/>
    <x v="0"/>
  </r>
  <r>
    <d v="2021-12-22T00:00:00"/>
    <s v="TIR0286"/>
    <x v="0"/>
    <s v="PM2114"/>
    <n v="503"/>
    <s v="IOS243 : One TRS Or NETBOX have a communication fault"/>
    <x v="0"/>
    <x v="2"/>
    <s v="Found CB72Q04 were off."/>
    <x v="0"/>
  </r>
  <r>
    <d v="2021-12-22T00:00:00"/>
    <s v="TIR0280"/>
    <x v="0"/>
    <s v="PM2110"/>
    <n v="407"/>
    <s v="hc2 gb#1 leakage"/>
    <x v="1"/>
    <x v="2"/>
    <m/>
    <x v="3"/>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r>
  <r>
    <d v="2021-12-22T00:00:00"/>
    <s v="TIR1043"/>
    <x v="0"/>
    <s v="PM2109"/>
    <n v="403"/>
    <s v="IOS1 : One compressor out of service indication"/>
    <x v="2"/>
    <x v="2"/>
    <m/>
    <x v="1"/>
  </r>
  <r>
    <d v="2021-12-23T00:00:00"/>
    <s v="TIR0288"/>
    <x v="0"/>
    <s v="NA"/>
    <n v="410"/>
    <s v="LCD2-V2 dim issue"/>
    <x v="1"/>
    <x v="0"/>
    <s v="Updated LCD software manually and test OK"/>
    <x v="0"/>
  </r>
  <r>
    <d v="2021-12-23T00:00:00"/>
    <s v="TIR0289"/>
    <x v="3"/>
    <s v="Mail"/>
    <n v="624"/>
    <s v="door open immediately in UTO.Door#2, hc2 DCU ios 18."/>
    <x v="0"/>
    <x v="1"/>
    <s v="in mpu logs on 23-Dec EED was failure after rest no more issue ."/>
    <x v="1"/>
  </r>
  <r>
    <d v="2021-12-26T00:00:00"/>
    <s v="TIR0292"/>
    <x v="0"/>
    <s v="PM2118"/>
    <n v="612"/>
    <s v="HC1 Panel 1 allenkey screw missing"/>
    <x v="0"/>
    <x v="1"/>
    <s v="used new Screw"/>
    <x v="0"/>
  </r>
  <r>
    <d v="2021-12-26T00:00:00"/>
    <s v="TIR0293"/>
    <x v="0"/>
    <s v="PM2119"/>
    <n v="618"/>
    <s v="Swd3-V1 NOK , Lcd1.V1 Error"/>
    <x v="0"/>
    <x v="0"/>
    <s v="Updated software manually and test OK"/>
    <x v="0"/>
  </r>
  <r>
    <d v="2021-12-26T00:00:00"/>
    <s v="TIR0294"/>
    <x v="0"/>
    <s v="PM2120"/>
    <n v="618"/>
    <s v="HC2 Panel near to door 3 one allenkey screw missing"/>
    <x v="0"/>
    <x v="1"/>
    <s v="fixed the screw"/>
    <x v="0"/>
  </r>
  <r>
    <d v="2021-12-26T00:00:00"/>
    <s v="TIR0295"/>
    <x v="0"/>
    <s v="PM2121"/>
    <n v="622"/>
    <s v="HC2 Panel near to door 3 one allenkey screw missing"/>
    <x v="0"/>
    <x v="1"/>
    <s v="fixed the screw"/>
    <x v="0"/>
  </r>
  <r>
    <d v="2021-12-26T00:00:00"/>
    <s v="TIR0298"/>
    <x v="0"/>
    <s v="PM2124"/>
    <n v="518"/>
    <s v="Inter Glass door not  closed completely."/>
    <x v="0"/>
    <x v="2"/>
    <s v="The door leaf were not aligned, after make adjustment and test no more issue."/>
    <x v="0"/>
  </r>
  <r>
    <d v="2021-12-26T00:00:00"/>
    <s v="TIR1044"/>
    <x v="0"/>
    <s v="PM2116"/>
    <n v="402"/>
    <s v="HC1 Panel 1 allenkey screw missing"/>
    <x v="1"/>
    <x v="1"/>
    <s v="need to replace the 3 nut(out of stock 05-Jan-2022)"/>
    <x v="3"/>
  </r>
  <r>
    <d v="2021-12-26T00:00:00"/>
    <s v="TIR1045"/>
    <x v="0"/>
    <s v="PM2117"/>
    <n v="610"/>
    <s v="HVAC2-V2 Exaust air fan low and high faulty."/>
    <x v="1"/>
    <x v="1"/>
    <m/>
    <x v="2"/>
  </r>
  <r>
    <d v="2021-12-26T00:00:00"/>
    <s v="TIR1046"/>
    <x v="0"/>
    <s v="PM2122"/>
    <n v="517"/>
    <s v="HC2-B2 -Axle4 minor leakge from top door of  gearbox.(GASKET )-s.no C484"/>
    <x v="1"/>
    <x v="3"/>
    <m/>
    <x v="2"/>
  </r>
  <r>
    <d v="2021-12-26T00:00:00"/>
    <s v="TIR1047"/>
    <x v="0"/>
    <s v="PM2123"/>
    <n v="518"/>
    <s v="HC2-LCD3 not available"/>
    <x v="1"/>
    <x v="0"/>
    <m/>
    <x v="2"/>
  </r>
  <r>
    <d v="2021-12-28T00:00:00"/>
    <s v="TIR0299"/>
    <x v="0"/>
    <s v="PM2087"/>
    <n v="410"/>
    <s v="lcd2.v2 not clear display"/>
    <x v="0"/>
    <x v="0"/>
    <s v="Checked in NCR428"/>
    <x v="0"/>
  </r>
  <r>
    <d v="2021-12-28T00:00:00"/>
    <s v="TIR0302"/>
    <x v="0"/>
    <s v="PM2088"/>
    <n v="418"/>
    <s v="HC2 ROOF PANEL 1-2ALLEN SCREWS ARE MISSING._x000a_HC1 ROOF PANEL 1-2ALLEN SCREWS ARE MISSING."/>
    <x v="0"/>
    <x v="1"/>
    <s v="  new Screw putted"/>
    <x v="0"/>
  </r>
  <r>
    <d v="2021-12-28T00:00:00"/>
    <s v="TIR0303"/>
    <x v="0"/>
    <s v="PM2090"/>
    <n v="422"/>
    <s v="HC2 PANEL 1 - 1ALLEN SCREW MISSING, 1 DAMAGE_x000a_HC1 PANEL NEAR TO GANGWAY - 1 ALLEN SCREW MISSING"/>
    <x v="0"/>
    <x v="1"/>
    <s v="used the new screw "/>
    <x v="0"/>
  </r>
  <r>
    <d v="2021-12-28T00:00:00"/>
    <s v="TIR0308"/>
    <x v="0"/>
    <s v="PM2140"/>
    <n v="616"/>
    <s v="HC1 PANEL 1 -1 ALLEN SCREW MISSING_x000a_HC2 PANEL 1 -1ALLEN SCREW MISSING_x000a_HC2 HAND RAIL SCREW 1 MISSING"/>
    <x v="0"/>
    <x v="1"/>
    <s v="used new Screw"/>
    <x v="0"/>
  </r>
  <r>
    <d v="2021-12-28T00:00:00"/>
    <s v="TIR0309"/>
    <x v="0"/>
    <s v="PM2140"/>
    <n v="616"/>
    <s v="IP- lcd3-v1 offline ,Display status-Not WORKING_x000a_LCD3 HC1"/>
    <x v="0"/>
    <x v="0"/>
    <s v="Update LCD sofware manually and test ok"/>
    <x v="0"/>
  </r>
  <r>
    <d v="2021-12-28T00:00:00"/>
    <s v="TIR0314"/>
    <x v="0"/>
    <s v="PM2132"/>
    <n v="601"/>
    <s v="HC1_ battery switch not working."/>
    <x v="0"/>
    <x v="2"/>
    <s v="Checked the switch were working properly but no battery voltage available due to 52Q14 in LVB were switch off."/>
    <x v="0"/>
  </r>
  <r>
    <d v="2021-12-28T00:00:00"/>
    <s v="TIR0316"/>
    <x v="0"/>
    <s v="PM2134"/>
    <n v="615"/>
    <s v="lcd1 v1 showing not available-OFFLINE and Blank display"/>
    <x v="0"/>
    <x v="0"/>
    <s v="Update software manually and test Ok"/>
    <x v="0"/>
  </r>
  <r>
    <d v="2021-12-28T00:00:00"/>
    <s v="TIR0321"/>
    <x v="0"/>
    <s v="PM2126"/>
    <n v="611"/>
    <s v="HVAC AND UMC IN RED COLOR AUTOTEST"/>
    <x v="0"/>
    <x v="0"/>
    <s v="Found HVAC1-V2 offline and recovered it and  HVAC autotest OK"/>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r>
  <r>
    <d v="2021-12-28T00:00:00"/>
    <s v="TIR0323"/>
    <x v="0"/>
    <s v="PM2126"/>
    <n v="611"/>
    <s v="HC2 PANEL NEAR TO DOOR 3 - 1 ALLEN SCREW IS DAMAGE"/>
    <x v="0"/>
    <x v="1"/>
    <s v="repaired the screw"/>
    <x v="0"/>
  </r>
  <r>
    <d v="2021-12-28T00:00:00"/>
    <s v="TIR0327"/>
    <x v="0"/>
    <s v="PM2129"/>
    <n v="507"/>
    <s v="IOS243 : One TRS Or NETBOX have a communication fault,netmm2.local IP offline"/>
    <x v="0"/>
    <x v="2"/>
    <s v="Checked and found power connector were wrongly connected."/>
    <x v="0"/>
  </r>
  <r>
    <d v="2021-12-28T00:00:00"/>
    <s v="TIR0302"/>
    <x v="0"/>
    <s v="PM2090"/>
    <n v="620"/>
    <s v="ONE INTERNAL GANG COVER MISSING"/>
    <x v="1"/>
    <x v="1"/>
    <m/>
    <x v="3"/>
  </r>
  <r>
    <d v="2021-12-28T00:00:00"/>
    <s v="TIR0307"/>
    <x v="0"/>
    <s v="PM2139"/>
    <n v="613"/>
    <s v="Display Status: Not WORKING_x000a_LCD 4 HC1"/>
    <x v="1"/>
    <x v="0"/>
    <s v="Updated LCD software manually and test OK"/>
    <x v="1"/>
  </r>
  <r>
    <d v="2021-12-28T00:00:00"/>
    <s v="TIR0313"/>
    <x v="0"/>
    <s v="PM2132"/>
    <n v="601"/>
    <s v="gangways panels are not able to closed"/>
    <x v="1"/>
    <x v="1"/>
    <s v="Need to replace the side panel drum"/>
    <x v="3"/>
  </r>
  <r>
    <d v="2021-12-28T00:00:00"/>
    <s v="TIR0315"/>
    <x v="0"/>
    <s v="PM2133"/>
    <n v="607"/>
    <s v="HC1 GEAR BOX 2 OIL LEVEL IS BELOW MIN"/>
    <x v="3"/>
    <x v="3"/>
    <m/>
    <x v="0"/>
  </r>
  <r>
    <d v="2021-12-28T00:00:00"/>
    <s v="TIR0325"/>
    <x v="0"/>
    <s v="PM2128"/>
    <n v="504"/>
    <s v="Gangway Panel has  scractch &amp;Lock missing"/>
    <x v="1"/>
    <x v="3"/>
    <s v="Gangway cover need to paint and change the lock according to new retofit process."/>
    <x v="3"/>
  </r>
  <r>
    <d v="2021-12-28T00:00:00"/>
    <s v="TIR0326"/>
    <x v="0"/>
    <s v="PM2129"/>
    <n v="507"/>
    <s v="CCD to JB_ HV  cable support clamp missing,HC1_bogie2 Left,HC2-Bogie1,2-Right "/>
    <x v="1"/>
    <x v="3"/>
    <m/>
    <x v="3"/>
  </r>
  <r>
    <d v="2021-12-28T00:00:00"/>
    <s v="TIR0300"/>
    <x v="0"/>
    <s v="PM2088"/>
    <n v="418"/>
    <s v="hc1 ace box 1 lock defective"/>
    <x v="0"/>
    <x v="1"/>
    <s v="all locks are good"/>
    <x v="1"/>
  </r>
  <r>
    <d v="2021-12-28T00:00:00"/>
    <s v="TIR1048"/>
    <x v="0"/>
    <s v="PM2088"/>
    <n v="418"/>
    <s v="lcd1.v1,equipement not responding with IP scanner"/>
    <x v="1"/>
    <x v="0"/>
    <s v="Update software manually and test Ok"/>
    <x v="0"/>
  </r>
  <r>
    <d v="2021-12-28T00:00:00"/>
    <s v="TIR1049"/>
    <x v="0"/>
    <s v="PM2132"/>
    <n v="601"/>
    <s v="Hc2- gearbox #2 oil level below minimum"/>
    <x v="1"/>
    <x v="3"/>
    <m/>
    <x v="4"/>
  </r>
  <r>
    <d v="2021-12-28T00:00:00"/>
    <s v="TIR1050"/>
    <x v="0"/>
    <s v="PM2137"/>
    <n v="406"/>
    <s v="IP-OFFLINE- ledi4-v2   Display Status: not working SWD-2&amp;6 HC1_x000a_LED 4 HC2"/>
    <x v="1"/>
    <x v="5"/>
    <m/>
    <x v="1"/>
  </r>
  <r>
    <d v="2021-12-28T00:00:00"/>
    <s v="TIR1051"/>
    <x v="0"/>
    <s v="PM2141"/>
    <n v="505"/>
    <s v="HC1-HVAC1_compressor2 Loud noise"/>
    <x v="1"/>
    <x v="1"/>
    <m/>
    <x v="2"/>
  </r>
  <r>
    <d v="2021-12-28T00:00:00"/>
    <s v="TIR1052"/>
    <x v="0"/>
    <s v="PM2141"/>
    <n v="505"/>
    <s v="HC1-swd.4-Half broken ,Ledi4-blank"/>
    <x v="1"/>
    <x v="0"/>
    <m/>
    <x v="2"/>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r>
  <r>
    <d v="2021-12-28T00:00:00"/>
    <s v="TIR1054"/>
    <x v="0"/>
    <s v="PM2134"/>
    <n v="615"/>
    <s v="hvac2 car1 heater 1 not released"/>
    <x v="1"/>
    <x v="1"/>
    <m/>
    <x v="1"/>
  </r>
  <r>
    <d v="2021-12-28T00:00:00"/>
    <s v="TIR1055"/>
    <x v="0"/>
    <s v="PM2135"/>
    <n v="508"/>
    <s v="Hc2-Hvac2 Low pressure in Line2"/>
    <x v="2"/>
    <x v="2"/>
    <m/>
    <x v="0"/>
  </r>
  <r>
    <d v="2021-12-28T00:00:00"/>
    <s v="TIR1056"/>
    <x v="0"/>
    <s v="PM2123"/>
    <n v="404"/>
    <s v="hc1 gearbox 1&amp;2 oil level below minimum"/>
    <x v="1"/>
    <x v="2"/>
    <s v="Checked and no leakage were found and only need to topup the gearbox oil."/>
    <x v="0"/>
  </r>
  <r>
    <d v="2021-12-28T00:00:00"/>
    <s v="TIR1057"/>
    <x v="0"/>
    <s v="PM2124"/>
    <n v="408"/>
    <s v="LED5 CAR1 ON PLAM TREE NOT OK BUT IP STATUS OK"/>
    <x v="1"/>
    <x v="0"/>
    <s v="Updated software manuall and test OK"/>
    <x v="0"/>
  </r>
  <r>
    <d v="2021-12-28T00:00:00"/>
    <s v="TIR1058"/>
    <x v="0"/>
    <s v="PM2127"/>
    <n v="614"/>
    <s v="Display Status [ HC2 {SWD2-blank }  { SWD5- No image }"/>
    <x v="1"/>
    <x v="0"/>
    <s v="Update software manually and test Ok"/>
    <x v="0"/>
  </r>
  <r>
    <d v="2021-12-29T00:00:00"/>
    <s v="TIR0329"/>
    <x v="0"/>
    <s v="PM2147"/>
    <n v="619"/>
    <s v="swd4-v2 not ok, ledi5-v2 not ok"/>
    <x v="0"/>
    <x v="0"/>
    <s v="update software manually and test OK"/>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r>
  <r>
    <d v="2021-12-29T00:00:00"/>
    <s v="TIR0335"/>
    <x v="0"/>
    <s v="PM2156"/>
    <n v="501"/>
    <s v="TCN-BRIO4/HC2 RED,Brio4/v2 IP offline;IOS244 : Communication Loss with one other BRIO"/>
    <x v="0"/>
    <x v="2"/>
    <s v="Checked and observed Etheret cable were not connected, after reconnect check by IP scanner and all online."/>
    <x v="0"/>
  </r>
  <r>
    <d v="2021-12-29T00:00:00"/>
    <s v="TIR0339"/>
    <x v="0"/>
    <s v="PM2154"/>
    <n v="623"/>
    <s v="led6 car2 not ok -IP offline and led6 car2 on condition. its showing no signal."/>
    <x v="0"/>
    <x v="0"/>
    <s v="Update the software manually and test OK"/>
    <x v="0"/>
  </r>
  <r>
    <d v="2021-12-29T00:00:00"/>
    <s v="TIR0336"/>
    <x v="0"/>
    <s v="PM2156"/>
    <n v="501"/>
    <s v="HC2- Bogie1 left side derailment sensor cable clamp missing"/>
    <x v="2"/>
    <x v="2"/>
    <m/>
    <x v="3"/>
  </r>
  <r>
    <d v="2021-12-29T00:00:00"/>
    <s v="TIR0341"/>
    <x v="0"/>
    <s v="PM2155"/>
    <n v="625"/>
    <s v="swd3 car1 blank not powered up and ip scanner shown ok"/>
    <x v="1"/>
    <x v="0"/>
    <s v="Updated software manually and test OK"/>
    <x v="0"/>
  </r>
  <r>
    <d v="2021-12-29T00:00:00"/>
    <s v="TIR0331"/>
    <x v="0"/>
    <s v="PM2150"/>
    <n v="519"/>
    <s v="HC2-Using Battery2 can not wakeup the train from both HC"/>
    <x v="1"/>
    <x v="3"/>
    <m/>
    <x v="1"/>
  </r>
  <r>
    <d v="2021-12-29T00:00:00"/>
    <s v="TIR0340"/>
    <x v="0"/>
    <s v="PM2154"/>
    <n v="623"/>
    <s v="hvac1 car1 heater1 not released"/>
    <x v="0"/>
    <x v="1"/>
    <m/>
    <x v="1"/>
  </r>
  <r>
    <d v="2021-12-29T00:00:00"/>
    <s v="TIR1059"/>
    <x v="0"/>
    <s v="PM2144"/>
    <n v="414"/>
    <s v="Semi Permanent coupler grounding bolt missing"/>
    <x v="1"/>
    <x v="1"/>
    <m/>
    <x v="0"/>
  </r>
  <r>
    <d v="2021-12-29T00:00:00"/>
    <s v="TIR1060"/>
    <x v="0"/>
    <s v="PM2147"/>
    <n v="619"/>
    <s v="HVAC1 CAR2 TEST PROTOCOL SHOWING default :  DF1005_EXFL,DF1006_EmExF"/>
    <x v="2"/>
    <x v="1"/>
    <m/>
    <x v="1"/>
  </r>
  <r>
    <d v="2021-12-29T00:00:00"/>
    <s v="TIR1061"/>
    <x v="0"/>
    <s v="PM2144"/>
    <n v="414"/>
    <s v="Swd4-V1 Dark, Lcd5-V1 offline"/>
    <x v="1"/>
    <x v="0"/>
    <s v="Updated software manually and test OK"/>
    <x v="0"/>
  </r>
  <r>
    <d v="2021-12-29T00:00:00"/>
    <s v="TIR1062"/>
    <x v="0"/>
    <s v="PM2147"/>
    <n v="619"/>
    <s v="HC2-CCC rubber missing."/>
    <x v="1"/>
    <x v="1"/>
    <m/>
    <x v="2"/>
  </r>
  <r>
    <d v="2021-12-29T00:00:00"/>
    <s v="TIR1063"/>
    <x v="0"/>
    <s v="PM2152"/>
    <n v="419"/>
    <s v="IOS21 : Minor fault on 1 brake unit"/>
    <x v="1"/>
    <x v="3"/>
    <s v="20/01/2022: Test in the mainline , No issue found"/>
    <x v="1"/>
  </r>
  <r>
    <d v="2021-12-29T00:00:00"/>
    <s v="TIR1064"/>
    <x v="0"/>
    <s v="PM2153"/>
    <n v="423"/>
    <s v="car2 swd2 one display blank no image"/>
    <x v="1"/>
    <x v="0"/>
    <s v="Updated SWD2-V2 and test ok"/>
    <x v="0"/>
  </r>
  <r>
    <d v="2021-12-30T00:00:00"/>
    <s v="TIR0343"/>
    <x v="0"/>
    <s v="PM2158"/>
    <n v="410"/>
    <s v="gangway internal cover is missing"/>
    <x v="1"/>
    <x v="1"/>
    <m/>
    <x v="3"/>
  </r>
  <r>
    <d v="2021-12-30T00:00:00"/>
    <s v="TIR1066"/>
    <x v="0"/>
    <s v="PM2160"/>
    <n v="421"/>
    <s v="CAR2 HVAC1,HVAC2,DF 1005_EXFL,DF 1006_EMEXF,_x000a_EXHAUST AIR FAN LOW,_x000a_EXHAUST AIR FAN HIGH."/>
    <x v="1"/>
    <x v="1"/>
    <m/>
    <x v="2"/>
  </r>
  <r>
    <d v="2021-12-30T00:00:00"/>
    <s v="TIR1067"/>
    <x v="0"/>
    <s v="PM2161"/>
    <n v="422"/>
    <s v="led1 car2 physically off condition and ip also off"/>
    <x v="1"/>
    <x v="0"/>
    <s v="1/13/2022:To update LED software manually _x000a_2/23/2022:Updated software manually and test ok"/>
    <x v="0"/>
  </r>
  <r>
    <d v="2021-12-30T00:00:00"/>
    <s v="TIR1068"/>
    <x v="0"/>
    <s v="PM2163"/>
    <n v="511"/>
    <s v="Gangway 2 Lock Nok"/>
    <x v="1"/>
    <x v="3"/>
    <m/>
    <x v="3"/>
  </r>
  <r>
    <d v="2022-01-02T00:00:00"/>
    <s v="TIR0350"/>
    <x v="0"/>
    <s v="PM2165"/>
    <n v="412"/>
    <s v="Pei1 car2(physically activated)-IP offline,IOS_195,196,202,203"/>
    <x v="0"/>
    <x v="0"/>
    <s v="Found PEI1-V2 component failure and replaced a new PEI and test no more ios report"/>
    <x v="0"/>
  </r>
  <r>
    <d v="2022-01-02T00:00:00"/>
    <s v="TIR0349"/>
    <x v="0"/>
    <s v="PM2165"/>
    <n v="412"/>
    <s v="GANGWAY INTERNAL PANELS ARE MISSING"/>
    <x v="1"/>
    <x v="1"/>
    <m/>
    <x v="3"/>
  </r>
  <r>
    <d v="2022-01-02T00:00:00"/>
    <s v="TIR1065"/>
    <x v="4"/>
    <s v="NA"/>
    <n v="412"/>
    <s v="more then 10kph speed on WM/DM"/>
    <x v="3"/>
    <x v="1"/>
    <s v="Update the MPU software"/>
    <x v="0"/>
  </r>
  <r>
    <d v="2022-01-02T00:00:00"/>
    <s v="TIR1069"/>
    <x v="0"/>
    <s v="PM2169"/>
    <n v="516"/>
    <s v="Gangway Panel Lock 3 no.s Nok"/>
    <x v="1"/>
    <x v="3"/>
    <m/>
    <x v="3"/>
  </r>
  <r>
    <d v="2022-01-02T00:00:00"/>
    <s v="TIR1070"/>
    <x v="0"/>
    <s v="PM2164"/>
    <n v="411"/>
    <s v="HC1-Bogie2 Oil level AXLE 1 LOW, AXLE 2 VERY LOW"/>
    <x v="1"/>
    <x v="3"/>
    <s v="31/01 : checked and level is not too low. Maybe it was normalize between."/>
    <x v="4"/>
  </r>
  <r>
    <d v="2022-01-02T00:00:00"/>
    <s v="TIR1071"/>
    <x v="0"/>
    <s v="PM2166"/>
    <n v="603"/>
    <s v="hc2 bogie1 left CC corner was damaged"/>
    <x v="2"/>
    <x v="1"/>
    <m/>
    <x v="0"/>
  </r>
  <r>
    <d v="2022-01-02T00:00:00"/>
    <s v="TIR1072"/>
    <x v="0"/>
    <s v="PM2166"/>
    <n v="603"/>
    <s v="hc2 left sanding hose missing"/>
    <x v="1"/>
    <x v="1"/>
    <m/>
    <x v="3"/>
  </r>
  <r>
    <d v="2022-01-02T00:00:00"/>
    <s v="TIR1073"/>
    <x v="0"/>
    <s v="PM2166"/>
    <n v="603"/>
    <s v="GANGWAY INTERNAL cover missing hc1 right"/>
    <x v="1"/>
    <x v="1"/>
    <m/>
    <x v="3"/>
  </r>
  <r>
    <d v="2022-01-02T00:00:00"/>
    <s v="TIR1074"/>
    <x v="0"/>
    <s v="PM2167"/>
    <n v="609"/>
    <s v="Hc2 gb# 3 oil level below minimum"/>
    <x v="3"/>
    <x v="1"/>
    <m/>
    <x v="0"/>
  </r>
  <r>
    <d v="2022-01-02T00:00:00"/>
    <s v="TIR1075"/>
    <x v="0"/>
    <s v="PM2167"/>
    <n v="609"/>
    <s v="Hc1 axle 2 gasket leaKed"/>
    <x v="1"/>
    <x v="3"/>
    <m/>
    <x v="3"/>
  </r>
  <r>
    <d v="2022-01-02T00:00:00"/>
    <s v="TIR1076"/>
    <x v="0"/>
    <s v="PM2167"/>
    <n v="609"/>
    <s v="HC2 PANEL NO1 ALLEN SCREW MISSING._x000a_HC2 NEAR DOOR2 SEALING PANEL ALLEN SCREW MISSING._x000a_HC1&amp;HC2NEAR TO GANGWAY PANEL ALLEN SCREWS ARE MISSING "/>
    <x v="1"/>
    <x v="1"/>
    <s v="need to replace the 3 nut(out of stock 05-Jan-2022)"/>
    <x v="3"/>
  </r>
  <r>
    <d v="2022-01-02T00:00:00"/>
    <s v="TIR1077"/>
    <x v="0"/>
    <s v="PM2165"/>
    <n v="412"/>
    <s v="HC2 bogie 1 axle 1 &amp;2 oil level is low"/>
    <x v="1"/>
    <x v="3"/>
    <s v="31/01 : level is low. No leakage found. Need to normalize the oil level."/>
    <x v="4"/>
  </r>
  <r>
    <d v="2022-01-03T00:00:00"/>
    <s v="TIR0363"/>
    <x v="2"/>
    <s v="NA"/>
    <n v="404"/>
    <s v="One internal smoke detector activated ( IOS124 is existing )"/>
    <x v="0"/>
    <x v="1"/>
    <s v="After clean no more IOS"/>
    <x v="0"/>
  </r>
  <r>
    <d v="2022-01-03T00:00:00"/>
    <s v="TIR0366"/>
    <x v="0"/>
    <s v="PM2170"/>
    <n v="604"/>
    <s v="IOS86 : The dead man relays discordance "/>
    <x v="0"/>
    <x v="1"/>
    <m/>
    <x v="0"/>
  </r>
  <r>
    <d v="2022-01-03T00:00:00"/>
    <s v="TIR0375"/>
    <x v="4"/>
    <s v="NA"/>
    <n v="609"/>
    <s v="Gangway locks missing"/>
    <x v="1"/>
    <x v="1"/>
    <m/>
    <x v="3"/>
  </r>
  <r>
    <d v="2022-01-03T00:00:00"/>
    <s v="TIR0365"/>
    <x v="0"/>
    <s v="PM2170"/>
    <n v="604"/>
    <s v="hc2 bogie1 left CC corner  was damaged"/>
    <x v="0"/>
    <x v="1"/>
    <m/>
    <x v="1"/>
  </r>
  <r>
    <d v="2022-01-03T00:00:00"/>
    <s v="TIR0368"/>
    <x v="0"/>
    <s v="PM2172"/>
    <n v="606"/>
    <s v="hc2 bogie1 left CC corner was damaged"/>
    <x v="0"/>
    <x v="1"/>
    <m/>
    <x v="1"/>
  </r>
  <r>
    <d v="2022-01-03T00:00:00"/>
    <s v="TIR0369"/>
    <x v="0"/>
    <s v="PM2172"/>
    <n v="606"/>
    <s v="hc2 left sanding hose missing"/>
    <x v="0"/>
    <x v="1"/>
    <m/>
    <x v="1"/>
  </r>
  <r>
    <d v="2022-01-03T00:00:00"/>
    <s v="TIR0370"/>
    <x v="0"/>
    <s v="PM2172"/>
    <n v="606"/>
    <s v="GANGWAY INTERNAL cover missing hc1 right"/>
    <x v="0"/>
    <x v="1"/>
    <m/>
    <x v="1"/>
  </r>
  <r>
    <d v="2022-01-03T00:00:00"/>
    <s v="TIR1078"/>
    <x v="2"/>
    <s v="NA"/>
    <n v="402"/>
    <s v="HC1 Mechanical coupler got stuck while uncoupling"/>
    <x v="1"/>
    <x v="1"/>
    <m/>
    <x v="0"/>
  </r>
  <r>
    <d v="2022-01-03T00:00:00"/>
    <s v="TIR1079"/>
    <x v="2"/>
    <s v="NA"/>
    <n v="403"/>
    <s v="HC2 Mechanical coupler got stuck while uncoupling"/>
    <x v="1"/>
    <x v="1"/>
    <m/>
    <x v="0"/>
  </r>
  <r>
    <d v="2022-01-03T00:00:00"/>
    <s v="TIR1080"/>
    <x v="2"/>
    <s v="NA"/>
    <n v="413"/>
    <s v="HC2 Mechanical coupler got stuck while uncoupling"/>
    <x v="1"/>
    <x v="2"/>
    <s v="Checked and no uncoupling issue detected."/>
    <x v="1"/>
  </r>
  <r>
    <d v="2022-01-03T00:00:00"/>
    <s v="TIR1081"/>
    <x v="2"/>
    <s v="NA"/>
    <n v="620"/>
    <s v="HC1 EAD switch not working"/>
    <x v="1"/>
    <x v="1"/>
    <s v="adjust the EAD cable we can open the door "/>
    <x v="0"/>
  </r>
  <r>
    <d v="2022-01-03T00:00:00"/>
    <s v="TIR1082"/>
    <x v="2"/>
    <s v="NA"/>
    <n v="610"/>
    <s v="HC1 EAD switch not working"/>
    <x v="2"/>
    <x v="1"/>
    <s v="4 cable was not connected after normalise working fine"/>
    <x v="0"/>
  </r>
  <r>
    <d v="2022-01-03T00:00:00"/>
    <s v="TIR1083"/>
    <x v="2"/>
    <s v="NA"/>
    <n v="610"/>
    <s v="HC1 side can not uncouple "/>
    <x v="1"/>
    <x v="1"/>
    <s v="we open the UNCOUPLING MAGNET VALVE and closed back issue no more present "/>
    <x v="0"/>
  </r>
  <r>
    <d v="2022-01-03T00:00:00"/>
    <s v="TIR1084"/>
    <x v="0"/>
    <s v="PM2171"/>
    <n v="605"/>
    <s v="LED I6. v1, LCD v1, SWD 6, v1-IP NOK"/>
    <x v="1"/>
    <x v="0"/>
    <s v="Restart train 2 times and checked all of them good"/>
    <x v="1"/>
  </r>
  <r>
    <d v="2022-01-03T00:00:00"/>
    <s v="TIR1085"/>
    <x v="0"/>
    <s v="PM2173"/>
    <n v="621"/>
    <s v="HC2 axle 2 oil level lessthan min"/>
    <x v="1"/>
    <x v="3"/>
    <m/>
    <x v="4"/>
  </r>
  <r>
    <d v="2022-01-03T00:00:00"/>
    <s v="TIR1086"/>
    <x v="0"/>
    <s v="PM2173"/>
    <n v="621"/>
    <s v="Torque mark damage in bolts of half coupler(gear box and motor) HC1-Axle4-"/>
    <x v="1"/>
    <x v="3"/>
    <m/>
    <x v="4"/>
  </r>
  <r>
    <d v="2022-01-03T00:00:00"/>
    <s v="TIR1087"/>
    <x v="0"/>
    <s v="PM2174"/>
    <n v="502"/>
    <s v="Gangway 1 lock is broken"/>
    <x v="1"/>
    <x v="1"/>
    <m/>
    <x v="3"/>
  </r>
  <r>
    <d v="2022-01-03T00:00:00"/>
    <s v="TIR1088"/>
    <x v="0"/>
    <s v="PM2175"/>
    <n v="512"/>
    <s v="Gangway 1 lock is broken"/>
    <x v="1"/>
    <x v="1"/>
    <m/>
    <x v="3"/>
  </r>
  <r>
    <d v="2022-01-04T00:00:00"/>
    <s v="TIR0376"/>
    <x v="2"/>
    <s v="NA"/>
    <n v="408"/>
    <s v="HC2 Door#1 Jarking while closing manually"/>
    <x v="0"/>
    <x v="1"/>
    <s v="After Adjust working good."/>
    <x v="0"/>
  </r>
  <r>
    <d v="2022-01-04T00:00:00"/>
    <s v="TIR0387"/>
    <x v="4"/>
    <s v="NA"/>
    <n v="624"/>
    <s v="Hc1 Lighting cover not ok"/>
    <x v="0"/>
    <x v="1"/>
    <s v="Fixed the cover"/>
    <x v="0"/>
  </r>
  <r>
    <d v="2022-01-04T00:00:00"/>
    <s v="TIR0391"/>
    <x v="0"/>
    <s v="Mail"/>
    <n v="604"/>
    <s v="Issue Detected Train 604: Roof Panel was not closing properly."/>
    <x v="0"/>
    <x v="1"/>
    <s v="after Alignment cover closed properly"/>
    <x v="0"/>
  </r>
  <r>
    <d v="2022-01-04T00:00:00"/>
    <s v="TIR0378"/>
    <x v="2"/>
    <s v="NA"/>
    <n v="415"/>
    <s v="WM in hc1 no active, cant move train in WM in hc1."/>
    <x v="3"/>
    <x v="3"/>
    <s v="To replace 61K07"/>
    <x v="0"/>
  </r>
  <r>
    <d v="2022-01-04T00:00:00"/>
    <s v="TIR1089"/>
    <x v="2"/>
    <s v="NA"/>
    <n v="415"/>
    <s v="Door#5, hc2 iOS65 Door  intrlock fault indiction and iOS262: communication fault."/>
    <x v="1"/>
    <x v="1"/>
    <s v="Checked and from the DCU logs, found data bus communication failure and waiting for supplier feedback for this issue."/>
    <x v="1"/>
  </r>
  <r>
    <d v="2022-01-04T00:00:00"/>
    <s v="TIR1090"/>
    <x v="2"/>
    <s v="NA"/>
    <n v="618"/>
    <s v="HC1 &amp; HC2 Both side mechanical coupler got stuck while uncoupling of the train"/>
    <x v="1"/>
    <x v="1"/>
    <m/>
    <x v="2"/>
  </r>
  <r>
    <d v="2022-01-04T00:00:00"/>
    <s v="TIR1091"/>
    <x v="2"/>
    <s v="NA"/>
    <n v="618"/>
    <s v="Train is not getting sleep through PB from HC2 side."/>
    <x v="1"/>
    <x v="3"/>
    <m/>
    <x v="0"/>
  </r>
  <r>
    <d v="2022-01-04T00:00:00"/>
    <s v="TIR1092"/>
    <x v="0"/>
    <s v="PM2176"/>
    <n v="602"/>
    <s v="HC1 BOGIE2 RHS -the 750 v (HV)cable from the fuse box to the junction box is missing "/>
    <x v="3"/>
    <x v="2"/>
    <s v="18/01 : missing part , To create NCR_x000a_23/01 : the train will be not ready fo 33 train of Wednesday_x000a_"/>
    <x v="0"/>
  </r>
  <r>
    <d v="2022-01-04T00:00:00"/>
    <s v="TIR1093"/>
    <x v="0"/>
    <s v="PM2176"/>
    <n v="602"/>
    <s v="HC1-Bogie2 Oil level AXLE 1 LOW, AXLE 2 VERY LOW"/>
    <x v="1"/>
    <x v="2"/>
    <s v="02/01/2022 : Checked level is ok now "/>
    <x v="1"/>
  </r>
  <r>
    <d v="2022-01-04T00:00:00"/>
    <s v="TIR1094"/>
    <x v="0"/>
    <s v="PM2178"/>
    <n v="617"/>
    <s v="HC-02, Both BOG-1 and BOG-2 - Gear oil level is low."/>
    <x v="1"/>
    <x v="2"/>
    <s v="02/01/2022 : checked no leakage found. Need to normalize the oil level"/>
    <x v="4"/>
  </r>
  <r>
    <d v="2022-01-04T00:00:00"/>
    <s v="TIR1095"/>
    <x v="0"/>
    <s v="PM2179"/>
    <n v="624"/>
    <s v="HC2 swd3 not working and IP also offline"/>
    <x v="1"/>
    <x v="0"/>
    <s v="Updaed software manually and test ok"/>
    <x v="0"/>
  </r>
  <r>
    <d v="2022-01-04T00:00:00"/>
    <s v="TIR1096"/>
    <x v="0"/>
    <s v="PM2179"/>
    <n v="624"/>
    <s v="HC-02,BG-01, axle-01, gear oil low."/>
    <x v="1"/>
    <x v="2"/>
    <s v="02/01/2022 : checked no leakage found. Need to normalize the oil level"/>
    <x v="4"/>
  </r>
  <r>
    <d v="2022-01-04T00:00:00"/>
    <s v="TIR1097"/>
    <x v="4"/>
    <s v="NA"/>
    <n v="617"/>
    <s v="HC2 Ceiling panel cover not fixed ( support bracket missing )"/>
    <x v="1"/>
    <x v="1"/>
    <m/>
    <x v="3"/>
  </r>
  <r>
    <d v="2022-01-04T00:00:00"/>
    <s v="TIR1098"/>
    <x v="0"/>
    <s v="Mail"/>
    <n v="408"/>
    <s v="Issue Detected Train 408: Broken side panel sheet gangway."/>
    <x v="1"/>
    <x v="1"/>
    <m/>
    <x v="3"/>
  </r>
  <r>
    <d v="2022-01-04T00:00:00"/>
    <s v="TIR1099"/>
    <x v="0"/>
    <s v="Mail"/>
    <n v="611"/>
    <s v="Detected during Battery Visual Inspection _x000a_Trainset 611A -  Door tubular seal was found having some damaged."/>
    <x v="1"/>
    <x v="1"/>
    <s v="1/13/2022:To replace the rubber"/>
    <x v="3"/>
  </r>
  <r>
    <d v="2022-01-04T00:00:00"/>
    <s v="TIR1101"/>
    <x v="0"/>
    <s v="Mail"/>
    <n v="602"/>
    <s v="Detected during BOGIE VISUAL INSPECTION GLOBAL – Inspection of the Wheel Slide Protection (WSP) Sensor _x000a_Train 602A, Bogie 2 Right Side – WSP cable was found damaged."/>
    <x v="1"/>
    <x v="3"/>
    <m/>
    <x v="0"/>
  </r>
  <r>
    <d v="2022-01-05T00:00:00"/>
    <s v="TIR1102"/>
    <x v="0"/>
    <s v="PM2187"/>
    <n v="518"/>
    <s v="Primary suspension protection bottom cover missing 10 no.s"/>
    <x v="1"/>
    <x v="2"/>
    <m/>
    <x v="2"/>
  </r>
  <r>
    <d v="2022-01-05T00:00:00"/>
    <s v="TIR1103"/>
    <x v="0"/>
    <s v="PM2186"/>
    <n v="517"/>
    <s v="Primary suspension protection bottom cover missing 8 no.s"/>
    <x v="1"/>
    <x v="2"/>
    <m/>
    <x v="2"/>
  </r>
  <r>
    <d v="2022-01-05T00:00:00"/>
    <s v="TIR1104"/>
    <x v="0"/>
    <s v="PM2186"/>
    <n v="517"/>
    <s v="HC1-B1 -Axle2 minor leakge from top door of gear box .(GASKET )-s.no C447"/>
    <x v="1"/>
    <x v="2"/>
    <m/>
    <x v="2"/>
  </r>
  <r>
    <d v="2022-01-05T00:00:00"/>
    <s v="TIR1105"/>
    <x v="0"/>
    <s v="PM2182"/>
    <n v="402"/>
    <s v="HC-02, Both AXLE-3 and AXLE-4 - Gear oil level is low"/>
    <x v="1"/>
    <x v="2"/>
    <m/>
    <x v="4"/>
  </r>
  <r>
    <d v="2022-01-05T00:00:00"/>
    <s v="TIR1106"/>
    <x v="0"/>
    <s v="PM2182"/>
    <n v="402"/>
    <s v="swd3 car2,lcd3 car2,led3 car2.-IP nok "/>
    <x v="1"/>
    <x v="0"/>
    <s v="Update software manually and test Ok"/>
    <x v="0"/>
  </r>
  <r>
    <d v="2022-01-05T00:00:00"/>
    <s v="TIR1107"/>
    <x v="0"/>
    <s v="PM2184"/>
    <n v="408"/>
    <s v="HC-01, axle 2 , Gear oil level is low."/>
    <x v="1"/>
    <x v="2"/>
    <m/>
    <x v="4"/>
  </r>
  <r>
    <d v="2022-01-05T00:00:00"/>
    <s v="TIR1108"/>
    <x v="0"/>
    <s v="PM2185"/>
    <n v="610"/>
    <s v="car1 door 2 while closing time closing the door fastly compare to other doors."/>
    <x v="1"/>
    <x v="1"/>
    <m/>
    <x v="1"/>
  </r>
  <r>
    <d v="2022-01-05T00:00:00"/>
    <s v="TIR1109"/>
    <x v="4"/>
    <s v="NA"/>
    <n v="402"/>
    <s v="Gangway cover one lock is broken"/>
    <x v="1"/>
    <x v="1"/>
    <m/>
    <x v="3"/>
  </r>
  <r>
    <d v="2022-01-06T00:00:00"/>
    <s v="TIR408"/>
    <x v="0"/>
    <s v="PM2188"/>
    <n v="611"/>
    <s v="HVAC1 lost communication"/>
    <x v="0"/>
    <x v="0"/>
    <s v="Found HVAC1-V2 offline and recovered it and  HVAC autotest OK"/>
    <x v="0"/>
  </r>
  <r>
    <d v="2022-01-06T00:00:00"/>
    <s v="TIR1112"/>
    <x v="0"/>
    <s v="PM2194"/>
    <n v="507"/>
    <s v="HC1-HVAC2 LOW PRESSURE LP2 when forced Compressor2 "/>
    <x v="2"/>
    <x v="1"/>
    <m/>
    <x v="0"/>
  </r>
  <r>
    <d v="2022-01-06T00:00:00"/>
    <s v="TIR1113"/>
    <x v="0"/>
    <s v="PM2194"/>
    <n v="507"/>
    <s v="HC1-HVAC1-compressor 1&amp;3 making noise"/>
    <x v="1"/>
    <x v="2"/>
    <m/>
    <x v="2"/>
  </r>
  <r>
    <d v="2022-01-06T00:00:00"/>
    <s v="TIR1114"/>
    <x v="0"/>
    <s v="PM2194"/>
    <n v="507"/>
    <s v=" SOFTWARE invalid  UMC1-0.0.0"/>
    <x v="1"/>
    <x v="2"/>
    <s v="No issue related oberved after software update."/>
    <x v="1"/>
  </r>
  <r>
    <d v="2022-01-06T00:00:00"/>
    <s v="TIR1115"/>
    <x v="0"/>
    <s v="PM2189"/>
    <n v="612"/>
    <s v="HC+H79:O942-A3,A4-low oil level (just below the low mark ) ,HC1-A1(very low),A2,A3-low oil level "/>
    <x v="1"/>
    <x v="3"/>
    <m/>
    <x v="4"/>
  </r>
  <r>
    <d v="2022-01-06T00:00:00"/>
    <s v="TIR1116"/>
    <x v="0"/>
    <s v="PM2190"/>
    <n v="614"/>
    <s v="HC1 Axle 3,axle 4 , HC2 AXLE1 ,AXLE2 -oil level below minimum"/>
    <x v="1"/>
    <x v="3"/>
    <s v="02/16 : No leakage found, need to normalize the oil level "/>
    <x v="4"/>
  </r>
  <r>
    <d v="2022-01-06T00:00:00"/>
    <s v="TIR1117"/>
    <x v="0"/>
    <s v="PM2189"/>
    <n v="612"/>
    <s v="car2 2nd palmtree light off condition."/>
    <x v="1"/>
    <x v="1"/>
    <m/>
    <x v="0"/>
  </r>
  <r>
    <d v="2022-01-06T00:00:00"/>
    <s v="TIR1118"/>
    <x v="0"/>
    <s v="PM2191"/>
    <n v="618"/>
    <s v="HC2 Lcd 6 blinking"/>
    <x v="1"/>
    <x v="0"/>
    <s v="Updated software manually and test OK"/>
    <x v="0"/>
  </r>
  <r>
    <d v="2022-01-06T00:00:00"/>
    <s v="TIR1119"/>
    <x v="0"/>
    <s v="PM2191"/>
    <n v="618"/>
    <s v="HC1 internal smoke detector 1 panel(panel near to palm tree ) is closed without fully tightnening the the two screws of the one end(the alignement of the panel is not good for full tight )"/>
    <x v="1"/>
    <x v="2"/>
    <m/>
    <x v="0"/>
  </r>
  <r>
    <d v="2022-01-06T00:00:00"/>
    <s v="TIR1120"/>
    <x v="0"/>
    <s v="PM2191"/>
    <n v="618"/>
    <s v="HC1 AXLE2 oil level below minimum"/>
    <x v="1"/>
    <x v="3"/>
    <m/>
    <x v="4"/>
  </r>
  <r>
    <d v="2022-01-06T00:00:00"/>
    <s v="TIR1121"/>
    <x v="0"/>
    <s v="PM2192"/>
    <n v="622"/>
    <s v="car2 swd3 physically off condition but ip status ok"/>
    <x v="1"/>
    <x v="0"/>
    <s v="Update software manually and test Ok"/>
    <x v="0"/>
  </r>
  <r>
    <d v="2022-01-09T00:00:00"/>
    <s v="TIR401"/>
    <x v="4"/>
    <s v="NA"/>
    <n v="511"/>
    <s v="Roof antenna"/>
    <x v="3"/>
    <x v="4"/>
    <m/>
    <x v="0"/>
  </r>
  <r>
    <d v="2022-01-09T00:00:00"/>
    <s v="TIR404"/>
    <x v="5"/>
    <s v="NA"/>
    <n v="607"/>
    <s v="HC1_gearbox 3 oil contaminated"/>
    <x v="3"/>
    <x v="2"/>
    <m/>
    <x v="0"/>
  </r>
  <r>
    <d v="2022-01-09T00:00:00"/>
    <s v="TIR1110"/>
    <x v="2"/>
    <s v="NA"/>
    <n v="415"/>
    <s v="relay 61k07 faulty need to replace"/>
    <x v="3"/>
    <x v="2"/>
    <m/>
    <x v="0"/>
  </r>
  <r>
    <d v="2022-01-09T00:00:00"/>
    <s v="TIR1111"/>
    <x v="2"/>
    <s v="NA"/>
    <n v="415"/>
    <s v="Door5 HC2 Faulty"/>
    <x v="1"/>
    <x v="1"/>
    <m/>
    <x v="0"/>
  </r>
  <r>
    <d v="2022-01-09T00:00:00"/>
    <s v="TIR1122"/>
    <x v="0"/>
    <s v="PM2200"/>
    <n v="508"/>
    <s v="Missing 8 Suspension protection bottom cover"/>
    <x v="1"/>
    <x v="3"/>
    <m/>
    <x v="2"/>
  </r>
  <r>
    <d v="2022-01-09T00:00:00"/>
    <s v="TIR1123"/>
    <x v="0"/>
    <s v="PM2200"/>
    <n v="508"/>
    <s v="HC1-not able to sleep"/>
    <x v="1"/>
    <x v="3"/>
    <s v="20/02 : We found that the cable WF00062 was connected to the PIN 73 of the connector XR03+CCC instead of connector XR02+CCC"/>
    <x v="0"/>
  </r>
  <r>
    <d v="2022-01-09T00:00:00"/>
    <s v="TIR1124"/>
    <x v="0"/>
    <s v="PM2201"/>
    <n v="515"/>
    <s v="HC1-becon Antenna Cable's clamp missing"/>
    <x v="1"/>
    <x v="1"/>
    <s v="waiting for DTR 14/02"/>
    <x v="3"/>
  </r>
  <r>
    <d v="2022-01-09T00:00:00"/>
    <s v="TIR1125"/>
    <x v="0"/>
    <s v="PM2195"/>
    <n v="415"/>
    <s v="IOS196 ,203 : Loss of at least 1 PEI in a class"/>
    <x v="1"/>
    <x v="5"/>
    <s v="Checked PEIs all online"/>
    <x v="1"/>
  </r>
  <r>
    <d v="2022-01-09T00:00:00"/>
    <s v="TIR1126"/>
    <x v="0"/>
    <s v="PM2196"/>
    <n v="420"/>
    <s v="HC1 AXLE2 GEAR BOX OIL LEVEL IS LOW"/>
    <x v="1"/>
    <x v="3"/>
    <s v="checked and Oil ok now "/>
    <x v="1"/>
  </r>
  <r>
    <d v="2022-01-09T00:00:00"/>
    <s v="TIR1127"/>
    <x v="0"/>
    <s v="PM2196"/>
    <n v="420"/>
    <s v="HC2 AXLE 4 GEAR BOX OIL IS DARK IN COLOUR"/>
    <x v="1"/>
    <x v="3"/>
    <s v="checked color ok and Oil ok now "/>
    <x v="1"/>
  </r>
  <r>
    <d v="2022-01-09T00:00:00"/>
    <s v="TIR1128"/>
    <x v="0"/>
    <s v="PM2196"/>
    <n v="420"/>
    <s v="car2 lcd3 contrast low compare to other lcd displays"/>
    <x v="1"/>
    <x v="0"/>
    <s v="Updaed software manually and test ok"/>
    <x v="0"/>
  </r>
  <r>
    <d v="2022-01-09T00:00:00"/>
    <s v="TIR1129"/>
    <x v="0"/>
    <s v="PM2198"/>
    <n v="607"/>
    <s v="IOS86 : The dead man relays discordance"/>
    <x v="1"/>
    <x v="0"/>
    <s v="Checked no ios86 reported. Do the deadman test in both cabs and test pass"/>
    <x v="1"/>
  </r>
  <r>
    <d v="2022-01-09T00:00:00"/>
    <s v="TIR1130"/>
    <x v="0"/>
    <s v="PM2199"/>
    <n v="615"/>
    <s v="semi permanent coupler grounding bolt missing"/>
    <x v="1"/>
    <x v="1"/>
    <m/>
    <x v="3"/>
  </r>
  <r>
    <d v="2022-01-09T00:00:00"/>
    <s v="TIR1131"/>
    <x v="0"/>
    <s v="PM2199"/>
    <n v="615"/>
    <s v="swd3 one display physically off condition but ip status ok"/>
    <x v="1"/>
    <x v="0"/>
    <s v="Checked SWD online and display OK"/>
    <x v="1"/>
  </r>
  <r>
    <d v="2022-01-09T00:00:00"/>
    <s v="TIR1132"/>
    <x v="0"/>
    <s v="PM2199"/>
    <n v="615"/>
    <s v="car2 door1 not closing full. Electrical and mechanically door isolated"/>
    <x v="2"/>
    <x v="1"/>
    <m/>
    <x v="1"/>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r>
  <r>
    <d v="2022-01-10T00:00:00"/>
    <s v="TIR1001"/>
    <x v="3"/>
    <s v="NA"/>
    <n v="414"/>
    <s v="IOS264 :  More than one UMC have a communication fault."/>
    <x v="3"/>
    <x v="0"/>
    <s v="Checked the issue no more reported"/>
    <x v="1"/>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r>
  <r>
    <d v="2022-01-10T00:00:00"/>
    <s v="TIR1003"/>
    <x v="3"/>
    <s v="NA"/>
    <n v="608"/>
    <s v="IOS191 : Loss of video recorder_x000a_IOS196 : Loss of at least 1 PEI in a class_x000a_ISO200 : Loss of all superwides in the same doors platform_x000a_IOS199 : Loss of all interior LCD compact displays in the same platform_x000a_IOS198 : Loss of LCD 16/9 in the same class"/>
    <x v="3"/>
    <x v="5"/>
    <s v="18/01 : Elie to check the train , and recover with Niyas"/>
    <x v="0"/>
  </r>
  <r>
    <d v="2022-01-10T00:00:00"/>
    <s v="TIR1004"/>
    <x v="3"/>
    <s v="NA"/>
    <n v="626"/>
    <s v="IOS185 : 1 APC LV Status false,_x000a_IOS179 : 1 APC MV Status false"/>
    <x v="1"/>
    <x v="2"/>
    <m/>
    <x v="1"/>
  </r>
  <r>
    <d v="2022-01-10T00:00:00"/>
    <s v="TIR1005"/>
    <x v="3"/>
    <s v="NA"/>
    <n v="423"/>
    <s v="IOS196 : Loss of at least 1 PEI in a class"/>
    <x v="1"/>
    <x v="5"/>
    <s v="Checked all devices online and display OK"/>
    <x v="1"/>
  </r>
  <r>
    <d v="2022-01-10T00:00:00"/>
    <s v="TIR1006"/>
    <x v="3"/>
    <s v="NA"/>
    <n v="625"/>
    <s v="IOS196 : Loss of at least 1 PEI in a class"/>
    <x v="1"/>
    <x v="0"/>
    <s v="Found PEI2-V1 report many lost communication, and updated software and test ok"/>
    <x v="0"/>
  </r>
  <r>
    <d v="2022-01-10T00:00:00"/>
    <s v="TIR1007"/>
    <x v="2"/>
    <s v="NA"/>
    <n v="611"/>
    <s v="DCU5-V2 communication lost"/>
    <x v="3"/>
    <x v="1"/>
    <s v="18/01 : To check and create NCR"/>
    <x v="0"/>
  </r>
  <r>
    <d v="2022-01-10T00:00:00"/>
    <s v="TIR1133"/>
    <x v="2"/>
    <s v="NA"/>
    <n v="611"/>
    <s v="PEI6-V2 communication not stable"/>
    <x v="1"/>
    <x v="0"/>
    <s v="Updated pei software manually and test ok"/>
    <x v="0"/>
  </r>
  <r>
    <d v="2022-01-10T00:00:00"/>
    <s v="TIR1134"/>
    <x v="4"/>
    <s v="NA"/>
    <n v="415"/>
    <s v="Light diffusers need to fix"/>
    <x v="1"/>
    <x v="1"/>
    <s v="fixed the light cover"/>
    <x v="0"/>
  </r>
  <r>
    <d v="2022-01-10T00:00:00"/>
    <s v="TIR1135"/>
    <x v="0"/>
    <s v="PM2208"/>
    <n v="510"/>
    <s v="Flange Lubricator saftey pin1 missing"/>
    <x v="1"/>
    <x v="1"/>
    <m/>
    <x v="2"/>
  </r>
  <r>
    <d v="2022-01-10T00:00:00"/>
    <s v="TIR1136"/>
    <x v="0"/>
    <s v="PM2208"/>
    <n v="510"/>
    <s v="Gangway lock has an issue"/>
    <x v="1"/>
    <x v="1"/>
    <m/>
    <x v="3"/>
  </r>
  <r>
    <d v="2022-01-10T00:00:00"/>
    <s v="TIR1137"/>
    <x v="0"/>
    <s v="PM2207"/>
    <n v="505"/>
    <s v="Hc1-becon Antenna Cable's clamp one screw is missing(refer picture in TIR report)"/>
    <x v="1"/>
    <x v="1"/>
    <m/>
    <x v="3"/>
  </r>
  <r>
    <d v="2022-01-10T00:00:00"/>
    <s v="TIR1138"/>
    <x v="0"/>
    <s v="PM2202"/>
    <n v="403"/>
    <s v="HC1-LEDI6 IP offline,HC1-LEDI6  not working"/>
    <x v="1"/>
    <x v="0"/>
    <s v="update software manually and test OK"/>
    <x v="0"/>
  </r>
  <r>
    <d v="2022-01-10T00:00:00"/>
    <s v="TIR1139"/>
    <x v="0"/>
    <s v="PM2203"/>
    <n v="406"/>
    <s v="swd1 car1 but physically good.led2 car1 ip off but physically ok"/>
    <x v="1"/>
    <x v="0"/>
    <m/>
    <x v="1"/>
  </r>
  <r>
    <d v="2022-01-10T00:00:00"/>
    <s v="TIR1140"/>
    <x v="0"/>
    <s v="PM2205"/>
    <n v="613"/>
    <s v="lost the communication of hvac1 car2 while in manual testing mode."/>
    <x v="1"/>
    <x v="1"/>
    <s v="online and working fine "/>
    <x v="1"/>
  </r>
  <r>
    <d v="2022-01-11T00:00:00"/>
    <s v="TIR1141"/>
    <x v="2"/>
    <s v="NA"/>
    <n v="502"/>
    <s v="Gearbox oil leakage"/>
    <x v="1"/>
    <x v="3"/>
    <m/>
    <x v="4"/>
  </r>
  <r>
    <d v="2022-01-11T00:00:00"/>
    <s v="TIR1142"/>
    <x v="2"/>
    <s v="NA"/>
    <n v="504"/>
    <s v="Compressor1 air-dryer failure"/>
    <x v="1"/>
    <x v="3"/>
    <m/>
    <x v="2"/>
  </r>
  <r>
    <d v="2022-01-11T00:00:00"/>
    <s v="TIR1143"/>
    <x v="2"/>
    <s v="NA"/>
    <n v="518"/>
    <s v="HC2 bogie_1 &amp; traction motor safety mounting to confirm"/>
    <x v="1"/>
    <x v="2"/>
    <m/>
    <x v="2"/>
  </r>
  <r>
    <d v="2022-01-12T00:00:00"/>
    <s v="TIR1144"/>
    <x v="3"/>
    <s v="NA"/>
    <n v="413"/>
    <s v="HC2_Door 1 – Door not opening using crew switch"/>
    <x v="1"/>
    <x v="1"/>
    <m/>
    <x v="1"/>
  </r>
  <r>
    <d v="2022-01-12T00:00:00"/>
    <s v="TIR1145"/>
    <x v="3"/>
    <s v="NA"/>
    <n v="424"/>
    <s v="HC2_Door 1 – Door not opening using crew switch"/>
    <x v="1"/>
    <x v="1"/>
    <s v="Found the EED cable out from the roller. Fixed back the cable and tested from outside(Crew switch) and Inside EED are OK. "/>
    <x v="0"/>
  </r>
  <r>
    <d v="2022-01-12T00:00:00"/>
    <s v="TIR1146"/>
    <x v="3"/>
    <s v="NA"/>
    <n v="615"/>
    <s v="IOS35 : Loss of 50% of ventilation of at least one HVAC unit"/>
    <x v="3"/>
    <x v="1"/>
    <s v="QF7 was off after ON , no more ios."/>
    <x v="0"/>
  </r>
  <r>
    <d v="2022-01-12T00:00:00"/>
    <s v="TIR1147"/>
    <x v="3"/>
    <s v="NA"/>
    <n v="407"/>
    <s v="Ledi1_V2 offline"/>
    <x v="1"/>
    <x v="0"/>
    <s v="Checked this LEDI online and display OK"/>
    <x v="1"/>
  </r>
  <r>
    <d v="2022-01-12T00:00:00"/>
    <s v="TIR1148"/>
    <x v="3"/>
    <s v="NA"/>
    <n v="514"/>
    <s v="One ACE have a communication fault,"/>
    <x v="3"/>
    <x v="1"/>
    <s v="his issue happened 3 times that day, _x000a_even after first restart of the train, next sleep/wake up rised again &quot;ACE2&quot;._x000a_18/01: Software and Dataplug upload "/>
    <x v="0"/>
  </r>
  <r>
    <d v="2022-01-12T00:00:00"/>
    <s v="TIR1149"/>
    <x v="6"/>
    <s v="NA"/>
    <n v="621"/>
    <s v="VAC2 HC2 compressor fautl "/>
    <x v="2"/>
    <x v="1"/>
    <s v="physically working fine waiting for supplier respons"/>
    <x v="1"/>
  </r>
  <r>
    <d v="2022-01-12T00:00:00"/>
    <s v="TIR1149"/>
    <x v="6"/>
    <s v="NA"/>
    <n v="410"/>
    <s v="410 reported  F_DRS_RelCBTrip_2  "/>
    <x v="1"/>
    <x v="1"/>
    <s v="CB cable connector was losse ,tight and put back"/>
    <x v="0"/>
  </r>
  <r>
    <d v="2022-01-13T00:00:00"/>
    <s v="TIR1150"/>
    <x v="4"/>
    <s v="NA"/>
    <n v="414"/>
    <s v="Partition door lock missing "/>
    <x v="1"/>
    <x v="1"/>
    <m/>
    <x v="3"/>
  </r>
  <r>
    <d v="2022-01-16T00:00:00"/>
    <s v="TIR1151"/>
    <x v="0"/>
    <s v="PM"/>
    <n v="519"/>
    <s v="HC2-Sand reserviour is empty"/>
    <x v="1"/>
    <x v="1"/>
    <m/>
    <x v="4"/>
  </r>
  <r>
    <d v="2022-01-16T00:00:00"/>
    <s v="TIR1152"/>
    <x v="0"/>
    <s v="PM"/>
    <n v="404"/>
    <s v="HC1 PANEL 1- 1 ALLEN SCREW MISSING_x000a_HC2 PANEL1 - 1 ALLEN SCREW MISSING"/>
    <x v="1"/>
    <x v="1"/>
    <s v="in Hc1 nut damaged and HC2 nut missing (18-Jan-22)"/>
    <x v="3"/>
  </r>
  <r>
    <d v="2022-01-16T00:00:00"/>
    <s v="TIR1153"/>
    <x v="0"/>
    <s v="PM2210"/>
    <n v="413"/>
    <s v="IOS196 : Loss of at least 1 PEI in a class                                                                pei3 car1,ledi3 car1 ip off but physically good,_x000a_lcd3 car1 ip off but physically good,swd3 car1 ip scanner status off but physically ok                             Display Status: lcd6 car1 physically off condition   "/>
    <x v="1"/>
    <x v="0"/>
    <s v="Checked papis devices online and display ok"/>
    <x v="1"/>
  </r>
  <r>
    <d v="2022-01-17T00:00:00"/>
    <s v="TIR1154"/>
    <x v="2"/>
    <s v="NA"/>
    <n v="403"/>
    <s v="Unconnected Grounding cable in the LVB Box."/>
    <x v="1"/>
    <x v="1"/>
    <m/>
    <x v="0"/>
  </r>
  <r>
    <d v="2022-01-17T00:00:00"/>
    <s v="TIR1155"/>
    <x v="0"/>
    <s v="PM"/>
    <n v="501"/>
    <s v="Primary suspension's bottom cover -8 nos.(Refer picture)"/>
    <x v="1"/>
    <x v="3"/>
    <m/>
    <x v="0"/>
  </r>
  <r>
    <d v="2022-01-17T00:00:00"/>
    <s v="TIR1156"/>
    <x v="0"/>
    <s v="PM2223"/>
    <n v="506"/>
    <s v="Gangway 1 Lock nok ,unable to Lock"/>
    <x v="1"/>
    <x v="1"/>
    <m/>
    <x v="0"/>
  </r>
  <r>
    <d v="2022-01-17T00:00:00"/>
    <s v="TIR1157"/>
    <x v="0"/>
    <s v="PM2223"/>
    <n v="506"/>
    <s v="Primary suspension's bottom cover -8 nos.(Refer picture)"/>
    <x v="1"/>
    <x v="3"/>
    <m/>
    <x v="3"/>
  </r>
  <r>
    <d v="2022-01-17T00:00:00"/>
    <s v="TIR1158"/>
    <x v="0"/>
    <s v="PM2223"/>
    <n v="506"/>
    <s v="HC1-Flange Lubricator saftey pin missing"/>
    <x v="1"/>
    <x v="2"/>
    <m/>
    <x v="3"/>
  </r>
  <r>
    <d v="2022-01-17T00:00:00"/>
    <s v="TIR1159"/>
    <x v="0"/>
    <s v="PM2230"/>
    <n v="511"/>
    <s v="Primary suspension's bottom cover -8 nos.(Refer picture)"/>
    <x v="1"/>
    <x v="3"/>
    <m/>
    <x v="3"/>
  </r>
  <r>
    <d v="2022-01-17T00:00:00"/>
    <s v="TIR1160"/>
    <x v="0"/>
    <s v="PM2225"/>
    <n v="414"/>
    <s v="umc car1 0.0.0-software version Nok"/>
    <x v="2"/>
    <x v="0"/>
    <s v="Checked the software version display OK"/>
    <x v="1"/>
  </r>
  <r>
    <d v="2022-01-17T00:00:00"/>
    <s v="TIR1161"/>
    <x v="0"/>
    <s v="PM2225"/>
    <n v="414"/>
    <s v="hc2 gearbox no4 oil level below minimum"/>
    <x v="1"/>
    <x v="3"/>
    <m/>
    <x v="4"/>
  </r>
  <r>
    <d v="2022-01-17T00:00:00"/>
    <s v="TIR1162"/>
    <x v="0"/>
    <s v="PM2225"/>
    <n v="414"/>
    <s v="car1 lcd4 low brightness"/>
    <x v="1"/>
    <x v="0"/>
    <s v="Updated software manually and test OK"/>
    <x v="1"/>
  </r>
  <r>
    <d v="2022-01-17T00:00:00"/>
    <s v="TIR1163"/>
    <x v="0"/>
    <s v="PM2228"/>
    <n v="422"/>
    <s v="hc1-hc2 sandng reservoir for re-filling, almost empty"/>
    <x v="1"/>
    <x v="2"/>
    <s v="01/27/2022 : no issue found, level of sand very low need to ask to PM to normalize"/>
    <x v="4"/>
  </r>
  <r>
    <d v="2022-01-17T00:00:00"/>
    <s v="TIR1164"/>
    <x v="2"/>
    <s v="NA"/>
    <n v="513"/>
    <s v="Network instability "/>
    <x v="3"/>
    <x v="2"/>
    <s v="18/01 : Network inspection _x000a_20/02/2022 : issue stil present . 23/2/2022 checked and found one CRS5_v2 delay to power on and as effect, it will generate IOS244. (UNDER MONITORING)"/>
    <x v="0"/>
  </r>
  <r>
    <d v="2022-01-17T00:00:00"/>
    <s v="TIR1165"/>
    <x v="3"/>
    <s v="Alarm Viewer Alarms Report"/>
    <n v="622"/>
    <s v="IOS196:Loss of at least 1 PEI in a class"/>
    <x v="1"/>
    <x v="0"/>
    <s v="Checked all PEIs online"/>
    <x v="1"/>
  </r>
  <r>
    <d v="2022-01-17T00:00:00"/>
    <s v="TIR1166"/>
    <x v="3"/>
    <s v="Alarm Viewer Alarms Report"/>
    <n v="651"/>
    <s v="IOS21:Minor fault on 1 brake unit"/>
    <x v="1"/>
    <x v="3"/>
    <s v="25/01 : Log checked from MPU and found LB_TBS_BCE1Axl1ValidSpd =Flase. And from BCE log we have F009 that mean there is a failure on the _x000a_impedance read on the speed sensor by the A-Matric. "/>
    <x v="0"/>
  </r>
  <r>
    <d v="2022-01-17T00:00:00"/>
    <s v="TIR1167"/>
    <x v="3"/>
    <s v="Alarm Viewer Alarms Report"/>
    <n v="651"/>
    <s v="IOS67:Door CLOSING request fault indication"/>
    <x v="1"/>
    <x v="3"/>
    <s v="1/30: RIOM3-HC1 Pin J1-Z28 energised. We removed the RIOM and put back and  no more issue Observed."/>
    <x v="0"/>
  </r>
  <r>
    <d v="2022-01-17T00:00:00"/>
    <s v="TIR1168"/>
    <x v="2"/>
    <s v="NA"/>
    <n v="615"/>
    <s v="HVAC -Venting error"/>
    <x v="1"/>
    <x v="1"/>
    <m/>
    <x v="3"/>
  </r>
  <r>
    <d v="2022-01-18T00:00:00"/>
    <s v="TIR1169"/>
    <x v="5"/>
    <m/>
    <n v="603"/>
    <s v="The CMV racks are equipped with wrong type screws and washer (TS 603)."/>
    <x v="1"/>
    <x v="1"/>
    <m/>
    <x v="0"/>
  </r>
  <r>
    <d v="2022-01-18T00:00:00"/>
    <s v="TIR1170"/>
    <x v="0"/>
    <s v="PM"/>
    <n v="506"/>
    <s v="HC1-left side derailment sensor bended and clamp,cable sleeve damaged( Refer Pic)                           _x000a_HC1-Right side derailment sensor's ground cable is cutted      (Refer pic)"/>
    <x v="3"/>
    <x v="1"/>
    <s v="18/01 : To create NCR"/>
    <x v="0"/>
  </r>
  <r>
    <d v="2022-01-18T00:00:00"/>
    <s v="TIR1171"/>
    <x v="0"/>
    <s v="PM2236"/>
    <n v="514"/>
    <s v="HC2-left side derailment sensor's cable support clamp found  bended,cable  is in stressed ( Refer Pic)                "/>
    <x v="1"/>
    <x v="2"/>
    <m/>
    <x v="1"/>
  </r>
  <r>
    <d v="2022-01-18T00:00:00"/>
    <s v="TIR1172"/>
    <x v="0"/>
    <s v="PM2232"/>
    <n v="411"/>
    <s v="LCD.4/V1-IP offline"/>
    <x v="1"/>
    <x v="0"/>
    <s v="Checked LCD online and display OK"/>
    <x v="1"/>
  </r>
  <r>
    <d v="2022-01-18T00:00:00"/>
    <s v="TIR1173"/>
    <x v="0"/>
    <s v="PM2233"/>
    <n v="412"/>
    <s v="Heat sink one  found scratch"/>
    <x v="1"/>
    <x v="1"/>
    <s v="Minor scratch on cvs inverter heat sink it will impact on any function"/>
    <x v="1"/>
  </r>
  <r>
    <d v="2022-01-18T00:00:00"/>
    <s v="TIR1174"/>
    <x v="0"/>
    <s v="PM2234"/>
    <n v="603"/>
    <s v="HC1 gear level is low in Axle1 &amp;2"/>
    <x v="1"/>
    <x v="3"/>
    <s v="31/01 : level is low. No leakage found. Need to normalize the oil level."/>
    <x v="4"/>
  </r>
  <r>
    <d v="2022-01-18T00:00:00"/>
    <s v="TIR1175"/>
    <x v="0"/>
    <s v="PM2235"/>
    <n v="608"/>
    <s v="HC1 gear oil level is low in Axle 1&amp;4 and also in HC2 axle 1"/>
    <x v="1"/>
    <x v="3"/>
    <s v="31/01 : level is low. No leakage found. Need to normalize the oil level."/>
    <x v="4"/>
  </r>
  <r>
    <d v="2022-01-18T00:00:00"/>
    <s v="TIR1176"/>
    <x v="0"/>
    <s v="PM2236"/>
    <n v="514"/>
    <s v="Hc2-Sand Level Low"/>
    <x v="1"/>
    <x v="3"/>
    <s v="02/14 : to normalize the sand level"/>
    <x v="4"/>
  </r>
  <r>
    <d v="2022-01-18T00:00:00"/>
    <s v="TIR1177"/>
    <x v="0"/>
    <s v="PM2231"/>
    <n v="403"/>
    <s v="sand level is low"/>
    <x v="1"/>
    <x v="3"/>
    <s v="31/01 : no issue found. Need to normalize the sand level."/>
    <x v="4"/>
  </r>
  <r>
    <d v="2022-01-18T00:00:00"/>
    <s v="TIR1178"/>
    <x v="0"/>
    <s v="PM2236"/>
    <n v="514"/>
    <s v="Primary suspension bottom protection  cover -08 nos missing"/>
    <x v="1"/>
    <x v="3"/>
    <m/>
    <x v="2"/>
  </r>
  <r>
    <d v="2022-01-18T00:00:00"/>
    <s v="TIR1179"/>
    <x v="0"/>
    <s v="PM2237"/>
    <n v="516"/>
    <s v="Primary suspension bottom protection  cover -08 nos missing"/>
    <x v="1"/>
    <x v="3"/>
    <m/>
    <x v="2"/>
  </r>
  <r>
    <d v="2022-01-18T00:00:00"/>
    <s v="TIR1180"/>
    <x v="3"/>
    <s v="NA"/>
    <n v="418"/>
    <s v="HC2 Saloon light cover dismantle (Near to RP3)."/>
    <x v="1"/>
    <x v="1"/>
    <m/>
    <x v="1"/>
  </r>
  <r>
    <d v="2022-01-18T00:00:00"/>
    <s v="TIR1181"/>
    <x v="3"/>
    <s v="NA"/>
    <n v="419"/>
    <s v="Auto-Combine Test (ACT) failed _x000a_+ IOS245: One PCE have a communication fault, + IOS235: Faulty auto test on at least one PCE and + IOS021: Minor fault on 1 brake unit"/>
    <x v="1"/>
    <x v="4"/>
    <s v="24/01/2022 : issue happened 2 times. PCE software udpated "/>
    <x v="0"/>
  </r>
  <r>
    <d v="2022-01-18T00:00:00"/>
    <s v="TIR1182"/>
    <x v="3"/>
    <s v="NA"/>
    <n v="419"/>
    <s v="IOS015 appeared on TS419 and train return back to STBL."/>
    <x v="3"/>
    <x v="3"/>
    <s v="23/01 : Relay 62k08 stuck and not activated. Need to replace the relay"/>
    <x v="0"/>
  </r>
  <r>
    <d v="2022-01-18T00:00:00"/>
    <s v="TIR1183"/>
    <x v="3"/>
    <s v="Alarm Viewer Alarms Report"/>
    <n v="401"/>
    <s v="IOS196:Loss of at least 1 PEI in a class"/>
    <x v="1"/>
    <x v="5"/>
    <s v="Checked all PEIs online"/>
    <x v="1"/>
  </r>
  <r>
    <d v="2022-01-19T00:00:00"/>
    <s v="TIR1184"/>
    <x v="3"/>
    <m/>
    <n v="510"/>
    <s v="IOS -227 loss of Traction in both CABs observed even when the Traction Power is available and both HSCBs are closed."/>
    <x v="3"/>
    <x v="3"/>
    <s v="wrong MPU Sw is install in the train _x000a_07/02 : MPUs updated and no more ios "/>
    <x v="0"/>
  </r>
  <r>
    <d v="2022-01-19T00:00:00"/>
    <s v="TIR1185"/>
    <x v="3"/>
    <m/>
    <n v="501"/>
    <s v="Break issue with below recorded IOS_x000a_IOS295, IOS246, IOS21 "/>
    <x v="3"/>
    <x v="3"/>
    <s v="06-02-2022 :Need to check _x000a_08/02 : found the cabling between A_x0002_Matric and Ethernet switch not well connected.woke up the train 3 times and no IOS observed. "/>
    <x v="0"/>
  </r>
  <r>
    <d v="2022-01-19T00:00:00"/>
    <s v="TIR1186"/>
    <x v="7"/>
    <s v="Mantis_RST1000"/>
    <n v="505"/>
    <s v="IOS249:One DCU has a communication fault"/>
    <x v="1"/>
    <x v="1"/>
    <m/>
    <x v="2"/>
  </r>
  <r>
    <d v="2022-01-19T00:00:00"/>
    <s v="TIR1187"/>
    <x v="7"/>
    <s v="Mantis_RST999"/>
    <n v="514"/>
    <s v="when the train is correctly docked and PEED of the door towards the track is applied and the train driving mood is switched from ATPM to UTO the door towards the track opens (less than 2.5 cm) and closes immediately. _x000a_o When the door opening alarm is triggered by ATC area securing zone is applied. _x000a_o Issue is observed only on the mainline.  "/>
    <x v="1"/>
    <x v="1"/>
    <m/>
    <x v="2"/>
  </r>
  <r>
    <d v="2022-01-19T00:00:00"/>
    <s v="TIR1188"/>
    <x v="3"/>
    <s v="Alarm Viewer Alarms Report"/>
    <n v="408"/>
    <s v="IOS196:Loss of at least 1 PEI in a class"/>
    <x v="1"/>
    <x v="5"/>
    <s v="Checked all devices online and display OK"/>
    <x v="1"/>
  </r>
  <r>
    <d v="2022-01-19T00:00:00"/>
    <s v="TIR1189"/>
    <x v="3"/>
    <s v="Alarm Viewer Alarms Report"/>
    <n v="613"/>
    <s v="IOS249:One DCU has a communication fault"/>
    <x v="2"/>
    <x v="1"/>
    <m/>
    <x v="1"/>
  </r>
  <r>
    <d v="2022-01-19T00:00:00"/>
    <s v="TIR1190"/>
    <x v="3"/>
    <s v="Alarm Viewer Alarms Report"/>
    <n v="624"/>
    <s v="IOS21:Minor fault on 1 brake unit_x000a_IOS245:One PCE has a communication faul_x000a_IOS235:Faulty auto test on at least one PCE"/>
    <x v="2"/>
    <x v="4"/>
    <s v="reversible mode "/>
    <x v="1"/>
  </r>
  <r>
    <d v="2022-01-19T00:00:00"/>
    <s v="TIR1191"/>
    <x v="3"/>
    <s v="Alarm Viewer Alarms Report"/>
    <n v="401"/>
    <s v="IOS179:1 APC MV Status false_x000a_IOS185:1 APC LV Status false"/>
    <x v="2"/>
    <x v="4"/>
    <s v="due to reversibler mode"/>
    <x v="1"/>
  </r>
  <r>
    <d v="2022-01-19T00:00:00"/>
    <s v="TIR1192"/>
    <x v="4"/>
    <s v="NA"/>
    <n v="622"/>
    <s v="GCR panel cover need to fixed "/>
    <x v="1"/>
    <x v="2"/>
    <s v="Checked and no all cover fixed."/>
    <x v="1"/>
  </r>
  <r>
    <d v="2022-01-19T00:00:00"/>
    <s v="TIR1193"/>
    <x v="4"/>
    <s v="NA"/>
    <n v="402"/>
    <s v="RP locks panel need to fixed"/>
    <x v="1"/>
    <x v="1"/>
    <m/>
    <x v="1"/>
  </r>
  <r>
    <d v="2022-01-24T00:00:00"/>
    <s v="TIR1194"/>
    <x v="2"/>
    <s v="NA"/>
    <n v="626"/>
    <s v="52Q11 and 11Q02 was tripping (short circuit in AA3S)"/>
    <x v="3"/>
    <x v="1"/>
    <s v="short circuit inside the  AA3S so we replaced with new AA3S."/>
    <x v="0"/>
  </r>
  <r>
    <d v="2022-01-26T00:00:00"/>
    <s v="TIR1195"/>
    <x v="0"/>
    <s v="NA"/>
    <n v="411"/>
    <s v="pei5-v1 loss com"/>
    <x v="1"/>
    <x v="0"/>
    <s v="Replaced New PEI"/>
    <x v="0"/>
  </r>
  <r>
    <d v="2022-01-26T00:00:00"/>
    <s v="TIR1196"/>
    <x v="0"/>
    <s v="NA"/>
    <n v="615"/>
    <s v="The light under the seat does not work in the first class cabin @615A"/>
    <x v="1"/>
    <x v="1"/>
    <s v="shunt was losse between 23E12 and 23E13 . we fixed the shunt. "/>
    <x v="0"/>
  </r>
  <r>
    <d v="2022-01-30T00:00:00"/>
    <s v="TIR1197"/>
    <x v="3"/>
    <s v="NA"/>
    <n v="511"/>
    <s v="4 Roof panel and 2 HVAC panel damaged due to hit roller shutter. "/>
    <x v="3"/>
    <x v="1"/>
    <s v="need to Reapair  and paint "/>
    <x v="3"/>
  </r>
  <r>
    <d v="2022-01-30T00:00:00"/>
    <s v="TIR1198"/>
    <x v="3"/>
    <s v="NA"/>
    <n v="611"/>
    <s v="Found paint signs on the surface of the train.  Ref. Pic."/>
    <x v="1"/>
    <x v="1"/>
    <s v="need to Reapair  and paint "/>
    <x v="0"/>
  </r>
  <r>
    <d v="2022-01-30T00:00:00"/>
    <s v="TIR1199"/>
    <x v="3"/>
    <s v="NA"/>
    <n v="625"/>
    <s v="Found screthes on the surface of train near Door 1 in HC2.  Ref. Pic."/>
    <x v="1"/>
    <x v="1"/>
    <s v="need to Reapair  and paint "/>
    <x v="0"/>
  </r>
  <r>
    <d v="2022-01-30T00:00:00"/>
    <s v="TIR1200"/>
    <x v="0"/>
    <s v="PM2293"/>
    <n v="401"/>
    <s v="HC1 LCD1 showing offline in IP scanner"/>
    <x v="1"/>
    <x v="0"/>
    <s v="Updated software manually and test OK"/>
    <x v="0"/>
  </r>
  <r>
    <d v="2022-01-30T00:00:00"/>
    <s v="TIR1201"/>
    <x v="0"/>
    <s v="PM2295"/>
    <n v="422"/>
    <s v="HC2 LEDI1 is not working and IP also offline -blank"/>
    <x v="1"/>
    <x v="0"/>
    <s v="checked it online and display ok"/>
    <x v="1"/>
  </r>
  <r>
    <d v="2022-01-30T00:00:00"/>
    <s v="TIR1202"/>
    <x v="0"/>
    <s v="PM2296"/>
    <n v="423"/>
    <s v="HC2 LEDI6,LCD6,SWD6 offline in ip scanner-physically they are working good"/>
    <x v="1"/>
    <x v="0"/>
    <m/>
    <x v="1"/>
  </r>
  <r>
    <d v="2022-01-31T00:00:00"/>
    <s v="TIR1203"/>
    <x v="3"/>
    <m/>
    <n v="406"/>
    <s v="EB applied &amp; not getting released, EB was from ATC side due to 5 ATC cards are not working in 93A01 Rack in GCL."/>
    <x v="3"/>
    <x v="3"/>
    <s v="3/2/2022 : SLV issue confirmed. Issue coming from the PPU card doesn't power the others cards. Slv will inform us when they rectify the issue._x000a_Now ok Card replaced"/>
    <x v="1"/>
  </r>
  <r>
    <d v="2022-02-03T00:00:00"/>
    <s v="TIR1204"/>
    <x v="2"/>
    <m/>
    <n v="625"/>
    <s v="TCCU2 no take over as master issue"/>
    <x v="1"/>
    <x v="0"/>
    <s v="Replaced a new TCCU and test ok"/>
    <x v="0"/>
  </r>
  <r>
    <d v="2022-02-03T00:00:00"/>
    <s v="TIR1205"/>
    <x v="2"/>
    <m/>
    <n v="626"/>
    <s v="CVS2 agate short circuit"/>
    <x v="3"/>
    <x v="1"/>
    <s v="Replaces a new CVS agate and test ok"/>
    <x v="0"/>
  </r>
  <r>
    <d v="2022-02-01T00:00:00"/>
    <s v="TIR1206"/>
    <x v="0"/>
    <s v="PM2304"/>
    <n v="608"/>
    <s v="HC-2, CVS - Cover panel, one lock is missing"/>
    <x v="1"/>
    <x v="2"/>
    <m/>
    <x v="2"/>
  </r>
  <r>
    <d v="2022-02-01T00:00:00"/>
    <s v="TIR1207"/>
    <x v="0"/>
    <s v="PM2305"/>
    <n v="514"/>
    <s v="Internal  Gangway Panel has more scratch"/>
    <x v="1"/>
    <x v="1"/>
    <m/>
    <x v="3"/>
  </r>
  <r>
    <d v="2022-02-01T00:00:00"/>
    <s v="TIR1208"/>
    <x v="0"/>
    <s v="PM2306"/>
    <n v="516"/>
    <s v="HC1-HVAC1-Compressor 3 Noise"/>
    <x v="1"/>
    <x v="1"/>
    <m/>
    <x v="2"/>
  </r>
  <r>
    <d v="2022-02-01T00:00:00"/>
    <s v="TIR1209"/>
    <x v="0"/>
    <s v="PM2313"/>
    <n v="512"/>
    <s v="Hc1-First class passenger saloon light in reverse brightness"/>
    <x v="1"/>
    <x v="1"/>
    <m/>
    <x v="2"/>
  </r>
  <r>
    <d v="2022-02-01T00:00:00"/>
    <s v="TIR1210"/>
    <x v="0"/>
    <s v="PM2313"/>
    <n v="512"/>
    <s v="Hc1-First class passenger saloon light in reverse brightness"/>
    <x v="1"/>
    <x v="1"/>
    <m/>
    <x v="2"/>
  </r>
  <r>
    <d v="2022-02-01T00:00:00"/>
    <s v="TIR1211"/>
    <x v="0"/>
    <s v="PM2307"/>
    <n v="415"/>
    <s v=" HC2-PCE cooling fan cover one screw need to re-tap"/>
    <x v="1"/>
    <x v="2"/>
    <m/>
    <x v="3"/>
  </r>
  <r>
    <d v="2022-02-01T00:00:00"/>
    <s v="TIR1212"/>
    <x v="0"/>
    <s v="30k MAINTENANCE "/>
    <n v="416"/>
    <s v="HC1 AXLE4 LHS primary suspension dummy caps (bottom part ) are missing  HC2 AXLE1 RHS and AXLE4 LHS primary suspension dummy caps (bottom part ) are missing "/>
    <x v="1"/>
    <x v="3"/>
    <s v="03/08 : Need 8 Pcs to normalize"/>
    <x v="3"/>
  </r>
  <r>
    <d v="2022-02-01T00:00:00"/>
    <s v="TIR1213"/>
    <x v="0"/>
    <s v="30k MAINTENANCE "/>
    <n v="416"/>
    <s v="HC1 Bogie 2 Horizontal damper doesnt have torque marks on its bolts on one end ( two bolts );ALL ECR(earth current return ) cables are without proper torque marks on them (HC1 +HC2)_x000a_all axle box outer covers are without proper legible  torque marks on them (marks are mostly faded are not good)"/>
    <x v="1"/>
    <x v="4"/>
    <m/>
    <x v="4"/>
  </r>
  <r>
    <d v="2022-02-01T00:00:00"/>
    <s v="TIR1214"/>
    <x v="0"/>
    <s v="PM2310"/>
    <n v="606"/>
    <s v="IOS61 : At least one door is not operational indication"/>
    <x v="1"/>
    <x v="1"/>
    <m/>
    <x v="1"/>
  </r>
  <r>
    <d v="2022-02-01T00:00:00"/>
    <s v="TIR1215"/>
    <x v="3"/>
    <m/>
    <n v="608"/>
    <s v="IOS191:Loss of video recorder_x000a_IOS200:Loss of all superwides in the same doors platform_x000a_IOS199:Loss of all interior LCD compact displays in the same platform_x000a_IOS198:Loss of LCD 16/9 in the same class_x000a_IOS195:Loss of All PEI in the same class_x000a_IOS196:Loss of at least 1 PEI in a class"/>
    <x v="1"/>
    <x v="5"/>
    <s v="Checked PEIs all online and no ios report"/>
    <x v="1"/>
  </r>
  <r>
    <d v="2022-02-01T00:00:00"/>
    <s v="TIR1216"/>
    <x v="0"/>
    <s v="PM2319"/>
    <n v="503"/>
    <s v="HC1-HVAC1 compressor 1,2,3 are Noisy"/>
    <x v="1"/>
    <x v="1"/>
    <m/>
    <x v="2"/>
  </r>
  <r>
    <d v="2022-02-01T00:00:00"/>
    <s v="TIR1217"/>
    <x v="0"/>
    <s v="PM2319"/>
    <n v="503"/>
    <s v="HC2 Compressor -AirLeakage"/>
    <x v="1"/>
    <x v="3"/>
    <m/>
    <x v="2"/>
  </r>
  <r>
    <d v="2022-02-01T00:00:00"/>
    <s v="TIR1218"/>
    <x v="0"/>
    <s v="PM2319"/>
    <n v="503"/>
    <s v="HC1&amp; HC2-Cab Light Dim(inverse )"/>
    <x v="1"/>
    <x v="1"/>
    <s v="Already created NCR"/>
    <x v="3"/>
  </r>
  <r>
    <d v="2022-02-01T00:00:00"/>
    <s v="TIR1219"/>
    <x v="0"/>
    <s v="PM2319"/>
    <n v="503"/>
    <s v="HC1- Train can't be sleep"/>
    <x v="1"/>
    <x v="3"/>
    <m/>
    <x v="0"/>
  </r>
  <r>
    <d v="2022-02-06T00:00:00"/>
    <s v="TIR1220"/>
    <x v="0"/>
    <s v="PM2326"/>
    <n v="517"/>
    <s v="HC1-Stinger 750vdc  Power connector female broken(Refer Pic)"/>
    <x v="1"/>
    <x v="1"/>
    <m/>
    <x v="3"/>
  </r>
  <r>
    <d v="2022-02-06T00:00:00"/>
    <s v="TIR1221"/>
    <x v="0"/>
    <s v="PM2326"/>
    <n v="517"/>
    <s v="HC1-Bogie1 left side Fuse box -JB cable clamp missing(Refer Pic)"/>
    <x v="1"/>
    <x v="1"/>
    <m/>
    <x v="3"/>
  </r>
  <r>
    <d v="2022-02-06T00:00:00"/>
    <s v="TIR1222"/>
    <x v="0"/>
    <s v="PM2327"/>
    <n v="518"/>
    <s v="HC1- Becon Antenna cable stressed due to unfit bracket installed"/>
    <x v="1"/>
    <x v="3"/>
    <m/>
    <x v="2"/>
  </r>
  <r>
    <d v="2022-02-06T00:00:00"/>
    <s v="TIR1223"/>
    <x v="0"/>
    <s v="PM2327"/>
    <n v="518"/>
    <s v="HC1-HVAC1/LP2 Low level ;HC2-HVAC1/LP2 Low Level"/>
    <x v="1"/>
    <x v="1"/>
    <m/>
    <x v="2"/>
  </r>
  <r>
    <d v="2022-02-06T00:00:00"/>
    <s v="TIR1224"/>
    <x v="0"/>
    <s v="PM2327"/>
    <n v="518"/>
    <s v="HC1-Bogie 1 observed abnormal sound while movment"/>
    <x v="1"/>
    <x v="2"/>
    <m/>
    <x v="2"/>
  </r>
  <r>
    <d v="2022-02-06T00:00:00"/>
    <s v="TIR1225"/>
    <x v="0"/>
    <s v="PM2322"/>
    <n v="610"/>
    <s v="Semi permament coupler earth strip missing one bolt"/>
    <x v="1"/>
    <x v="1"/>
    <m/>
    <x v="3"/>
  </r>
  <r>
    <d v="2022-02-06T00:00:00"/>
    <s v="TIR1226"/>
    <x v="0"/>
    <s v="PM2324"/>
    <n v="618"/>
    <s v="HC-02, A-matric exhaust filter Bottom side -  bolt missing and HC-01, Auxillary panel lock is missing"/>
    <x v="1"/>
    <x v="2"/>
    <m/>
    <x v="3"/>
  </r>
  <r>
    <d v="2022-02-06T00:00:00"/>
    <s v="TIR1227"/>
    <x v="0"/>
    <s v="30K maintenance"/>
    <n v="414"/>
    <s v="No proper (legible ) torque marks on the axle box outer covers (all the axles )-all marks are faded;none of the ECR(EARTH CURRENT RETURN ) cables  have  proper torque marks on them"/>
    <x v="1"/>
    <x v="4"/>
    <m/>
    <x v="4"/>
  </r>
  <r>
    <d v="2022-02-06T00:00:00"/>
    <s v="TIR1228"/>
    <x v="0"/>
    <s v="30K maintenance"/>
    <n v="414"/>
    <s v="HC2 AXLE3 RHS-one of the clamp holding the odometer cable to the bogie frame is missing -already tied with cable tie"/>
    <x v="1"/>
    <x v="3"/>
    <m/>
    <x v="2"/>
  </r>
  <r>
    <d v="2022-02-06T00:00:00"/>
    <s v="TIR1229"/>
    <x v="0"/>
    <s v="30K maintenance"/>
    <n v="414"/>
    <s v="Lubricator  sticks are not available in stock  HC1- 13 sticks are needed to add; HC2-14 sticks are needed to add"/>
    <x v="1"/>
    <x v="4"/>
    <m/>
    <x v="4"/>
  </r>
  <r>
    <d v="2022-02-06T00:00:00"/>
    <s v="TIR1230"/>
    <x v="0"/>
    <s v="PM2304"/>
    <n v="608"/>
    <s v="HC1 HVAC1 not able to launch TEST PROTOCOL as the pre condition is not getting high-but physically  HVAC found working"/>
    <x v="1"/>
    <x v="1"/>
    <m/>
    <x v="1"/>
  </r>
  <r>
    <d v="2022-02-06T00:00:00"/>
    <s v="TIR1231"/>
    <x v="0"/>
    <s v="PM2300"/>
    <n v="411"/>
    <s v="LEDI4,LCD4,SWD4 HC1 are showing offline-Physically they are working good"/>
    <x v="1"/>
    <x v="0"/>
    <m/>
    <x v="1"/>
  </r>
  <r>
    <d v="2022-02-07T00:00:00"/>
    <s v="TIR1232"/>
    <x v="0"/>
    <s v="PM2330"/>
    <n v="408"/>
    <s v="HC1 LCD.C.5 display is black in screen (ip is online )"/>
    <x v="1"/>
    <x v="0"/>
    <m/>
    <x v="1"/>
  </r>
  <r>
    <d v="2022-02-07T00:00:00"/>
    <s v="TIR1233"/>
    <x v="0"/>
    <s v="PM2330"/>
    <n v="408"/>
    <s v="ONE GANGWAY PANEL DOOR IS MISSING"/>
    <x v="1"/>
    <x v="1"/>
    <m/>
    <x v="3"/>
  </r>
  <r>
    <d v="2022-02-07T00:00:00"/>
    <s v="TIR1234"/>
    <x v="0"/>
    <s v="PM2328"/>
    <n v="404"/>
    <s v="IOS264 : More than one MUC have a communication fault;In software versions the UMC1,UMC2 showing 0.0.0"/>
    <x v="1"/>
    <x v="0"/>
    <s v="Checked both TCCU version STR570; Updated software again to follow"/>
    <x v="1"/>
  </r>
  <r>
    <d v="2022-02-07T00:00:00"/>
    <s v="TIR1235"/>
    <x v="0"/>
    <s v="30K maintenance"/>
    <n v="404"/>
    <s v="No proper (legible ) torque marks on the axle box outer covers (all the axles )-all marks are faded"/>
    <x v="1"/>
    <x v="4"/>
    <m/>
    <x v="4"/>
  </r>
  <r>
    <d v="2022-02-07T00:00:00"/>
    <s v="TIR1236"/>
    <x v="0"/>
    <s v="PM2331"/>
    <n v="612"/>
    <s v="HC2 DOOR-5 ROOF PANEL IS NOT LOCKED IN ONE END-LOCK ISSUE"/>
    <x v="1"/>
    <x v="1"/>
    <m/>
    <x v="2"/>
  </r>
  <r>
    <d v="2022-02-07T00:00:00"/>
    <s v="TIR1237"/>
    <x v="2"/>
    <m/>
    <n v="613"/>
    <s v="Network instability "/>
    <x v="3"/>
    <x v="3"/>
    <s v="02/08/2022 : logs checked and found MPU restarted without any reason. Train monitored 2 days in the stabling. All are ok."/>
    <x v="1"/>
  </r>
  <r>
    <d v="2022-02-07T00:00:00"/>
    <s v="TIR1238"/>
    <x v="3"/>
    <m/>
    <n v="417"/>
    <s v="IOS15 in the mainline"/>
    <x v="3"/>
    <x v="3"/>
    <s v="07/02/2022 : no issue found. Relay =&gt; ok. Loop release =&gt; ok, pressure switch =&gt; ok. MPU trace armed to catch the issue if happen again."/>
    <x v="0"/>
  </r>
  <r>
    <d v="2022-02-07T00:00:00"/>
    <s v="TIR1239"/>
    <x v="3"/>
    <m/>
    <n v="626"/>
    <s v="Traction Frimware issue "/>
    <x v="3"/>
    <x v="0"/>
    <s v="Updated firmware of version 113, and test no traction issue port"/>
    <x v="0"/>
  </r>
  <r>
    <d v="2022-02-07T00:00:00"/>
    <s v="TIR1240"/>
    <x v="4"/>
    <m/>
    <n v="617"/>
    <s v="HC1 windscreen glass broken"/>
    <x v="3"/>
    <x v="1"/>
    <m/>
    <x v="3"/>
  </r>
  <r>
    <d v="2022-02-07T00:00:00"/>
    <s v="TIR1241"/>
    <x v="4"/>
    <m/>
    <n v="617"/>
    <s v="HC 1 Wiper"/>
    <x v="1"/>
    <x v="1"/>
    <m/>
    <x v="1"/>
  </r>
  <r>
    <d v="2022-02-07T00:00:00"/>
    <s v="TIR1242"/>
    <x v="4"/>
    <m/>
    <n v="617"/>
    <s v="HC&amp; side pannel needs repaints"/>
    <x v="1"/>
    <x v="1"/>
    <m/>
    <x v="1"/>
  </r>
  <r>
    <d v="2022-02-08T00:00:00"/>
    <s v="TIR1243"/>
    <x v="0"/>
    <s v="PM2334"/>
    <n v="420"/>
    <s v="current collector shoe #4 in critical condition/for replacement"/>
    <x v="2"/>
    <x v="1"/>
    <m/>
    <x v="0"/>
  </r>
  <r>
    <d v="2022-02-08T00:00:00"/>
    <s v="TIR1244"/>
    <x v="0"/>
    <s v="PM2336"/>
    <n v="611"/>
    <s v="semi-permanent coupler grounding bolt missing"/>
    <x v="1"/>
    <x v="1"/>
    <m/>
    <x v="3"/>
  </r>
  <r>
    <d v="2022-02-08T00:00:00"/>
    <s v="TIR1245"/>
    <x v="0"/>
    <s v="PM2340"/>
    <n v="515"/>
    <s v="Primary 32 suspension bottom cover missing 32 nos"/>
    <x v="1"/>
    <x v="3"/>
    <m/>
    <x v="2"/>
  </r>
  <r>
    <d v="2022-02-08T00:00:00"/>
    <s v="TIR1246"/>
    <x v="0"/>
    <s v="PM2340"/>
    <n v="515"/>
    <s v="Hc2- Both Derailment sensor and earth cable clamp missing"/>
    <x v="1"/>
    <x v="3"/>
    <m/>
    <x v="3"/>
  </r>
  <r>
    <d v="2022-02-08T00:00:00"/>
    <s v="TIR1247"/>
    <x v="0"/>
    <s v="PM2340"/>
    <n v="515"/>
    <s v="HC1-Bogie2 Left Primary suspension bottom found corrorosion paint scracth"/>
    <x v="1"/>
    <x v="3"/>
    <s v="Painted."/>
    <x v="0"/>
  </r>
  <r>
    <d v="2022-02-08T00:00:00"/>
    <s v="TIR1248"/>
    <x v="0"/>
    <s v="PM"/>
    <n v="507"/>
    <s v="HC1-Door 2 has delay timing to close ( closing time is not equal to other doors)"/>
    <x v="1"/>
    <x v="2"/>
    <s v="Tested and no issues observed."/>
    <x v="1"/>
  </r>
  <r>
    <d v="2022-02-08T00:00:00"/>
    <s v="TIR1249"/>
    <x v="0"/>
    <s v="PM2339"/>
    <n v="508"/>
    <s v="Nvr .1-offline;IOS191 : Loss of video recorder"/>
    <x v="1"/>
    <x v="2"/>
    <s v="Configuration file missing inside NVR, reupload file and restart NVR. NVR working normally."/>
    <x v="0"/>
  </r>
  <r>
    <d v="2022-02-08T00:00:00"/>
    <s v="TIR1250"/>
    <x v="3"/>
    <m/>
    <n v="414"/>
    <s v="TS414 didn’t open doors in all stations in up direction (PF1). Down direction is OK (PF2) "/>
    <x v="1"/>
    <x v="1"/>
    <m/>
    <x v="1"/>
  </r>
  <r>
    <d v="2022-02-08T00:00:00"/>
    <s v="TIR1251"/>
    <x v="3"/>
    <s v="NA"/>
    <n v="609"/>
    <s v="After the wake-up , the Automatic Combined Test are failed and TOM unavailable in ATS HMI due to AutoTestUMC failed."/>
    <x v="3"/>
    <x v="0"/>
    <s v="02/13 : Mohamed :  Automatic combined test failed because the Autotest for ACE1 and UMC are failed._x000a_Autotest ACE now ok : ACE1 was locked, reset done and no more issue._x000a_Guan : UMCAutoTest nok : Need to replace Both TCCU_x000a_2/14/2022:Replaced TCCU1 and autotest OK_x000a_"/>
    <x v="0"/>
  </r>
  <r>
    <d v="2022-02-08T00:00:00"/>
    <s v="TIR1252"/>
    <x v="3"/>
    <m/>
    <n v="625"/>
    <s v="At least one minor failure on PCE"/>
    <x v="1"/>
    <x v="2"/>
    <m/>
    <x v="1"/>
  </r>
  <r>
    <d v="2022-02-08T00:00:00"/>
    <s v="TIR1253"/>
    <x v="3"/>
    <m/>
    <n v="401"/>
    <s v="One compressor out of service indication"/>
    <x v="1"/>
    <x v="3"/>
    <s v="27/02 : no IOS  from MPU logs. Monitored last week also during TT nothing"/>
    <x v="1"/>
  </r>
  <r>
    <d v="2022-02-08T00:00:00"/>
    <s v="TIR1253"/>
    <x v="3"/>
    <m/>
    <n v="408"/>
    <s v="HC_1 Motoring push button not functioning."/>
    <x v="2"/>
    <x v="1"/>
    <s v="both side train moving in wash mode with S_MotBrk"/>
    <x v="1"/>
  </r>
  <r>
    <d v="2022-02-09T00:00:00"/>
    <s v="TIR1254"/>
    <x v="3"/>
    <s v="NA"/>
    <n v="609"/>
    <s v="HC1_Inverter cooling fan abnormal sound."/>
    <x v="3"/>
    <x v="1"/>
    <m/>
    <x v="0"/>
  </r>
  <r>
    <d v="2022-02-10T00:00:00"/>
    <s v="TIR1255"/>
    <x v="3"/>
    <m/>
    <n v="608"/>
    <s v="HC2 – Abnormal sound"/>
    <x v="1"/>
    <x v="1"/>
    <m/>
    <x v="2"/>
  </r>
  <r>
    <d v="2022-02-10T00:00:00"/>
    <s v="TIR1256"/>
    <x v="2"/>
    <m/>
    <n v="422"/>
    <s v="PA not working "/>
    <x v="1"/>
    <x v="0"/>
    <s v="Checked TCCU no received the signal of ISM live announcement, need check ISM side"/>
    <x v="1"/>
  </r>
  <r>
    <d v="2022-02-10T00:00:00"/>
    <s v="TIR1257"/>
    <x v="2"/>
    <m/>
    <n v="404"/>
    <s v="PA not working "/>
    <x v="1"/>
    <x v="0"/>
    <s v="Updated TCCU software manually and test Ok"/>
    <x v="0"/>
  </r>
  <r>
    <d v="2022-02-14T00:00:00"/>
    <s v="TIR1258"/>
    <x v="3"/>
    <m/>
    <n v="620"/>
    <s v="IOS196:Loss of at least 1 PEI in a class"/>
    <x v="1"/>
    <x v="0"/>
    <s v="Checked PEIs all online and no ios report"/>
    <x v="1"/>
  </r>
  <r>
    <d v="2022-02-14T00:00:00"/>
    <s v="TIR1259"/>
    <x v="3"/>
    <m/>
    <n v="413"/>
    <s v="IOS196:Loss of at least 1 PEI in a class"/>
    <x v="1"/>
    <x v="5"/>
    <m/>
    <x v="1"/>
  </r>
  <r>
    <d v="2022-02-10T00:00:00"/>
    <s v="TIR1260"/>
    <x v="0"/>
    <m/>
    <n v="406"/>
    <s v="SWD-6 HC2 not working"/>
    <x v="1"/>
    <x v="0"/>
    <m/>
    <x v="1"/>
  </r>
  <r>
    <d v="2022-02-10T00:00:00"/>
    <s v="TIR1261"/>
    <x v="0"/>
    <m/>
    <n v="413"/>
    <s v="led2-v2,lcd2-v2,swd2-v2  showing offline in ip scanner"/>
    <x v="1"/>
    <x v="0"/>
    <m/>
    <x v="1"/>
  </r>
  <r>
    <d v="2022-02-10T00:00:00"/>
    <s v="TIR1262"/>
    <x v="0"/>
    <m/>
    <n v="601"/>
    <s v="IOS196 : Loss of at least 1 PEI in a class"/>
    <x v="1"/>
    <x v="0"/>
    <s v="Checked PEIs all online and no ios report"/>
    <x v="1"/>
  </r>
  <r>
    <d v="2022-02-10T00:00:00"/>
    <s v="TIR1263"/>
    <x v="0"/>
    <m/>
    <n v="616"/>
    <s v="HC2 AXLE4 gearbox oil level is low"/>
    <x v="1"/>
    <x v="3"/>
    <s v="Need to normalize the oil level"/>
    <x v="3"/>
  </r>
  <r>
    <d v="2022-02-10T00:00:00"/>
    <s v="TIR1264"/>
    <x v="0"/>
    <m/>
    <n v="505"/>
    <s v="Gangway internal Panel has minor scratch"/>
    <x v="1"/>
    <x v="1"/>
    <m/>
    <x v="2"/>
  </r>
  <r>
    <d v="2022-02-10T00:00:00"/>
    <s v="TIR1265"/>
    <x v="0"/>
    <m/>
    <n v="510"/>
    <s v="HC1-HVAC2 LP2  Gas level Low"/>
    <x v="1"/>
    <x v="1"/>
    <m/>
    <x v="2"/>
  </r>
  <r>
    <d v="2022-02-14T00:00:00"/>
    <s v="TIR1266"/>
    <x v="3"/>
    <m/>
    <n v="424"/>
    <s v="EB Derailment"/>
    <x v="1"/>
    <x v="4"/>
    <s v="No issue found"/>
    <x v="1"/>
  </r>
  <r>
    <d v="2022-02-14T00:00:00"/>
    <s v="TIR1267"/>
    <x v="3"/>
    <m/>
    <n v="422"/>
    <s v="IOS179: 1 APC MV Status false,_x000a_IOS185: 1 APC LV Status false."/>
    <x v="1"/>
    <x v="4"/>
    <s v="New CVS Sw will solve the issue "/>
    <x v="1"/>
  </r>
  <r>
    <d v="2022-02-14T00:00:00"/>
    <s v="TIR1268"/>
    <x v="3"/>
    <m/>
    <n v="601"/>
    <s v="IOS196:Loss of at least 1 PEI in a class"/>
    <x v="1"/>
    <x v="5"/>
    <s v="Checked PEIs all online and no ios report"/>
    <x v="1"/>
  </r>
  <r>
    <d v="2022-02-14T00:00:00"/>
    <s v="TIR1269"/>
    <x v="3"/>
    <m/>
    <n v="607"/>
    <s v="IOS196:Loss of at least 1 PEI in a class"/>
    <x v="1"/>
    <x v="5"/>
    <s v="checked it online and display ok"/>
    <x v="1"/>
  </r>
  <r>
    <d v="2022-02-11T00:00:00"/>
    <s v="TIR1270"/>
    <x v="0"/>
    <s v="PM2352"/>
    <n v="607"/>
    <s v="led2-v2,lcd2-v2,swd2-v2- IP Offline"/>
    <x v="1"/>
    <x v="0"/>
    <s v="checked it online and display ok"/>
    <x v="1"/>
  </r>
  <r>
    <d v="2022-02-11T00:00:00"/>
    <s v="TIR1271"/>
    <x v="0"/>
    <s v="PM2353"/>
    <n v="619"/>
    <s v="HC2 HVAC1 &quot;EXHAUST AIR FAN LOW &quot; and &quot;exhaust air fan high&quot; failed in TEST PROTOCOL procedures and error codes are DF1005,DF1006 "/>
    <x v="1"/>
    <x v="1"/>
    <m/>
    <x v="2"/>
  </r>
  <r>
    <d v="2022-02-11T00:00:00"/>
    <s v="TIR1272"/>
    <x v="0"/>
    <s v="PM2357"/>
    <n v="409"/>
    <s v="Found one scratch in SWD-4 front cover HC2"/>
    <x v="1"/>
    <x v="0"/>
    <s v="To replace SWD"/>
    <x v="3"/>
  </r>
  <r>
    <d v="2022-02-11T00:00:00"/>
    <s v="TIR1273"/>
    <x v="0"/>
    <s v="PM2359"/>
    <n v="623"/>
    <s v="HC1 IES stinger connector cover is broken"/>
    <x v="1"/>
    <x v="1"/>
    <m/>
    <x v="3"/>
  </r>
  <r>
    <d v="2022-02-11T00:00:00"/>
    <s v="TIR1274"/>
    <x v="0"/>
    <s v="PM2359"/>
    <n v="623"/>
    <s v="HC1 ACE rubber gasket is damaged around the AGATE compartment"/>
    <x v="1"/>
    <x v="1"/>
    <m/>
    <x v="2"/>
  </r>
  <r>
    <d v="2022-02-11T00:00:00"/>
    <s v="TIR1275"/>
    <x v="0"/>
    <s v="PM2361"/>
    <n v="501"/>
    <s v="HC2-Bogie2 Right side odometer cable metal plate clamp missing"/>
    <x v="1"/>
    <x v="2"/>
    <s v="By part catalog, no metal clamp needed."/>
    <x v="1"/>
  </r>
  <r>
    <d v="2022-02-11T00:00:00"/>
    <s v="TIR1276"/>
    <x v="0"/>
    <s v="PM2361"/>
    <n v="501"/>
    <s v="HC2-HSCB not closed after restart then closed"/>
    <x v="1"/>
    <x v="2"/>
    <s v="Logs download and no major issues observed."/>
    <x v="1"/>
  </r>
  <r>
    <d v="2022-02-11T00:00:00"/>
    <s v="TIR1277"/>
    <x v="0"/>
    <s v="PM2362"/>
    <n v="506"/>
    <s v="Interglass door function  - not open/close fully"/>
    <x v="1"/>
    <x v="1"/>
    <m/>
    <x v="2"/>
  </r>
  <r>
    <d v="2022-02-11T00:00:00"/>
    <s v="TIR1278"/>
    <x v="0"/>
    <s v="PM2361"/>
    <n v="501"/>
    <s v="HC1_Door no.4 4 have an  issue getting closed instandly without delay"/>
    <x v="1"/>
    <x v="2"/>
    <s v="50 seconds delay time not applied"/>
    <x v="0"/>
  </r>
  <r>
    <d v="2022-02-13T00:00:00"/>
    <s v="TIR1279"/>
    <x v="5"/>
    <s v="NA"/>
    <n v="626"/>
    <s v="AGTU HC2  retrofit pending"/>
    <x v="1"/>
    <x v="1"/>
    <m/>
    <x v="3"/>
  </r>
  <r>
    <d v="2022-02-13T00:00:00"/>
    <s v="TIR1280"/>
    <x v="5"/>
    <s v="NA"/>
    <n v="514"/>
    <s v="AGTU HC2  retrofit pending"/>
    <x v="1"/>
    <x v="1"/>
    <m/>
    <x v="3"/>
  </r>
  <r>
    <d v="2022-02-14T00:00:00"/>
    <s v="TIR1281"/>
    <x v="0"/>
    <s v="PM2369"/>
    <n v="401"/>
    <s v="gear oil levels are low in HC1 Axle1,axle2,axle3"/>
    <x v="1"/>
    <x v="3"/>
    <m/>
    <x v="4"/>
  </r>
  <r>
    <d v="2022-02-14T00:00:00"/>
    <s v="TIR1282"/>
    <x v="0"/>
    <s v="PM2370"/>
    <n v="411"/>
    <s v=" HC2, PCE-underframe cover one screw need re-tap"/>
    <x v="1"/>
    <x v="2"/>
    <s v="Need inserted tool for fix new inserted."/>
    <x v="3"/>
  </r>
  <r>
    <d v="2022-02-14T00:00:00"/>
    <s v="TIR1283"/>
    <x v="0"/>
    <s v="PM2371"/>
    <n v="412"/>
    <s v=" HC2, CVS earth cable lose"/>
    <x v="1"/>
    <x v="2"/>
    <m/>
    <x v="2"/>
  </r>
  <r>
    <d v="2022-02-14T00:00:00"/>
    <s v="TIR1284"/>
    <x v="0"/>
    <s v="PM2372"/>
    <n v="603"/>
    <s v="IOS267 : At least one software version discordancy fault"/>
    <x v="1"/>
    <x v="5"/>
    <m/>
    <x v="1"/>
  </r>
  <r>
    <d v="2022-02-14T00:00:00"/>
    <s v="TIR1285"/>
    <x v="0"/>
    <s v="PM2373"/>
    <n v="608"/>
    <s v="HC2, PCE-Underframe cover - need retap"/>
    <x v="1"/>
    <x v="2"/>
    <m/>
    <x v="3"/>
  </r>
  <r>
    <d v="2022-02-14T00:00:00"/>
    <s v="TIR1286"/>
    <x v="0"/>
    <s v="PM2374"/>
    <n v="514"/>
    <s v="HC1-lcd3 offline; HC1-Lcd.3 BLANK,HC2 Lcd3 Dim"/>
    <x v="1"/>
    <x v="5"/>
    <m/>
    <x v="2"/>
  </r>
  <r>
    <d v="2022-02-14T00:00:00"/>
    <s v="TIR1287"/>
    <x v="0"/>
    <s v="PM2375"/>
    <n v="516"/>
    <s v="HC2-left side derailment sensor's cable support clamp found  bended,cable has  stressed ( Refer Pic)             "/>
    <x v="1"/>
    <x v="3"/>
    <m/>
    <x v="2"/>
  </r>
  <r>
    <d v="2022-02-14T00:00:00"/>
    <s v="TIR1288"/>
    <x v="0"/>
    <s v="PM2375"/>
    <n v="516"/>
    <s v="HC2-SWD 3 offline;HC2 -SWD.3 Half blank,half error message"/>
    <x v="1"/>
    <x v="5"/>
    <m/>
    <x v="2"/>
  </r>
  <r>
    <d v="2022-02-14T00:00:00"/>
    <s v="TIR1289"/>
    <x v="0"/>
    <s v="PM2375"/>
    <n v="516"/>
    <s v="HC1-Door 2 getting closed immediately when compare other doors"/>
    <x v="1"/>
    <x v="2"/>
    <m/>
    <x v="2"/>
  </r>
  <r>
    <d v="2022-02-15T00:00:00"/>
    <s v="TIR1290"/>
    <x v="0"/>
    <s v="NA"/>
    <n v="607"/>
    <s v="Momvement on torque marking bolt connection for automatic coupler assembly"/>
    <x v="1"/>
    <x v="1"/>
    <m/>
    <x v="2"/>
  </r>
  <r>
    <d v="2022-02-15T00:00:00"/>
    <s v="TIR1291"/>
    <x v="3"/>
    <s v="NA"/>
    <n v="605"/>
    <s v="Accident"/>
    <x v="3"/>
    <x v="1"/>
    <s v="13/3 : all damaged part already replaced and NRT still pending._x000a_20/03 NRT done on test track by Ahmad"/>
    <x v="0"/>
  </r>
  <r>
    <d v="2022-02-15T00:00:00"/>
    <s v="TIR1292"/>
    <x v="0"/>
    <s v="PM2378"/>
    <n v="605"/>
    <s v="IOS180 : 1 APC Major failure"/>
    <x v="1"/>
    <x v="2"/>
    <s v="Checekd aafter CM repair all damaged part and cables. No issue observed."/>
    <x v="1"/>
  </r>
  <r>
    <d v="2022-02-15T00:00:00"/>
    <s v="TIR1293"/>
    <x v="0"/>
    <s v="PM2381"/>
    <n v="502"/>
    <s v="HC1-Ledi.6;HC2-Ledi3,Lcd3,Swd3  offline [HC1-Ledi.6-software not up-to-date ,HC2 -Ledi3 Error message] "/>
    <x v="1"/>
    <x v="0"/>
    <m/>
    <x v="2"/>
  </r>
  <r>
    <d v="2022-02-15T00:00:00"/>
    <s v="TIR1294"/>
    <x v="0"/>
    <s v="PM2382"/>
    <n v="512"/>
    <s v="HC1-Ledi.6;HC2-Ledi3,Lcd3,Swd3  offline [HC1-Ledi.6-software not up-to-date ,HC2 -Ledi3 Error message] "/>
    <x v="1"/>
    <x v="0"/>
    <m/>
    <x v="2"/>
  </r>
  <r>
    <d v="2022-02-16T00:00:00"/>
    <s v="TIR1295"/>
    <x v="3"/>
    <s v="NA"/>
    <n v="501"/>
    <s v="Train is not moving with Cab1 active"/>
    <x v="3"/>
    <x v="2"/>
    <s v="Found connector inside GCL and GCR for ATC rack loosen._x000a_20/02/2022 issue still present_x000a_21/02/2022 : issue resovled now ok. No issue found with traction, issue coming from the FWD input not receiving at tcms level. Apres checking foung the connector XR01 RP3 was loose. "/>
    <x v="0"/>
  </r>
  <r>
    <d v="2022-02-16T00:00:00"/>
    <s v="TIR1296"/>
    <x v="4"/>
    <s v="NA"/>
    <n v="409"/>
    <s v="Dirty on the external paint - glue from cocoon"/>
    <x v="1"/>
    <x v="1"/>
    <m/>
    <x v="0"/>
  </r>
  <r>
    <d v="2022-02-16T00:00:00"/>
    <s v="TIR1297"/>
    <x v="2"/>
    <s v="NA"/>
    <n v="612"/>
    <s v="Loss of LED6V1. Needs to be replaced"/>
    <x v="1"/>
    <x v="5"/>
    <m/>
    <x v="1"/>
  </r>
  <r>
    <d v="2022-02-16T00:00:00"/>
    <s v="TIR1298"/>
    <x v="0"/>
    <s v="PM2384"/>
    <n v="601"/>
    <s v="IP scanner: HVAC1-v1- Offline ; HVAC 1 not communicating"/>
    <x v="2"/>
    <x v="1"/>
    <s v="all HVAC are online"/>
    <x v="1"/>
  </r>
  <r>
    <d v="2022-02-16T00:00:00"/>
    <s v="TIR1299"/>
    <x v="0"/>
    <s v="PM2387"/>
    <n v="617"/>
    <s v="IP scanner: Hc1 Dcu1,3,4&amp;5 - Offline; IOS68 : Zero velocity fault detected by doors"/>
    <x v="1"/>
    <x v="2"/>
    <s v="24/02 : all doors are online. Checked and no issue observed"/>
    <x v="1"/>
  </r>
  <r>
    <d v="2022-02-16T00:00:00"/>
    <s v="TIR1300"/>
    <x v="0"/>
    <s v="PM2387"/>
    <n v="617"/>
    <s v="IOS14 : Service brake applied loop in default indication"/>
    <x v="3"/>
    <x v="3"/>
    <s v="02/24 : F032 : parking brake fault to open seen in BCE1 logs. trace armed and under monitoring"/>
    <x v="1"/>
  </r>
  <r>
    <d v="2022-02-16T00:00:00"/>
    <s v="TIR1301"/>
    <x v="0"/>
    <s v="PM2387"/>
    <n v="617"/>
    <s v="HVAC1-HC1 not communicating in mona for test protocol"/>
    <x v="1"/>
    <x v="1"/>
    <s v="no issue found in test mode connection"/>
    <x v="1"/>
  </r>
  <r>
    <d v="2022-02-16T00:00:00"/>
    <s v="TIR1302"/>
    <x v="0"/>
    <s v="PM2388"/>
    <n v="624"/>
    <s v="IP Scanner: Swd6-V1 &amp; Swd1-V2- Offline"/>
    <x v="1"/>
    <x v="0"/>
    <m/>
    <x v="1"/>
  </r>
  <r>
    <d v="2022-02-16T00:00:00"/>
    <s v="TIR1303"/>
    <x v="0"/>
    <s v="PM2388"/>
    <n v="624"/>
    <s v="HVAC1-HC1 not communicating in mona for test protocol"/>
    <x v="1"/>
    <x v="1"/>
    <m/>
    <x v="1"/>
  </r>
  <r>
    <d v="2022-02-16T00:00:00"/>
    <s v="TIR1304"/>
    <x v="0"/>
    <s v="PM2389"/>
    <n v="503"/>
    <s v="IP Offline: HC1- All Ledi-V1; HC2- All Ledi-V1, Lcd5-V2                                         _x000a_           PAPIS Display Visual Status: HC1 &amp; HC2- All Ledi Error Message; HC2-Lcd 2 &amp; 5 Blank                                                                                                                                             IOS199 : Loss of all interior LCD compact displays in the same platform"/>
    <x v="1"/>
    <x v="0"/>
    <m/>
    <x v="2"/>
  </r>
  <r>
    <d v="2022-02-16T00:00:00"/>
    <s v="TIR1305"/>
    <x v="0"/>
    <s v="PM2389"/>
    <n v="503"/>
    <s v="Partition Door not closing fully"/>
    <x v="1"/>
    <x v="1"/>
    <m/>
    <x v="2"/>
  </r>
  <r>
    <d v="2022-02-16T00:00:00"/>
    <s v="TIR1306"/>
    <x v="0"/>
    <s v="PM2390"/>
    <n v="503"/>
    <s v="IP Offline: HC1- All Ledi-V1; HC2- All Ledi-V1, Lcd5-V2                                                    PAPIS Display Visual Status:   HC1:LCD2,LEDI3-Nok; SWD3 Half display with error message; SWD5 Half display      HC2:LEDI2 Nok SW Not Up-To-Date-                                          "/>
    <x v="1"/>
    <x v="0"/>
    <m/>
    <x v="2"/>
  </r>
  <r>
    <d v="2022-02-16T00:00:00"/>
    <s v="TIR1307"/>
    <x v="0"/>
    <s v="PM2390"/>
    <n v="503"/>
    <s v="HC1-HVAC1 Compressor1,2,3 are Noisy"/>
    <x v="1"/>
    <x v="1"/>
    <m/>
    <x v="2"/>
  </r>
  <r>
    <d v="2022-02-17T00:00:00"/>
    <s v="TIR1308"/>
    <x v="0"/>
    <s v="PM2390"/>
    <n v="503"/>
    <s v="Partition Door not closing fully"/>
    <x v="1"/>
    <x v="1"/>
    <m/>
    <x v="2"/>
  </r>
  <r>
    <d v="2022-02-17T00:00:00"/>
    <s v="TIR1309"/>
    <x v="2"/>
    <m/>
    <n v="515"/>
    <s v="TCCU hc2  offline "/>
    <x v="1"/>
    <x v="4"/>
    <s v="Reprogram the firmware &amp; update the software 570 by Nayas"/>
    <x v="0"/>
  </r>
  <r>
    <d v="2022-02-17T00:00:00"/>
    <s v="TIR1310"/>
    <x v="3"/>
    <m/>
    <n v="412"/>
    <s v="IOS196:Loss of at least 1 PEI in a class"/>
    <x v="1"/>
    <x v="5"/>
    <s v="checked it online and display ok"/>
    <x v="1"/>
  </r>
  <r>
    <d v="2022-02-18T00:00:00"/>
    <s v="TIR1311"/>
    <x v="3"/>
    <m/>
    <n v="420"/>
    <s v="HC1 front skirt scratched"/>
    <x v="1"/>
    <x v="1"/>
    <s v="13/3 : all damaged part already replaced and NRT still pending."/>
    <x v="3"/>
  </r>
  <r>
    <d v="2022-02-17T00:00:00"/>
    <s v="TIR1312"/>
    <x v="0"/>
    <m/>
    <n v="612"/>
    <s v="SWD6-V1 half display,ledi6-v1 error and offline"/>
    <x v="1"/>
    <x v="0"/>
    <m/>
    <x v="1"/>
  </r>
  <r>
    <d v="2022-02-17T00:00:00"/>
    <s v="TIR1313"/>
    <x v="0"/>
    <m/>
    <n v="423"/>
    <s v="SWD6-V2;LCD6-V2;LEDI6-V2 offline"/>
    <x v="1"/>
    <x v="0"/>
    <m/>
    <x v="1"/>
  </r>
  <r>
    <d v="2022-02-17T00:00:00"/>
    <s v="TIR1314"/>
    <x v="0"/>
    <s v="PM2397"/>
    <n v="517"/>
    <s v="IP scanner : MPU2 Offline, TCN: MPU2 Offline                                              _x000a_            IOS242 : One MPU have a communication fault"/>
    <x v="2"/>
    <x v="2"/>
    <s v="01/03 : Need to change the CRS5 V2. delay to power on and as effect it will generate the IOS242. new crs installed and test ok. Crs took from 605 because no more spare available "/>
    <x v="0"/>
  </r>
  <r>
    <d v="2022-02-17T00:00:00"/>
    <s v="TIR1315"/>
    <x v="0"/>
    <s v="PM2397"/>
    <n v="517"/>
    <s v="IOS243 : One TRS Or NETBOX have a communication fault"/>
    <x v="1"/>
    <x v="2"/>
    <m/>
    <x v="0"/>
  </r>
  <r>
    <d v="2022-02-17T00:00:00"/>
    <s v="TIR1316"/>
    <x v="0"/>
    <s v="PM2397"/>
    <n v="517"/>
    <s v="HVAC1-V1  gas level Low pressure 1 &amp; 2"/>
    <x v="1"/>
    <x v="1"/>
    <m/>
    <x v="2"/>
  </r>
  <r>
    <d v="2022-02-17T00:00:00"/>
    <s v="TIR1317"/>
    <x v="0"/>
    <s v="PM2398"/>
    <n v="518"/>
    <s v="IP Offline: Dcu1-v1, papis-pa1, dcu2-v2, pei5-v2, ledi 3&amp;5-v2, lcd 3&amp;5-v2, swd 3&amp;5-v2 - offline;  IOS262 : More than one DCU have a communication fault; IOS196 : Loss of at least 1 PEI in a class"/>
    <x v="1"/>
    <x v="0"/>
    <m/>
    <x v="2"/>
  </r>
  <r>
    <d v="2022-02-17T00:00:00"/>
    <s v="TIR1318"/>
    <x v="0"/>
    <s v="PM2398"/>
    <n v="518"/>
    <s v="HC1-HVAC1 Compressor1,2,3&amp;4 are Noisy."/>
    <x v="1"/>
    <x v="1"/>
    <m/>
    <x v="2"/>
  </r>
  <r>
    <d v="2022-02-20T00:00:00"/>
    <s v="TIR1319"/>
    <x v="2"/>
    <s v="NA"/>
    <n v="501"/>
    <s v="HC2_not able to sleep"/>
    <x v="1"/>
    <x v="3"/>
    <s v="20/02 : We found that the cable WF00062 was connected to the PIN 73 of the connector XR03+CCC instead of connector XR02+CCC"/>
    <x v="0"/>
  </r>
  <r>
    <d v="2022-02-20T00:00:00"/>
    <s v="TIR1320"/>
    <x v="3"/>
    <m/>
    <n v="518"/>
    <s v="Long Docking happened a lots"/>
    <x v="3"/>
    <x v="3"/>
    <m/>
    <x v="2"/>
  </r>
  <r>
    <d v="2022-02-20T00:00:00"/>
    <s v="TIR1321"/>
    <x v="3"/>
    <m/>
    <n v="503"/>
    <s v="IOS199+ IOS196"/>
    <x v="1"/>
    <x v="0"/>
    <m/>
    <x v="2"/>
  </r>
  <r>
    <d v="2022-02-20T00:00:00"/>
    <s v="TIR1322"/>
    <x v="3"/>
    <m/>
    <n v="517"/>
    <s v="IOS243 : One TRS Or NETBOX have a communication fault."/>
    <x v="1"/>
    <x v="2"/>
    <s v="Same  TIR1315 =&gt; Same CMN"/>
    <x v="0"/>
  </r>
  <r>
    <d v="2022-02-20T00:00:00"/>
    <s v="TIR1323"/>
    <x v="3"/>
    <m/>
    <n v="514"/>
    <s v="IOS126 appeared &amp; disappeared after “maybe because of the dust inside the tunnel”,  IOS126 : External smoke is detected."/>
    <x v="1"/>
    <x v="1"/>
    <m/>
    <x v="2"/>
  </r>
  <r>
    <d v="2022-02-20T00:00:00"/>
    <s v="TIR1324"/>
    <x v="3"/>
    <m/>
    <n v="516"/>
    <s v="IOS64 : Door RELEASE control fault train indication"/>
    <x v="1"/>
    <x v="3"/>
    <m/>
    <x v="2"/>
  </r>
  <r>
    <d v="2022-02-20T00:00:00"/>
    <s v="TIR1325"/>
    <x v="3"/>
    <m/>
    <n v="518"/>
    <s v="IOS196: Loss of at least 1 PEI in a class"/>
    <x v="1"/>
    <x v="0"/>
    <m/>
    <x v="2"/>
  </r>
  <r>
    <d v="2022-02-20T00:00:00"/>
    <s v="TIR1326"/>
    <x v="3"/>
    <m/>
    <n v="518"/>
    <s v="Under Frame noise, as per our team they suspect flat wheel."/>
    <x v="3"/>
    <x v="3"/>
    <m/>
    <x v="2"/>
  </r>
  <r>
    <d v="2022-02-20T00:00:00"/>
    <s v="TIR1327"/>
    <x v="3"/>
    <m/>
    <n v="518"/>
    <s v="IOS64 : Door RELEASE control fault train indication"/>
    <x v="1"/>
    <x v="3"/>
    <m/>
    <x v="2"/>
  </r>
  <r>
    <d v="2022-02-21T00:00:00"/>
    <s v="TIR1328"/>
    <x v="3"/>
    <s v="PM2404"/>
    <n v="504"/>
    <s v="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
    <x v="1"/>
    <x v="0"/>
    <m/>
    <x v="2"/>
  </r>
  <r>
    <d v="2022-02-21T00:00:00"/>
    <s v="TIR1329"/>
    <x v="3"/>
    <s v="PM2404"/>
    <n v="504"/>
    <s v="wheel flat on HC2 Bogie 2- Right side Axle 3- Needs to be checked( Refer Pic)"/>
    <x v="2"/>
    <x v="3"/>
    <m/>
    <x v="2"/>
  </r>
  <r>
    <d v="2022-02-21T00:00:00"/>
    <s v="TIR1330"/>
    <x v="3"/>
    <s v="PM"/>
    <n v="507"/>
    <s v="IP scanner : HC1-swd4; Hc2-Ledi3,Lcd3,Pei3,swd3- Offline;                      _x000a_  PAPIS Display Visual Status : SWD3-V1 half blank, SWD4-V1 black                                                            _x000a_IOS196 : Loss of at least 1 PEI in a class"/>
    <x v="1"/>
    <x v="0"/>
    <m/>
    <x v="2"/>
  </r>
  <r>
    <d v="2022-02-21T00:00:00"/>
    <s v="TIR1331"/>
    <x v="3"/>
    <s v="PM"/>
    <n v="507"/>
    <s v="Hc2 Sleep button Not working"/>
    <x v="1"/>
    <x v="3"/>
    <s v="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
    <x v="1"/>
  </r>
  <r>
    <d v="2022-02-21T00:00:00"/>
    <s v="TIR1332"/>
    <x v="0"/>
    <s v="PM2408"/>
    <n v="424"/>
    <s v="HC1-DCU5 offline ;  DCU failed in auto test"/>
    <x v="2"/>
    <x v="1"/>
    <s v="all door was online and working fine"/>
    <x v="1"/>
  </r>
  <r>
    <d v="2022-02-23T00:00:00"/>
    <s v="TIR1333"/>
    <x v="0"/>
    <s v="NA"/>
    <n v="625"/>
    <s v="TCCU2 no communication with ISM "/>
    <x v="1"/>
    <x v="0"/>
    <s v="Replaced a new TCCU and test ok"/>
    <x v="0"/>
  </r>
  <r>
    <d v="2022-02-23T00:00:00"/>
    <s v="TIR1334"/>
    <x v="0"/>
    <s v="PM2410"/>
    <n v="613"/>
    <s v="HC1 AXLE 3 gear oil level is low"/>
    <x v="1"/>
    <x v="3"/>
    <m/>
    <x v="4"/>
  </r>
  <r>
    <d v="2022-02-23T00:00:00"/>
    <s v="TIR1335"/>
    <x v="0"/>
    <s v="PM2410"/>
    <n v="613"/>
    <s v="Both Gangway door panels are Not available"/>
    <x v="1"/>
    <x v="1"/>
    <m/>
    <x v="4"/>
  </r>
  <r>
    <d v="2022-02-23T00:00:00"/>
    <s v="TIR1336"/>
    <x v="0"/>
    <s v="PM2410"/>
    <n v="613"/>
    <s v="HC1 CVS gasket (surrounding the AGATE panel )came out condition"/>
    <x v="1"/>
    <x v="2"/>
    <m/>
    <x v="2"/>
  </r>
  <r>
    <d v="2022-02-23T00:00:00"/>
    <s v="TIR1337"/>
    <x v="0"/>
    <s v="PM2412"/>
    <n v="626"/>
    <s v="HC1 SWD2 half of the display is in blue colour and the other half is working normal"/>
    <x v="1"/>
    <x v="0"/>
    <m/>
    <x v="1"/>
  </r>
  <r>
    <d v="2022-02-23T00:00:00"/>
    <s v="TIR1338"/>
    <x v="0"/>
    <s v="PM2407"/>
    <n v="420"/>
    <s v="HC1 AXLE 3 gear oil level is low"/>
    <x v="1"/>
    <x v="3"/>
    <s v="checked and Oil ok now "/>
    <x v="1"/>
  </r>
  <r>
    <d v="2022-02-23T00:00:00"/>
    <s v="TIR1339"/>
    <x v="0"/>
    <s v="PM2413"/>
    <n v="508"/>
    <s v="IP scanner : HC1-ledi4 &amp; 5; Swd2 &amp; 6; lcd6                                                        _x000a_PAPIS Display Visual Status : HC1-swd.2-Half error message &amp;half blank; Ledi4 black                                                                                                              IOS199 : Loss of all interior LCD compact displays in the same platform "/>
    <x v="1"/>
    <x v="0"/>
    <m/>
    <x v="2"/>
  </r>
  <r>
    <d v="2022-02-23T00:00:00"/>
    <s v="TIR1340"/>
    <x v="8"/>
    <m/>
    <m/>
    <s v="PM"/>
    <x v="0"/>
    <x v="6"/>
    <m/>
    <x v="5"/>
  </r>
  <r>
    <d v="2022-02-23T00:00:00"/>
    <s v="TIR1341"/>
    <x v="0"/>
    <s v="NA"/>
    <n v="651"/>
    <s v=". Found also wire (41K05_XR_01/A3) damaged short with body."/>
    <x v="1"/>
    <x v="1"/>
    <m/>
    <x v="2"/>
  </r>
  <r>
    <d v="2022-02-23T00:00:00"/>
    <s v="TIR1342"/>
    <x v="5"/>
    <s v="PM2415"/>
    <n v="406"/>
    <s v="HC1 lube sticks required are 14 nos _x000a_HC2 lube sticks required are 11 nos (total 25 nos of sticks are needed for this train)"/>
    <x v="1"/>
    <x v="6"/>
    <m/>
    <x v="2"/>
  </r>
  <r>
    <d v="2022-02-23T00:00:00"/>
    <s v="TIR1343"/>
    <x v="8"/>
    <s v="PM2416"/>
    <n v="410"/>
    <s v="HC2, BOGIE-1, Right side, CCD HV cable no clamp for return line"/>
    <x v="1"/>
    <x v="6"/>
    <m/>
    <x v="2"/>
  </r>
  <r>
    <d v="2022-02-23T00:00:00"/>
    <s v="TIR1344"/>
    <x v="8"/>
    <s v="PM2417"/>
    <n v="410"/>
    <s v="HC1 lube sticks required are 14 nos _x000a_HC2 lube sticks required are 14 nos (total 28 nos of sticks are needed for this train)"/>
    <x v="1"/>
    <x v="6"/>
    <m/>
    <x v="2"/>
  </r>
  <r>
    <d v="2022-02-23T00:00:00"/>
    <s v="TIR1345"/>
    <x v="0"/>
    <s v="PM2418"/>
    <n v="413"/>
    <s v="HC1 lube sticks required are 4 nos _x000a_HC2 lube sticks required are 4 nos (total 8 nos of sticks are needed for this train)"/>
    <x v="1"/>
    <x v="2"/>
    <m/>
    <x v="3"/>
  </r>
  <r>
    <d v="2022-02-23T00:00:00"/>
    <s v="TIR1346"/>
    <x v="8"/>
    <s v="PM2419"/>
    <n v="414"/>
    <s v="HC2 PCE filter cover needs retapping for bolt"/>
    <x v="1"/>
    <x v="6"/>
    <m/>
    <x v="2"/>
  </r>
  <r>
    <d v="2022-02-23T00:00:00"/>
    <s v="TIR1347"/>
    <x v="8"/>
    <s v="PM2420"/>
    <n v="414"/>
    <s v="HC1 lube sticks required are 8 nos _x000a_HC2 lube sticks required are 9 nos (total 17 nos of sticks are needed for this train)"/>
    <x v="1"/>
    <x v="6"/>
    <m/>
    <x v="2"/>
  </r>
  <r>
    <d v="2022-02-23T00:00:00"/>
    <s v="TIR1348"/>
    <x v="8"/>
    <s v="PM2421"/>
    <n v="421"/>
    <s v="HC1 lube sticks required are 16 nos _x000a_HC2 lube sticks required are 16 nos (total 32 nos of sticks are needed for this train)"/>
    <x v="1"/>
    <x v="2"/>
    <m/>
    <x v="3"/>
  </r>
  <r>
    <d v="2022-02-23T00:00:00"/>
    <s v="TIR1349"/>
    <x v="8"/>
    <s v="PM2422"/>
    <n v="616"/>
    <s v="HC1 AXLE 3 gear box oil level is low"/>
    <x v="1"/>
    <x v="3"/>
    <s v="Oil level ok"/>
    <x v="1"/>
  </r>
  <r>
    <d v="2022-02-23T00:00:00"/>
    <s v="TIR1350"/>
    <x v="8"/>
    <s v="PM2423"/>
    <n v="616"/>
    <s v="HC1 lube sticks required are 13 nos _x000a_HC2 lube sticks required are 11 nos (total 24 nos of sticks are needed for this train)"/>
    <x v="1"/>
    <x v="6"/>
    <m/>
    <x v="2"/>
  </r>
  <r>
    <d v="2022-02-23T00:00:00"/>
    <s v="TIR1351"/>
    <x v="8"/>
    <s v="PM2424"/>
    <n v="505"/>
    <s v="Partition door takes too long to open"/>
    <x v="1"/>
    <x v="6"/>
    <m/>
    <x v="2"/>
  </r>
  <r>
    <d v="2022-02-23T00:00:00"/>
    <s v="TIR1352"/>
    <x v="8"/>
    <s v="PM2425"/>
    <n v="510"/>
    <s v="Gangway internal Panel has minor scratch( Refer PIC)"/>
    <x v="1"/>
    <x v="1"/>
    <m/>
    <x v="3"/>
  </r>
  <r>
    <d v="2022-02-24T00:00:00"/>
    <s v="TIR1353"/>
    <x v="0"/>
    <s v="Mail"/>
    <n v="605"/>
    <s v="Issue Detected in Train 605A &amp; 605B: Missing/ Damage External Safety labels for Battery Box (see photo attached)"/>
    <x v="1"/>
    <x v="3"/>
    <m/>
    <x v="3"/>
  </r>
  <r>
    <d v="2022-02-24T00:00:00"/>
    <s v="TIR1354"/>
    <x v="8"/>
    <m/>
    <n v="409"/>
    <s v="Issue Detected in Train 409 &amp; 601: Bolt class requirement FOR AUTOMATIC COUPLER CLASS A4-80 DOES NOT MATCH with the actual installed bolts of CLASS A4-70.  (see photo attached)"/>
    <x v="1"/>
    <x v="6"/>
    <m/>
    <x v="2"/>
  </r>
  <r>
    <d v="2022-02-24T00:00:00"/>
    <s v="TIR1355"/>
    <x v="8"/>
    <m/>
    <n v="601"/>
    <s v="Issue Detected in Train 409 &amp; 601: Bolt class requirement FOR AUTOMATIC COUPLER CLASS A4-80 DOES NOT MATCH with the actual installed bolts of CLASS A4-70.  (see photo attached)"/>
    <x v="1"/>
    <x v="2"/>
    <s v="Bolt were installed for earthing cable."/>
    <x v="1"/>
  </r>
  <r>
    <d v="2022-02-24T00:00:00"/>
    <s v="TIR1356"/>
    <x v="5"/>
    <s v="Mail"/>
    <n v="406"/>
    <s v="Issue Detected in Train 406: Automatic Coupler assembly bolt connection was having signs of movement on torque markings @ Train 406B.  (see photo attached)"/>
    <x v="1"/>
    <x v="6"/>
    <m/>
    <x v="2"/>
  </r>
  <r>
    <d v="2022-02-24T00:00:00"/>
    <s v="TIR1357"/>
    <x v="5"/>
    <s v="Mail"/>
    <n v="607"/>
    <s v="Issue Detected in Train 607: Automatic Coupler assembly bolt connection was having signs of movement on torque markings @ Train 607B.  (see photo attached)"/>
    <x v="1"/>
    <x v="6"/>
    <m/>
    <x v="2"/>
  </r>
  <r>
    <d v="2022-02-24T00:00:00"/>
    <s v="TIR1358"/>
    <x v="5"/>
    <s v="Mail"/>
    <n v="406"/>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59"/>
    <x v="5"/>
    <s v="Mail"/>
    <n v="614"/>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60"/>
    <x v="5"/>
    <s v="Mail"/>
    <n v="611"/>
    <s v="Issue Detected in Train 611: Torque marking were no longer visible (fully covered with dust/dirt) to serve its purpose for easy identification for any loose bolt connection @ Train 611B Bogie 2. "/>
    <x v="1"/>
    <x v="6"/>
    <m/>
    <x v="2"/>
  </r>
  <r>
    <d v="2022-02-24T00:00:00"/>
    <s v="TIR1361"/>
    <x v="5"/>
    <s v="Mail"/>
    <n v="402"/>
    <s v="Issue Detected in Train 402: Obvious signs of movement on torque marking for bolt fasterners @ Train 402A Bogie 2 Axle no. 3 Right side odometer cover.  (see photo attached)"/>
    <x v="1"/>
    <x v="2"/>
    <m/>
    <x v="0"/>
  </r>
  <r>
    <d v="2022-02-24T00:00:00"/>
    <s v="TIR1362"/>
    <x v="5"/>
    <s v="Mail"/>
    <n v="623"/>
    <s v="Issue Detected in Train 623: Material (net) stuck in Front wiper Train 623A which might affect its functionality later on.  (see photo attached)"/>
    <x v="1"/>
    <x v="6"/>
    <m/>
    <x v="2"/>
  </r>
  <r>
    <d v="2022-02-24T00:00:00"/>
    <s v="TIR1363"/>
    <x v="5"/>
    <s v="Mail"/>
    <n v="615"/>
    <s v="Issue Detected in Train 615: Fire extinguisher tag not updated.  (see photo attached)"/>
    <x v="1"/>
    <x v="1"/>
    <m/>
    <x v="4"/>
  </r>
  <r>
    <d v="2022-02-24T00:00:00"/>
    <s v="TIR1364"/>
    <x v="0"/>
    <s v="PM2423_x0009__x000a_"/>
    <n v="409"/>
    <s v="HC1: LV box-battery connector hinge is missing"/>
    <x v="1"/>
    <x v="6"/>
    <m/>
    <x v="2"/>
  </r>
  <r>
    <d v="2022-02-24T00:00:00"/>
    <s v="TIR1365"/>
    <x v="0"/>
    <s v="PM2424"/>
    <n v="419"/>
    <s v="HC2 PCE BOX cooling fan cover needs retapping"/>
    <x v="1"/>
    <x v="2"/>
    <m/>
    <x v="3"/>
  </r>
  <r>
    <d v="2022-02-24T00:00:00"/>
    <s v="TIR1366"/>
    <x v="0"/>
    <s v="PM2424"/>
    <n v="419"/>
    <s v="IOS61 : At least one door is not operational indication"/>
    <x v="2"/>
    <x v="3"/>
    <m/>
    <x v="1"/>
  </r>
  <r>
    <d v="2022-02-24T00:00:00"/>
    <s v="TIR1367"/>
    <x v="0"/>
    <s v="PM2424"/>
    <n v="419"/>
    <s v="LUBE STICKS Needed HC1: L-2+2   ,R-2+1 ,HC2:L-1+1"/>
    <x v="1"/>
    <x v="4"/>
    <m/>
    <x v="4"/>
  </r>
  <r>
    <d v="2022-02-24T00:00:00"/>
    <s v="TIR1368"/>
    <x v="0"/>
    <s v="PM2425"/>
    <n v="607"/>
    <s v="Lube sticks - HC-1: L-2+3, R - 2+3 and HC-2, R-2+3, L- 3+2.  total - 20 Nos needed"/>
    <x v="1"/>
    <x v="4"/>
    <m/>
    <x v="4"/>
  </r>
  <r>
    <d v="2022-02-24T00:00:00"/>
    <s v="TIR1369"/>
    <x v="0"/>
    <s v="PM2426"/>
    <n v="619"/>
    <s v="HC2,  Electrical coupler isolate cock is missing (handle)"/>
    <x v="1"/>
    <x v="1"/>
    <m/>
    <x v="2"/>
  </r>
  <r>
    <d v="2022-02-24T00:00:00"/>
    <s v="TIR1370"/>
    <x v="0"/>
    <s v="PM2426"/>
    <n v="619"/>
    <s v="IOS180 : 1 APC Major failure"/>
    <x v="2"/>
    <x v="3"/>
    <s v="Checked and found the CVS software still not update and inside CVS history still present reversible issue as result kajor fault will appeared. (Under monitoring after software update)."/>
    <x v="1"/>
  </r>
  <r>
    <d v="2022-02-24T00:00:00"/>
    <s v="TIR1371"/>
    <x v="0"/>
    <s v="PM2426"/>
    <n v="619"/>
    <s v="LUBE STICKS Needed HC1: L-3+2,R- 3+3 HC2:L- 3+2 ,R-3 +3"/>
    <x v="1"/>
    <x v="4"/>
    <m/>
    <x v="4"/>
  </r>
  <r>
    <d v="2022-02-24T00:00:00"/>
    <s v="TIR1372"/>
    <x v="0"/>
    <s v="PM2427"/>
    <n v="623"/>
    <s v="HC2, PCE box, One screw need retap at cooling fan cover"/>
    <x v="1"/>
    <x v="2"/>
    <m/>
    <x v="3"/>
  </r>
  <r>
    <d v="2022-02-24T00:00:00"/>
    <s v="TIR1373"/>
    <x v="0"/>
    <s v="PM2427"/>
    <n v="623"/>
    <s v="Lube stick HC-1 : R-3+2, L-3+3. and HC-2, L-2+2, R - 2+2.  total = 19 Nos Needed"/>
    <x v="1"/>
    <x v="4"/>
    <m/>
    <x v="4"/>
  </r>
  <r>
    <d v="2022-02-24T00:00:00"/>
    <s v="TIR1374"/>
    <x v="0"/>
    <s v="PM2428"/>
    <n v="625"/>
    <s v="Ip scanner : HC2 LEDI2 ,SWD,LCD2 showing offline in  &amp; physically data not updated in display"/>
    <x v="1"/>
    <x v="5"/>
    <m/>
    <x v="1"/>
  </r>
  <r>
    <d v="2022-02-24T00:00:00"/>
    <s v="TIR1375"/>
    <x v="0"/>
    <s v="PM2428"/>
    <n v="625"/>
    <s v="LUBE STICKS Needed HC1: L-3+3 ,R- 3+3 HC2:L- 2+3 ,R- 2+3"/>
    <x v="1"/>
    <x v="4"/>
    <m/>
    <x v="4"/>
  </r>
  <r>
    <d v="2022-02-24T00:00:00"/>
    <s v="TIR1376"/>
    <x v="0"/>
    <s v="PM2429"/>
    <n v="501"/>
    <s v="PCE2 failed in Auto test and Offline in TCN; Ip Offline: PCE2; IOS235 : Faulty auto test on at least one    PCE; IOS245 : One PCE have a communication fault"/>
    <x v="2"/>
    <x v="2"/>
    <m/>
    <x v="0"/>
  </r>
  <r>
    <d v="2022-02-24T00:00:00"/>
    <s v="TIR1377"/>
    <x v="0"/>
    <s v="PM2430"/>
    <n v="506"/>
    <s v="IP offline : HC1-LEDI.1-offline ; HC2- LEDI2,LEDI4,LCD4,swd4  Display Visual Status: HC2- Ledi2- White, Lcd3- Dim, Lcd4- Black, Swd5- Nok Black"/>
    <x v="1"/>
    <x v="0"/>
    <m/>
    <x v="2"/>
  </r>
  <r>
    <d v="2022-02-24T00:00:00"/>
    <s v="TIR1378"/>
    <x v="0"/>
    <s v="PM2431"/>
    <n v="509"/>
    <s v="IP Offline : HC2- PEI1,3,5 &amp; LEDI 1,3,5 &amp; LCD1,3,5 &amp; SWD1,3,5 &amp; CAMI2  IOS192 : Loss of at least one camera ; IOS196 : Loss of at least 1 PEI in a class; "/>
    <x v="2"/>
    <x v="0"/>
    <m/>
    <x v="2"/>
  </r>
  <r>
    <d v="2022-02-27T00:00:00"/>
    <s v="TIR1379"/>
    <x v="0"/>
    <s v="PM2432"/>
    <n v="519"/>
    <s v="HC1-HVAC1 -Gas level low LP2"/>
    <x v="1"/>
    <x v="1"/>
    <m/>
    <x v="2"/>
  </r>
  <r>
    <d v="2022-02-27T00:00:00"/>
    <s v="TIR1380"/>
    <x v="0"/>
    <s v="PM2438"/>
    <n v="511"/>
    <s v="IP Offline : Ledi4-v1; PAPIS Display Visual Status : Ledi1- v1 Blank"/>
    <x v="1"/>
    <x v="0"/>
    <m/>
    <x v="2"/>
  </r>
  <r>
    <d v="2022-02-27T00:00:00"/>
    <s v="TIR1381"/>
    <x v="2"/>
    <s v="NA"/>
    <n v="407"/>
    <s v="PEED Reset from CC not working for all EED in the train (HC1-HC2 Both side)"/>
    <x v="1"/>
    <x v="3"/>
    <s v="27/02 : Wiring checked ok. PEEDRST received at TCMS level =&gt; investigation done by Guan : the installed resistance is difference. Need to check with supplier "/>
    <x v="4"/>
  </r>
  <r>
    <d v="2022-02-28T00:00:00"/>
    <s v="TIR1382"/>
    <x v="0"/>
    <s v="PM2439_x0009__x000a_"/>
    <n v="401"/>
    <s v="Lube sticks required are at HC1 L-2+3, R- 3+3 and HC2 - L- 2+2 , R- 2+2. Total - 19 Nos"/>
    <x v="1"/>
    <x v="1"/>
    <m/>
    <x v="4"/>
  </r>
  <r>
    <d v="2022-02-28T00:00:00"/>
    <s v="TIR1383"/>
    <x v="0"/>
    <s v="PM2440_x0009__x000a_"/>
    <n v="411"/>
    <s v="Lube sticks required are at HC1 L- 2+2, R- 2+2 and HC2  L- 2+2 , R- 2+2. Total - 16 Nos"/>
    <x v="1"/>
    <x v="1"/>
    <m/>
    <x v="4"/>
  </r>
  <r>
    <d v="2022-03-01T00:00:00"/>
    <s v="TIR1384"/>
    <x v="8"/>
    <m/>
    <m/>
    <m/>
    <x v="0"/>
    <x v="6"/>
    <m/>
    <x v="5"/>
  </r>
  <r>
    <d v="2022-03-01T00:00:00"/>
    <s v="TIR1385"/>
    <x v="8"/>
    <m/>
    <m/>
    <m/>
    <x v="0"/>
    <x v="6"/>
    <m/>
    <x v="5"/>
  </r>
  <r>
    <d v="2022-03-03T00:00:00"/>
    <s v="TIR1386"/>
    <x v="0"/>
    <s v="PM2431"/>
    <n v="509"/>
    <s v="IOS252 : One ATC have a communication fault"/>
    <x v="2"/>
    <x v="3"/>
    <s v="03/03 : Found CRS_ATC breakers OFF. also SIG modem in HC2 ON (this breaker should be OFF in TU4. No more IOS after normalizing"/>
    <x v="0"/>
  </r>
  <r>
    <d v="2022-03-03T00:00:00"/>
    <s v="TIR1387"/>
    <x v="2"/>
    <m/>
    <n v="423"/>
    <s v="HVAC1-V1 Performance issue (check  gas level )"/>
    <x v="1"/>
    <x v="4"/>
    <m/>
    <x v="0"/>
  </r>
  <r>
    <m/>
    <s v="TIR1388"/>
    <x v="8"/>
    <m/>
    <m/>
    <s v="PM"/>
    <x v="0"/>
    <x v="6"/>
    <m/>
    <x v="5"/>
  </r>
  <r>
    <m/>
    <s v="TIR1389"/>
    <x v="8"/>
    <m/>
    <m/>
    <s v="PM"/>
    <x v="0"/>
    <x v="6"/>
    <m/>
    <x v="5"/>
  </r>
  <r>
    <m/>
    <s v="TIR1390"/>
    <x v="8"/>
    <m/>
    <m/>
    <s v="PM"/>
    <x v="0"/>
    <x v="6"/>
    <m/>
    <x v="5"/>
  </r>
  <r>
    <m/>
    <s v="TIR1391"/>
    <x v="8"/>
    <m/>
    <m/>
    <s v="PM"/>
    <x v="0"/>
    <x v="6"/>
    <m/>
    <x v="5"/>
  </r>
  <r>
    <m/>
    <s v="TIR1392"/>
    <x v="8"/>
    <m/>
    <m/>
    <s v="PM"/>
    <x v="0"/>
    <x v="6"/>
    <m/>
    <x v="5"/>
  </r>
  <r>
    <m/>
    <s v="TIR1393"/>
    <x v="8"/>
    <m/>
    <m/>
    <s v="PM"/>
    <x v="0"/>
    <x v="6"/>
    <m/>
    <x v="5"/>
  </r>
  <r>
    <d v="2022-03-08T00:00:00"/>
    <s v="TIR1394"/>
    <x v="2"/>
    <s v="NA"/>
    <n v="402"/>
    <s v="ISM showing TCCU no comm"/>
    <x v="1"/>
    <x v="5"/>
    <m/>
    <x v="1"/>
  </r>
  <r>
    <d v="2022-03-08T00:00:00"/>
    <s v="TIR1395"/>
    <x v="2"/>
    <s v="NA"/>
    <n v="407"/>
    <s v="ISM showing PEI3V1 no comm"/>
    <x v="1"/>
    <x v="5"/>
    <m/>
    <x v="1"/>
  </r>
  <r>
    <d v="2022-03-08T00:00:00"/>
    <s v="TIR1396"/>
    <x v="2"/>
    <s v="NA"/>
    <n v="413"/>
    <s v="ISM showing PEI2V2 no comm"/>
    <x v="1"/>
    <x v="5"/>
    <m/>
    <x v="1"/>
  </r>
  <r>
    <d v="2022-03-08T00:00:00"/>
    <s v="TIR1397"/>
    <x v="2"/>
    <s v="NA"/>
    <n v="415"/>
    <s v="ISM showing PEI4V1 no comm"/>
    <x v="1"/>
    <x v="5"/>
    <m/>
    <x v="1"/>
  </r>
  <r>
    <d v="2022-03-08T00:00:00"/>
    <s v="TIR1398"/>
    <x v="2"/>
    <s v="NA"/>
    <n v="418"/>
    <s v="ISM showing PEI2V1 no comm"/>
    <x v="1"/>
    <x v="5"/>
    <m/>
    <x v="1"/>
  </r>
  <r>
    <d v="2022-03-08T00:00:00"/>
    <s v="TIR1399"/>
    <x v="2"/>
    <s v="NA"/>
    <n v="419"/>
    <s v="ISM showing PA_CTRL &amp; PA_Zone Train no comm"/>
    <x v="1"/>
    <x v="5"/>
    <m/>
    <x v="1"/>
  </r>
  <r>
    <d v="2022-03-08T00:00:00"/>
    <s v="TIR1400"/>
    <x v="3"/>
    <s v="NA"/>
    <n v="420"/>
    <s v="One CCD of the HC1 bogie 2, one CC arm and shoe have been damaged after an incident on the mainline"/>
    <x v="3"/>
    <x v="5"/>
    <m/>
    <x v="0"/>
  </r>
  <r>
    <d v="2022-03-08T00:00:00"/>
    <s v="TIR1401"/>
    <x v="3"/>
    <s v="NA"/>
    <n v="420"/>
    <s v="Current Collector to Fuse Box cable damaged after an incident on the mainline"/>
    <x v="3"/>
    <x v="5"/>
    <m/>
    <x v="0"/>
  </r>
  <r>
    <d v="2022-03-08T00:00:00"/>
    <s v="TIR1402"/>
    <x v="3"/>
    <s v="NA"/>
    <n v="420"/>
    <s v="Earth return unit and grounding damaged after an incident on the mainline"/>
    <x v="3"/>
    <x v="5"/>
    <m/>
    <x v="0"/>
  </r>
  <r>
    <d v="2022-03-08T00:00:00"/>
    <s v="TIR1403"/>
    <x v="3"/>
    <s v="NA"/>
    <n v="605"/>
    <s v="Two 750V cables were damaged after an incident on the mainline"/>
    <x v="3"/>
    <x v="5"/>
    <m/>
    <x v="0"/>
  </r>
  <r>
    <d v="2022-03-08T00:00:00"/>
    <s v="TIR1404"/>
    <x v="3"/>
    <s v="NA"/>
    <n v="605"/>
    <s v="3 CCDs shoes, 3 CCD arms and 3 sets of CC to fuse box cables damaged after an incident on the mainline"/>
    <x v="3"/>
    <x v="5"/>
    <m/>
    <x v="0"/>
  </r>
  <r>
    <d v="2022-03-08T00:00:00"/>
    <s v="TIR1405"/>
    <x v="3"/>
    <s v="NA"/>
    <n v="605"/>
    <s v="A derailment detector cable was damaged after an incident on the mainline"/>
    <x v="3"/>
    <x v="5"/>
    <m/>
    <x v="0"/>
  </r>
  <r>
    <d v="2022-03-08T00:00:00"/>
    <s v="TIR1406"/>
    <x v="3"/>
    <s v="NA"/>
    <n v="605"/>
    <s v="The odometer and its cover were damaged after an incident on the mainline"/>
    <x v="3"/>
    <x v="5"/>
    <m/>
    <x v="0"/>
  </r>
  <r>
    <d v="2022-03-08T00:00:00"/>
    <s v="TIR1407"/>
    <x v="3"/>
    <s v="NA"/>
    <n v="605"/>
    <s v="WSP cable damaged after an incident on the mainline"/>
    <x v="3"/>
    <x v="5"/>
    <m/>
    <x v="0"/>
  </r>
  <r>
    <d v="2022-03-09T00:00:00"/>
    <s v="TIR1408"/>
    <x v="2"/>
    <s v="NA"/>
    <n v="407"/>
    <s v="LEDI1-V2 offline "/>
    <x v="1"/>
    <x v="0"/>
    <s v="Updated software manually and test ok"/>
    <x v="1"/>
  </r>
  <r>
    <d v="2022-03-09T00:00:00"/>
    <s v="TIR1409"/>
    <x v="2"/>
    <s v="NA"/>
    <n v="608"/>
    <s v="TCCU,NVR,cameras unknown status in ISM"/>
    <x v="1"/>
    <x v="0"/>
    <s v="Updated software manually and test ok"/>
    <x v="1"/>
  </r>
  <r>
    <d v="2022-03-09T00:00:00"/>
    <s v="TIR1410"/>
    <x v="2"/>
    <s v="NA"/>
    <n v="611"/>
    <s v="ISM show pei3-v1,pei3-v2 no communication"/>
    <x v="1"/>
    <x v="0"/>
    <s v="Updated software manually and test ok"/>
    <x v="1"/>
  </r>
  <r>
    <d v="2022-03-09T00:00:00"/>
    <s v="TIR1411"/>
    <x v="2"/>
    <s v="NA"/>
    <n v="618"/>
    <s v="TCCU,NVR,cameras unknown status in ISM"/>
    <x v="1"/>
    <x v="0"/>
    <s v="Updated software manually and test ok"/>
    <x v="1"/>
  </r>
  <r>
    <d v="2022-03-09T00:00:00"/>
    <s v="TIR1412"/>
    <x v="2"/>
    <s v="NA"/>
    <n v="624"/>
    <s v="TCCU,NVR,cameras no communication in ISM"/>
    <x v="1"/>
    <x v="0"/>
    <s v="Updated software manually and test ok"/>
    <x v="1"/>
  </r>
  <r>
    <d v="2022-03-10T00:00:00"/>
    <s v="TIR1413"/>
    <x v="2"/>
    <s v="NA"/>
    <n v="602"/>
    <s v="TCCU,NVR,cameras no communication in ISM"/>
    <x v="1"/>
    <x v="5"/>
    <m/>
    <x v="1"/>
  </r>
  <r>
    <d v="2022-03-10T00:00:00"/>
    <s v="TIR1414"/>
    <x v="2"/>
    <s v="NA"/>
    <n v="603"/>
    <s v="TCCU,NVR,cameras no communication in ISM"/>
    <x v="1"/>
    <x v="5"/>
    <m/>
    <x v="1"/>
  </r>
  <r>
    <d v="2022-03-10T00:00:00"/>
    <s v="TIR1415"/>
    <x v="2"/>
    <s v="NA"/>
    <n v="607"/>
    <s v="TCCU,NVR,cameras unknown in ISM"/>
    <x v="1"/>
    <x v="5"/>
    <m/>
    <x v="1"/>
  </r>
  <r>
    <d v="2022-03-10T00:00:00"/>
    <s v="TIR1416"/>
    <x v="2"/>
    <s v="NA"/>
    <n v="609"/>
    <s v="TCCU,NVR,cameras no communication in ISM"/>
    <x v="1"/>
    <x v="5"/>
    <m/>
    <x v="1"/>
  </r>
  <r>
    <d v="2022-03-10T00:00:00"/>
    <s v="TIR1417"/>
    <x v="2"/>
    <s v="NA"/>
    <n v="610"/>
    <s v="TCCU,NVR,cameras no communication in ISM"/>
    <x v="1"/>
    <x v="5"/>
    <m/>
    <x v="1"/>
  </r>
  <r>
    <d v="2022-03-10T00:00:00"/>
    <s v="TIR1418"/>
    <x v="2"/>
    <s v="NA"/>
    <n v="615"/>
    <s v="TCCU,NVR,cameras no communication in ISM"/>
    <x v="1"/>
    <x v="5"/>
    <m/>
    <x v="1"/>
  </r>
  <r>
    <d v="2022-03-10T00:00:00"/>
    <s v="TIR1419"/>
    <x v="2"/>
    <s v="NA"/>
    <n v="626"/>
    <s v="TCCU,NVR,cameras no communication in ISM"/>
    <x v="1"/>
    <x v="5"/>
    <m/>
    <x v="1"/>
  </r>
  <r>
    <d v="2022-03-13T00:00:00"/>
    <s v="TIR1420"/>
    <x v="4"/>
    <s v="NA"/>
    <n v="423"/>
    <s v="Traction 750V connector was damaged during train movement in the workshop"/>
    <x v="3"/>
    <x v="5"/>
    <m/>
    <x v="0"/>
  </r>
  <r>
    <d v="2022-03-14T00:00:00"/>
    <s v="TIR1421"/>
    <x v="0"/>
    <s v="NA"/>
    <n v="623"/>
    <s v="PEI3-V1 lost communication"/>
    <x v="1"/>
    <x v="0"/>
    <s v="Replaced a new pei and test ok"/>
    <x v="0"/>
  </r>
  <r>
    <d v="2022-03-14T00:00:00"/>
    <s v="TIR1422"/>
    <x v="2"/>
    <s v="NA"/>
    <n v="622"/>
    <s v="TCCU,NVR,cameras no communication in ISM"/>
    <x v="1"/>
    <x v="0"/>
    <m/>
    <x v="1"/>
  </r>
  <r>
    <d v="2022-03-16T00:00:00"/>
    <s v="TIR1423"/>
    <x v="3"/>
    <s v="NA"/>
    <n v="612"/>
    <s v="IOS264: More than one MUC have a communication fault."/>
    <x v="3"/>
    <x v="0"/>
    <s v="Checked that no IOS 264 reported. Updated tccu2 software and test ok"/>
    <x v="0"/>
  </r>
  <r>
    <d v="2022-03-16T00:00:00"/>
    <s v="TIR1424"/>
    <x v="3"/>
    <s v="NA"/>
    <n v="405"/>
    <s v="IOS196 : Loss of at least 1 PEI in a class"/>
    <x v="1"/>
    <x v="0"/>
    <m/>
    <x v="2"/>
  </r>
  <r>
    <d v="2022-03-16T00:00:00"/>
    <s v="TIR1425"/>
    <x v="3"/>
    <s v="NA"/>
    <n v="417"/>
    <s v="IOS15 : Service brake released loop in default indication"/>
    <x v="3"/>
    <x v="2"/>
    <m/>
    <x v="0"/>
  </r>
  <r>
    <d v="2022-03-16T00:00:00"/>
    <s v="TIR1426"/>
    <x v="3"/>
    <s v="NA"/>
    <n v="608"/>
    <s v="IOS191 : Loss of video recorder"/>
    <x v="3"/>
    <x v="0"/>
    <s v="Found tccu1 report wrongly, and we updated TCCU1 software and test ok"/>
    <x v="0"/>
  </r>
  <r>
    <d v="2022-03-16T00:00:00"/>
    <s v="TIR1427"/>
    <x v="3"/>
    <s v="NA"/>
    <n v="608"/>
    <s v="IOS195 : Loss of All PEI in the same class"/>
    <x v="3"/>
    <x v="0"/>
    <s v="Found tccu1 report all PEI lost communication issue, and we updated software and test ok"/>
    <x v="0"/>
  </r>
  <r>
    <d v="2022-03-16T00:00:00"/>
    <s v="TIR1428"/>
    <x v="3"/>
    <s v="NA"/>
    <n v="608"/>
    <s v="IOS267 : At least one software version discordancy fault"/>
    <x v="1"/>
    <x v="0"/>
    <s v="Found tccu1 report all PEI lost communication issue, and we updated software and test ok"/>
    <x v="0"/>
  </r>
  <r>
    <d v="2022-03-16T00:00:00"/>
    <s v="TIR1429"/>
    <x v="3"/>
    <s v="NA"/>
    <n v="406"/>
    <s v="IOS192 : Loss of at least one camera"/>
    <x v="1"/>
    <x v="0"/>
    <m/>
    <x v="1"/>
  </r>
  <r>
    <d v="2022-03-16T00:00:00"/>
    <s v="TIR1430"/>
    <x v="3"/>
    <s v="NA"/>
    <n v="621"/>
    <s v="IOS264 : More than one MUC have a communication fault"/>
    <x v="3"/>
    <x v="0"/>
    <s v="found TCCU1 lost communication, and reboot it and ok, still checking with supplier of software issue"/>
    <x v="0"/>
  </r>
  <r>
    <d v="2022-03-16T00:00:00"/>
    <s v="TIR1431"/>
    <x v="3"/>
    <s v="NA"/>
    <n v="611"/>
    <s v="IOS196 : Loss of at least 1 PEI in a class"/>
    <x v="1"/>
    <x v="0"/>
    <m/>
    <x v="1"/>
  </r>
  <r>
    <d v="2022-03-16T00:00:00"/>
    <s v="TIR1432"/>
    <x v="0"/>
    <s v="PM2497"/>
    <n v="401"/>
    <s v="IP Offline : Lcd1 - v2"/>
    <x v="1"/>
    <x v="5"/>
    <m/>
    <x v="1"/>
  </r>
  <r>
    <d v="2022-03-16T00:00:00"/>
    <s v="TIR1433"/>
    <x v="0"/>
    <s v="PM2499"/>
    <n v="412"/>
    <s v="IP Offline : Lcd6,Led6,Swd6 - v1"/>
    <x v="1"/>
    <x v="5"/>
    <m/>
    <x v="1"/>
  </r>
  <r>
    <d v="2022-03-17T00:00:00"/>
    <s v="TIR1434"/>
    <x v="0"/>
    <s v="PM2517"/>
    <n v="402"/>
    <s v="IP Offline : ledi2-v1, lcd1-v1, swd2-v1"/>
    <x v="1"/>
    <x v="0"/>
    <m/>
    <x v="2"/>
  </r>
  <r>
    <d v="2022-03-17T00:00:00"/>
    <s v="TIR1435"/>
    <x v="0"/>
    <s v="PM2519"/>
    <n v="614"/>
    <s v="IP Offline : ledi3-v2, lcd3-v2, swd3-v2"/>
    <x v="1"/>
    <x v="0"/>
    <m/>
    <x v="2"/>
  </r>
  <r>
    <d v="2022-03-17T00:00:00"/>
    <s v="TIR1436"/>
    <x v="3"/>
    <s v="NA"/>
    <n v="401"/>
    <s v="HC2_ROM - Missing of Male connector for 72W03+ROM_XP_ETH1 of Openbat-F Simple Radio Onboard(DTR0000397019) "/>
    <x v="1"/>
    <x v="2"/>
    <m/>
    <x v="2"/>
  </r>
  <r>
    <d v="2022-03-17T00:00:00"/>
    <s v="TIR1437"/>
    <x v="3"/>
    <s v="NA"/>
    <n v="404"/>
    <s v="IOS228 : At least one minor failure on PCE &amp; IOS226 : Loss of traction and ED brake on one PCE"/>
    <x v="3"/>
    <x v="2"/>
    <m/>
    <x v="3"/>
  </r>
  <r>
    <d v="2022-03-17T00:00:00"/>
    <s v="TIR1438"/>
    <x v="3"/>
    <s v="NA"/>
    <n v="412"/>
    <s v="IOS196 : Loss of at least 1 PEI in a class"/>
    <x v="1"/>
    <x v="0"/>
    <m/>
    <x v="2"/>
  </r>
  <r>
    <d v="2022-03-17T00:00:00"/>
    <s v="TIR1439"/>
    <x v="3"/>
    <s v="NA"/>
    <n v="612"/>
    <s v="IOS192:Loss of at least 1 camera"/>
    <x v="1"/>
    <x v="0"/>
    <m/>
    <x v="2"/>
  </r>
  <r>
    <d v="2022-03-17T00:00:00"/>
    <s v="TIR1440"/>
    <x v="3"/>
    <s v="NA"/>
    <n v="611"/>
    <s v="IOS192:Loss of at least 1 camera"/>
    <x v="1"/>
    <x v="0"/>
    <m/>
    <x v="2"/>
  </r>
  <r>
    <d v="2022-03-20T00:00:00"/>
    <s v="TIR1441"/>
    <x v="3"/>
    <s v="NA"/>
    <n v="423"/>
    <s v="CRS5-HC1 Offline"/>
    <x v="3"/>
    <x v="2"/>
    <m/>
    <x v="3"/>
  </r>
  <r>
    <d v="2022-03-20T00:00:00"/>
    <s v="TIR1442"/>
    <x v="3"/>
    <s v="NA"/>
    <n v="415"/>
    <s v="IOS196:Loss of at least 1 PEI in a class"/>
    <x v="1"/>
    <x v="0"/>
    <m/>
    <x v="2"/>
  </r>
  <r>
    <d v="2022-03-20T00:00:00"/>
    <s v="TIR1443"/>
    <x v="2"/>
    <s v="NA"/>
    <n v="606"/>
    <s v="TCCU2 faulty"/>
    <x v="1"/>
    <x v="0"/>
    <m/>
    <x v="3"/>
  </r>
  <r>
    <d v="2022-03-20T00:00:00"/>
    <s v="TIR1444"/>
    <x v="3"/>
    <s v="NA"/>
    <n v="409"/>
    <s v="CRS1-HC2 Offline"/>
    <x v="3"/>
    <x v="0"/>
    <m/>
    <x v="3"/>
  </r>
  <r>
    <d v="2022-03-20T00:00:00"/>
    <s v="TIR1445"/>
    <x v="2"/>
    <s v="NA"/>
    <n v="606"/>
    <s v="TCCU2 TCN offline"/>
    <x v="1"/>
    <x v="0"/>
    <m/>
    <x v="2"/>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
  <r>
    <d v="2021-09-19T00:00:00"/>
    <s v="TIR0002"/>
    <x v="0"/>
    <s v="PM1622"/>
    <n v="405"/>
    <s v="Ledi4-V1 display nok"/>
    <x v="0"/>
    <x v="0"/>
    <s v="Update software manually and test Ok"/>
    <x v="0"/>
    <x v="0"/>
    <d v="2022-01-03T00:00:00"/>
    <s v="NCR0306"/>
    <x v="0"/>
    <x v="0"/>
    <x v="0"/>
  </r>
  <r>
    <d v="2021-09-19T00:00:00"/>
    <s v="TIR0005"/>
    <x v="0"/>
    <s v="PM1624"/>
    <n v="414"/>
    <s v="HC1 ( Pei4,6 Ledi4,6 Lcd4,5,6 Swd4,5,6 ) IP Offline_x000a_NVR Offline ( Removed for retrofit)_x000a_HC1 ( Lcd4,5 Ledi4 Swd5 ) Display NOK"/>
    <x v="0"/>
    <x v="0"/>
    <s v="Checked  online and display OK"/>
    <x v="0"/>
    <x v="0"/>
    <d v="2021-12-22T00:00:00"/>
    <s v=""/>
    <x v="0"/>
    <x v="0"/>
    <x v="0"/>
  </r>
  <r>
    <d v="2021-09-19T00:00:00"/>
    <s v="TIR0006"/>
    <x v="0"/>
    <s v="PM1624"/>
    <n v="414"/>
    <s v="Gangway lights NOK in both cab"/>
    <x v="0"/>
    <x v="1"/>
    <s v="After the Adjustment of output Dc converter working fine  "/>
    <x v="0"/>
    <x v="0"/>
    <d v="2021-12-14T00:00:00"/>
    <s v=""/>
    <x v="0"/>
    <x v="0"/>
    <x v="0"/>
  </r>
  <r>
    <d v="2021-09-19T00:00:00"/>
    <s v="TIR0007"/>
    <x v="0"/>
    <s v="PM1625"/>
    <n v="417"/>
    <s v="HC2 Saloon Lights covers NOK"/>
    <x v="0"/>
    <x v="1"/>
    <s v="Fixed the light cover"/>
    <x v="0"/>
    <x v="0"/>
    <d v="2021-12-13T00:00:00"/>
    <s v=""/>
    <x v="0"/>
    <x v="0"/>
    <x v="0"/>
  </r>
  <r>
    <d v="2021-09-19T00:00:00"/>
    <s v="TIR0009"/>
    <x v="0"/>
    <s v="PM1626"/>
    <n v="423"/>
    <s v="HC2 Swd2 display half ( NOK)"/>
    <x v="0"/>
    <x v="0"/>
    <s v="Checked  online and display OK"/>
    <x v="0"/>
    <x v="0"/>
    <d v="2021-12-20T00:00:00"/>
    <s v=""/>
    <x v="0"/>
    <x v="0"/>
    <x v="0"/>
  </r>
  <r>
    <d v="2021-09-19T00:00:00"/>
    <s v="TIR0010"/>
    <x v="0"/>
    <s v="PM1627"/>
    <n v="619"/>
    <s v="HC1 ( Ledi5 , Lcd5, Swd5 ) IP Offline_x000a_HC2 ( Ledi5) IP Offline"/>
    <x v="0"/>
    <x v="0"/>
    <s v="See TIR168-TIR172"/>
    <x v="0"/>
    <x v="0"/>
    <d v="2021-12-21T00:00:00"/>
    <s v=""/>
    <x v="0"/>
    <x v="0"/>
    <x v="0"/>
  </r>
  <r>
    <d v="2021-09-19T00:00:00"/>
    <s v="TIR0013"/>
    <x v="0"/>
    <s v="PM1627"/>
    <n v="619"/>
    <s v="HC2- Palm Tree 3 lights dim."/>
    <x v="0"/>
    <x v="1"/>
    <s v="110v to 24v DC converter output emergency Switch was on worng position it should be on 100%"/>
    <x v="0"/>
    <x v="0"/>
    <d v="2021-12-12T00:00:00"/>
    <s v=""/>
    <x v="0"/>
    <x v="0"/>
    <x v="0"/>
  </r>
  <r>
    <d v="2021-09-19T00:00:00"/>
    <s v="TIR0004"/>
    <x v="0"/>
    <s v="PM1623"/>
    <n v="406"/>
    <s v="HC1 ( Ledi4,5, Lcd4,5, SWD4,5) IP Offline_x000a_HC2 ( Ledi4) IP Offline_x000a_HC1 ( Swd2,Lcd3 ) Display NOK_x000a_HC2 ( Ledi4) Display NOK"/>
    <x v="1"/>
    <x v="0"/>
    <m/>
    <x v="1"/>
    <x v="0"/>
    <d v="2022-03-17T00:00:00"/>
    <s v="NCR0307"/>
    <x v="0"/>
    <x v="0"/>
    <x v="0"/>
  </r>
  <r>
    <d v="2021-09-19T00:00:00"/>
    <s v="TIR0008"/>
    <x v="0"/>
    <s v="PM1625"/>
    <n v="417"/>
    <s v="HC2 Under seat fire extinguisher bracket &amp; Cylinder not available"/>
    <x v="1"/>
    <x v="1"/>
    <m/>
    <x v="0"/>
    <x v="0"/>
    <m/>
    <s v="NCR0385"/>
    <x v="0"/>
    <x v="0"/>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x v="0"/>
    <d v="2021-09-20T00:00:00"/>
    <s v=""/>
    <x v="1"/>
    <x v="0"/>
    <x v="0"/>
  </r>
  <r>
    <d v="2021-09-19T00:00:00"/>
    <s v="TIR0003"/>
    <x v="0"/>
    <s v="PM1623"/>
    <n v="406"/>
    <s v="HC1 Horn volume is low"/>
    <x v="0"/>
    <x v="1"/>
    <s v="Horn volume is good in both CAB"/>
    <x v="1"/>
    <x v="0"/>
    <d v="2021-12-21T00:00:00"/>
    <m/>
    <x v="0"/>
    <x v="0"/>
    <x v="0"/>
  </r>
  <r>
    <d v="2021-09-19T00:00:00"/>
    <s v="TIR1008"/>
    <x v="0"/>
    <s v="PM1628"/>
    <n v="510"/>
    <s v="HC1 Swd2 display half (NOK)"/>
    <x v="1"/>
    <x v="0"/>
    <m/>
    <x v="2"/>
    <x v="1"/>
    <m/>
    <s v=""/>
    <x v="0"/>
    <x v="0"/>
    <x v="0"/>
  </r>
  <r>
    <d v="2021-09-19T00:00:00"/>
    <s v="TIR1009"/>
    <x v="0"/>
    <s v="PM1629"/>
    <n v="511"/>
    <s v="HC1 Ledi2 display NOK"/>
    <x v="1"/>
    <x v="0"/>
    <m/>
    <x v="2"/>
    <x v="1"/>
    <m/>
    <s v=""/>
    <x v="0"/>
    <x v="0"/>
    <x v="0"/>
  </r>
  <r>
    <d v="2021-09-20T00:00:00"/>
    <s v="TIR0014"/>
    <x v="0"/>
    <s v="PM1630"/>
    <n v="401"/>
    <s v="HC1- Saloon lights NOK"/>
    <x v="0"/>
    <x v="1"/>
    <s v="Fixed the light cover and all lights are working fine"/>
    <x v="0"/>
    <x v="0"/>
    <d v="2021-12-13T00:00:00"/>
    <s v=""/>
    <x v="0"/>
    <x v="0"/>
    <x v="0"/>
  </r>
  <r>
    <d v="2021-09-20T00:00:00"/>
    <s v="TIR0015"/>
    <x v="0"/>
    <s v="PM1632"/>
    <n v="413"/>
    <s v="LCD3-V1 offline and display also NOK"/>
    <x v="0"/>
    <x v="0"/>
    <s v="updated software manually,cheched online and display  ok"/>
    <x v="0"/>
    <x v="0"/>
    <d v="2021-12-15T00:00:00"/>
    <s v=""/>
    <x v="0"/>
    <x v="0"/>
    <x v="0"/>
  </r>
  <r>
    <d v="2021-09-20T00:00:00"/>
    <s v="TIR0016"/>
    <x v="0"/>
    <s v="PM1632"/>
    <n v="413"/>
    <s v="HC2 Saloon Lights covers NOK"/>
    <x v="0"/>
    <x v="1"/>
    <s v="we fixed light cover"/>
    <x v="0"/>
    <x v="0"/>
    <d v="2021-12-21T00:00:00"/>
    <s v=""/>
    <x v="0"/>
    <x v="0"/>
    <x v="0"/>
  </r>
  <r>
    <d v="2021-09-20T00:00:00"/>
    <s v="TIR0018"/>
    <x v="0"/>
    <s v="PM1633"/>
    <n v="418"/>
    <s v="LCD1-V1 offline and display also NOK"/>
    <x v="0"/>
    <x v="0"/>
    <s v="updated software manually,cheched online and display  ok"/>
    <x v="0"/>
    <x v="0"/>
    <d v="2021-12-15T00:00:00"/>
    <s v=""/>
    <x v="0"/>
    <x v="0"/>
    <x v="0"/>
  </r>
  <r>
    <d v="2021-09-20T00:00:00"/>
    <s v="TIR0020"/>
    <x v="0"/>
    <s v="PM1634"/>
    <n v="419"/>
    <s v="HC2 Electrical coupler one spring missing"/>
    <x v="0"/>
    <x v="1"/>
    <s v="take the Spring from damaged coupler and fixed"/>
    <x v="0"/>
    <x v="0"/>
    <d v="2021-12-30T00:00:00"/>
    <s v=""/>
    <x v="0"/>
    <x v="0"/>
    <x v="0"/>
  </r>
  <r>
    <d v="2021-09-20T00:00:00"/>
    <s v="TIR0021"/>
    <x v="0"/>
    <s v="PM1634"/>
    <n v="419"/>
    <s v="HC2 { LEDI4,LCD4,SWD4} IP offline"/>
    <x v="0"/>
    <x v="0"/>
    <s v="Checked all devices online and display OK"/>
    <x v="0"/>
    <x v="0"/>
    <d v="2021-12-13T00:00:00"/>
    <s v=""/>
    <x v="0"/>
    <x v="0"/>
    <x v="0"/>
  </r>
  <r>
    <d v="2021-09-20T00:00:00"/>
    <s v="TIR0019"/>
    <x v="0"/>
    <s v="PM1633"/>
    <n v="418"/>
    <s v="HC1 Door1 glass found minor cracked"/>
    <x v="1"/>
    <x v="1"/>
    <m/>
    <x v="3"/>
    <x v="1"/>
    <m/>
    <s v="NCR0352"/>
    <x v="0"/>
    <x v="0"/>
    <x v="0"/>
  </r>
  <r>
    <d v="2021-09-20T00:00:00"/>
    <s v="TIR1010"/>
    <x v="0"/>
    <s v="PM1633"/>
    <n v="418"/>
    <s v="HVAC1-V2 Exhaust air fan high faulty."/>
    <x v="1"/>
    <x v="1"/>
    <m/>
    <x v="2"/>
    <x v="1"/>
    <m/>
    <s v=""/>
    <x v="0"/>
    <x v="0"/>
    <x v="0"/>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x v="0"/>
    <d v="2022-03-03T00:00:00"/>
    <s v=""/>
    <x v="2"/>
    <x v="0"/>
    <x v="0"/>
  </r>
  <r>
    <d v="2021-09-20T00:00:00"/>
    <s v="TIR1012"/>
    <x v="0"/>
    <s v="PM1636"/>
    <n v="501"/>
    <s v="HVAC2-V2 Low pressure1 reported ( Compressor1&amp;2)"/>
    <x v="2"/>
    <x v="2"/>
    <m/>
    <x v="0"/>
    <x v="0"/>
    <d v="2022-03-15T00:00:00"/>
    <s v="NCR1012"/>
    <x v="0"/>
    <x v="0"/>
    <x v="0"/>
  </r>
  <r>
    <d v="2021-09-20T00:00:00"/>
    <s v="TIR1013"/>
    <x v="0"/>
    <s v="PM1637"/>
    <n v="505"/>
    <s v="HC1- LEDI3 Display NOK_x000a_HC1- SWD3 Broken_x000a_HC2-LCD3 Display NOK_x000a_"/>
    <x v="1"/>
    <x v="0"/>
    <m/>
    <x v="2"/>
    <x v="1"/>
    <m/>
    <s v=""/>
    <x v="0"/>
    <x v="0"/>
    <x v="0"/>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x v="0"/>
    <d v="2021-11-28T00:00:00"/>
    <s v="NCR0340"/>
    <x v="0"/>
    <x v="0"/>
    <x v="0"/>
  </r>
  <r>
    <d v="2021-09-21T00:00:00"/>
    <s v="TIR0026"/>
    <x v="0"/>
    <s v="PM1639"/>
    <n v="422"/>
    <s v="IP offline { Papis.Ctrl2,Papis.Pa2 ,Ledi1-V2}_x000a_Display Status { SWD5-v2 Half, Ledi1-v2 NOK}"/>
    <x v="0"/>
    <x v="0"/>
    <s v="Updated again software manually and test it online and display OK"/>
    <x v="0"/>
    <x v="0"/>
    <d v="2021-12-15T00:00:00"/>
    <s v=""/>
    <x v="0"/>
    <x v="0"/>
    <x v="0"/>
  </r>
  <r>
    <d v="2021-09-21T00:00:00"/>
    <s v="TIR0028"/>
    <x v="0"/>
    <s v="PM1640"/>
    <n v="424"/>
    <s v="IP offline { Papis.Pa1 }_x000a_Display status { Swd5-v1 NOK }"/>
    <x v="0"/>
    <x v="0"/>
    <s v="updated software manually,cheched online and display  ok"/>
    <x v="0"/>
    <x v="0"/>
    <d v="2021-12-21T00:00:00"/>
    <s v=""/>
    <x v="0"/>
    <x v="0"/>
    <x v="0"/>
  </r>
  <r>
    <d v="2021-09-21T00:00:00"/>
    <s v="TIR0029"/>
    <x v="0"/>
    <s v="PM1641"/>
    <n v="607"/>
    <s v="IP offline-HC2 { Pei6,Ledi6,Lcd5,Swd6,NVR } _x000a_{ NVR removed for Retrofit }"/>
    <x v="0"/>
    <x v="0"/>
    <s v="Checked again the offline devices all good,_x000a_NVR also normalised."/>
    <x v="0"/>
    <x v="0"/>
    <d v="2021-12-12T00:00:00"/>
    <s v=""/>
    <x v="0"/>
    <x v="0"/>
    <x v="0"/>
  </r>
  <r>
    <d v="2021-09-21T00:00:00"/>
    <s v="TIR0030"/>
    <x v="0"/>
    <s v="PM1643"/>
    <n v="625"/>
    <s v="IP Offline { (Papis.Ctrl2,Pa2 )(Pei1,2,3-v2)(Ledi1,3,5-v2)(Lcd1,3,5-_x000a_v2)(Swd1,3,5)(Cami2-v2) }"/>
    <x v="0"/>
    <x v="0"/>
    <s v="updated software manually,cheched online and display  ok"/>
    <x v="0"/>
    <x v="0"/>
    <d v="2021-12-23T00:00:00"/>
    <s v=""/>
    <x v="0"/>
    <x v="0"/>
    <x v="0"/>
  </r>
  <r>
    <d v="2021-09-21T00:00:00"/>
    <s v="TIR0027"/>
    <x v="0"/>
    <s v="PM1639"/>
    <n v="422"/>
    <s v="HC1 Door-6 glass minor cracked"/>
    <x v="1"/>
    <x v="1"/>
    <m/>
    <x v="3"/>
    <x v="1"/>
    <m/>
    <s v="NCR0394"/>
    <x v="0"/>
    <x v="0"/>
    <x v="0"/>
  </r>
  <r>
    <d v="2021-09-21T00:00:00"/>
    <s v="TIR0033"/>
    <x v="0"/>
    <s v="PM1645"/>
    <n v="515"/>
    <s v="HC2 Bogie2 Left Fuse box glass minor cracked"/>
    <x v="1"/>
    <x v="3"/>
    <s v="27/12 : Fuse box glass cracked. Need to replace. No spare available"/>
    <x v="3"/>
    <x v="1"/>
    <m/>
    <s v="NCR0431"/>
    <x v="0"/>
    <x v="0"/>
    <x v="0"/>
  </r>
  <r>
    <d v="2021-09-21T00:00:00"/>
    <s v="TIR1014"/>
    <x v="0"/>
    <s v="PM1644"/>
    <n v="506"/>
    <s v="IP Offline - HC2 {Ledi1, Lcd3, Lcd4}_x000a_Display Status - HC2 { (Ledi1-White)(Lcd3-Nok)(Lcd4-Dim) "/>
    <x v="1"/>
    <x v="2"/>
    <s v="STE local support working on this issues (03/03)."/>
    <x v="4"/>
    <x v="1"/>
    <m/>
    <s v=""/>
    <x v="0"/>
    <x v="0"/>
    <x v="0"/>
  </r>
  <r>
    <d v="2021-09-21T00:00:00"/>
    <s v="TIR1015"/>
    <x v="0"/>
    <s v="PM1645"/>
    <n v="515"/>
    <s v="IP Offline { Papis.Ctrl2, Papis.Pa2 }_x000a_Display Status { Swd1-v1 Half "/>
    <x v="1"/>
    <x v="0"/>
    <m/>
    <x v="2"/>
    <x v="1"/>
    <m/>
    <s v=""/>
    <x v="0"/>
    <x v="0"/>
    <x v="0"/>
  </r>
  <r>
    <d v="2021-09-26T00:00:00"/>
    <s v="TIR0037"/>
    <x v="0"/>
    <s v="PM1647"/>
    <n v="601"/>
    <s v="HC2-Palm tree # 1 lights NOK"/>
    <x v="0"/>
    <x v="1"/>
    <s v="After ripeared tha LED strip working fine now"/>
    <x v="0"/>
    <x v="0"/>
    <d v="2021-12-15T00:00:00"/>
    <s v=""/>
    <x v="0"/>
    <x v="0"/>
    <x v="0"/>
  </r>
  <r>
    <d v="2021-09-26T00:00:00"/>
    <s v="TIR0034"/>
    <x v="0"/>
    <s v="PM1646"/>
    <n v="416"/>
    <s v="HC1- Wiper broken."/>
    <x v="1"/>
    <x v="1"/>
    <m/>
    <x v="3"/>
    <x v="1"/>
    <m/>
    <s v="NCR0227"/>
    <x v="0"/>
    <x v="0"/>
    <x v="0"/>
  </r>
  <r>
    <d v="2021-09-26T00:00:00"/>
    <s v="TIR0035"/>
    <x v="0"/>
    <s v="PM1647"/>
    <n v="601"/>
    <s v="TS601 HC2-Axle 2 leakage found from the spring brake part"/>
    <x v="3"/>
    <x v="3"/>
    <s v="12/12 : leakage found from the spring brake part. (BRAKE UNIT WITH PARKING BRAKE)._x000a_Need to normalize by replacing the brake part."/>
    <x v="0"/>
    <x v="0"/>
    <d v="2022-03-10T00:00:00"/>
    <s v="NCR0376"/>
    <x v="3"/>
    <x v="1"/>
    <x v="1"/>
  </r>
  <r>
    <d v="2021-09-26T00:00:00"/>
    <s v="TIR0036"/>
    <x v="0"/>
    <s v="PM1647"/>
    <n v="601"/>
    <s v="HC2- Saloon lights NOK"/>
    <x v="1"/>
    <x v="1"/>
    <m/>
    <x v="3"/>
    <x v="1"/>
    <m/>
    <s v="NCR0395"/>
    <x v="0"/>
    <x v="0"/>
    <x v="0"/>
  </r>
  <r>
    <d v="2021-09-26T00:00:00"/>
    <s v="TIR0038"/>
    <x v="0"/>
    <s v="PM1649"/>
    <n v="615"/>
    <s v="HVAC1-V1 Abnormal sound coming from compressors."/>
    <x v="0"/>
    <x v="1"/>
    <s v="Checked compressor by compressor no vibration found, GP level Ok, We need life line certificate to access roof of the train, need more investigation"/>
    <x v="1"/>
    <x v="0"/>
    <m/>
    <s v=""/>
    <x v="0"/>
    <x v="0"/>
    <x v="0"/>
  </r>
  <r>
    <d v="2021-09-26T00:00:00"/>
    <s v="TIR1016"/>
    <x v="0"/>
    <s v="PM1652"/>
    <n v="508"/>
    <s v="IP Offline and Display also NOK { Ledi4-V1, Swd2-V1 }"/>
    <x v="1"/>
    <x v="0"/>
    <m/>
    <x v="2"/>
    <x v="1"/>
    <m/>
    <s v=""/>
    <x v="0"/>
    <x v="0"/>
    <x v="0"/>
  </r>
  <r>
    <d v="2021-09-26T00:00:00"/>
    <s v="TIR1017"/>
    <x v="0"/>
    <s v="PM1653"/>
    <n v="509"/>
    <s v="Display Status { Ledi4-V2 - NOK }"/>
    <x v="1"/>
    <x v="0"/>
    <m/>
    <x v="2"/>
    <x v="1"/>
    <m/>
    <s v=""/>
    <x v="0"/>
    <x v="0"/>
    <x v="0"/>
  </r>
  <r>
    <d v="2021-09-26T00:00:00"/>
    <s v="TIR1018"/>
    <x v="0"/>
    <s v="PM1654"/>
    <n v="519"/>
    <s v="Display Status { Lcd6-V1 - Dim }"/>
    <x v="1"/>
    <x v="2"/>
    <s v="Checked and no dim issue observed."/>
    <x v="1"/>
    <x v="0"/>
    <m/>
    <s v=""/>
    <x v="0"/>
    <x v="0"/>
    <x v="0"/>
  </r>
  <r>
    <d v="2021-09-26T00:00:00"/>
    <s v="TIR1019"/>
    <x v="0"/>
    <s v="PM1654"/>
    <n v="519"/>
    <s v="HVAC2-V2 Low Pressure 1 NOK ( Compressor 1&amp;2 )"/>
    <x v="2"/>
    <x v="2"/>
    <m/>
    <x v="3"/>
    <x v="1"/>
    <m/>
    <s v="NCR1019"/>
    <x v="0"/>
    <x v="0"/>
    <x v="0"/>
  </r>
  <r>
    <d v="2021-09-28T00:00:00"/>
    <s v="TIR0043"/>
    <x v="1"/>
    <s v="NA"/>
    <n v="410"/>
    <s v="Doors unlocked issue "/>
    <x v="0"/>
    <x v="1"/>
    <m/>
    <x v="0"/>
    <x v="0"/>
    <m/>
    <s v="NCR309"/>
    <x v="0"/>
    <x v="0"/>
    <x v="0"/>
  </r>
  <r>
    <d v="2021-09-28T00:00:00"/>
    <s v="TIR0044"/>
    <x v="1"/>
    <s v="NA"/>
    <s v="422_x000a_602_x000a_608_x000a_612_x000a_615_x000a_617_x000a_503_x000a_509_x000a_512_x000a_514_x000a_519"/>
    <s v="Doors unlocked issue "/>
    <x v="0"/>
    <x v="1"/>
    <m/>
    <x v="0"/>
    <x v="0"/>
    <d v="2021-11-25T00:00:00"/>
    <s v="NCR310"/>
    <x v="0"/>
    <x v="0"/>
    <x v="0"/>
  </r>
  <r>
    <d v="2021-09-28T00:00:00"/>
    <s v="TIR0045"/>
    <x v="1"/>
    <s v="NA"/>
    <s v="601_x000a_607_x000a_624"/>
    <s v="Doors unlocked issue "/>
    <x v="0"/>
    <x v="1"/>
    <m/>
    <x v="0"/>
    <x v="0"/>
    <d v="2021-11-25T00:00:00"/>
    <s v="NCR311"/>
    <x v="0"/>
    <x v="0"/>
    <x v="0"/>
  </r>
  <r>
    <d v="2021-09-28T00:00:00"/>
    <s v="TIR0046"/>
    <x v="1"/>
    <s v="NA"/>
    <s v="_x000a_603_x000a_619_x000a_622_x000a_510"/>
    <s v="Doors unlocked issue "/>
    <x v="0"/>
    <x v="1"/>
    <m/>
    <x v="0"/>
    <x v="0"/>
    <d v="2021-11-25T00:00:00"/>
    <s v="NCR312"/>
    <x v="0"/>
    <x v="0"/>
    <x v="0"/>
  </r>
  <r>
    <d v="2021-09-28T00:00:00"/>
    <s v="TIR0047"/>
    <x v="1"/>
    <s v="NA"/>
    <n v="508"/>
    <s v="HC2_DOOR2not function properly, in UTO mode not getting open _x000a_( Motor brake issue)"/>
    <x v="0"/>
    <x v="1"/>
    <m/>
    <x v="0"/>
    <x v="0"/>
    <m/>
    <s v="NCR313"/>
    <x v="0"/>
    <x v="0"/>
    <x v="0"/>
  </r>
  <r>
    <d v="2021-10-28T00:00:00"/>
    <s v="TIR0048"/>
    <x v="2"/>
    <s v="NA"/>
    <n v="605"/>
    <s v="Train driver and preventive team reported when HC2 cab active,_x000a_ no cab actvie and EB not release."/>
    <x v="0"/>
    <x v="2"/>
    <m/>
    <x v="0"/>
    <x v="0"/>
    <m/>
    <s v="NCR314"/>
    <x v="0"/>
    <x v="0"/>
    <x v="0"/>
  </r>
  <r>
    <d v="2021-10-28T00:00:00"/>
    <s v="TIR0050"/>
    <x v="3"/>
    <s v="NA"/>
    <n v="615"/>
    <s v="IOS226 : Loss of traction and ED brajke on one PCE and issue reported_x000a_when train want to depart from satbling to mainline."/>
    <x v="0"/>
    <x v="2"/>
    <m/>
    <x v="0"/>
    <x v="0"/>
    <m/>
    <s v="NCR315"/>
    <x v="0"/>
    <x v="0"/>
    <x v="0"/>
  </r>
  <r>
    <d v="2021-10-28T00:00:00"/>
    <s v="TIR0051"/>
    <x v="2"/>
    <s v="NA"/>
    <n v="513"/>
    <s v="IOS274: Communication Loss of CRS. We found CRS42 HC_2 is totally death and unable to recover manually"/>
    <x v="3"/>
    <x v="2"/>
    <m/>
    <x v="0"/>
    <x v="0"/>
    <m/>
    <s v="NCR316"/>
    <x v="0"/>
    <x v="0"/>
    <x v="0"/>
  </r>
  <r>
    <d v="2021-10-28T00:00:00"/>
    <s v="TIR0052"/>
    <x v="2"/>
    <s v="NA"/>
    <n v="513"/>
    <s v=" IOS274: Communication Loss of CRS. We found CRS vs2 HC_2 is totally death and unable to recover manually"/>
    <x v="3"/>
    <x v="2"/>
    <m/>
    <x v="0"/>
    <x v="0"/>
    <m/>
    <s v="NCR317"/>
    <x v="0"/>
    <x v="0"/>
    <x v="0"/>
  </r>
  <r>
    <d v="2021-10-28T00:00:00"/>
    <s v="TIR0053"/>
    <x v="2"/>
    <s v="NA"/>
    <n v="424"/>
    <s v="CRS4_V2 offline"/>
    <x v="3"/>
    <x v="2"/>
    <m/>
    <x v="0"/>
    <x v="0"/>
    <m/>
    <s v="NCR318"/>
    <x v="0"/>
    <x v="0"/>
    <x v="0"/>
  </r>
  <r>
    <d v="2021-10-28T00:00:00"/>
    <s v="TIR0055"/>
    <x v="3"/>
    <m/>
    <s v="406_x000a_615_x000a_609_x000a_412"/>
    <s v="TOM issue"/>
    <x v="0"/>
    <x v="2"/>
    <s v="406 : 4/11/2021 : New NVR online and working normally._x000a_615 : 4/11/2021 : New NVR online and working normally."/>
    <x v="0"/>
    <x v="0"/>
    <d v="2021-11-04T00:00:00"/>
    <s v="NCR323_x000a_NCR324_x000a_NCR326_x000a_NCR328_x000a_NCR325"/>
    <x v="0"/>
    <x v="0"/>
    <x v="0"/>
  </r>
  <r>
    <d v="2021-10-28T00:00:00"/>
    <s v="TIR0049"/>
    <x v="4"/>
    <s v="N/A"/>
    <n v="404"/>
    <s v="Traction issue"/>
    <x v="0"/>
    <x v="2"/>
    <m/>
    <x v="1"/>
    <x v="0"/>
    <m/>
    <s v=""/>
    <x v="0"/>
    <x v="0"/>
    <x v="0"/>
  </r>
  <r>
    <d v="2021-10-28T00:00:00"/>
    <s v="TIR0054"/>
    <x v="3"/>
    <s v="NA"/>
    <n v="651"/>
    <s v="TS651 (coupled train) moved in UTO with one train door opened"/>
    <x v="0"/>
    <x v="1"/>
    <m/>
    <x v="1"/>
    <x v="0"/>
    <m/>
    <s v=""/>
    <x v="0"/>
    <x v="0"/>
    <x v="0"/>
  </r>
  <r>
    <d v="2021-10-31T00:00:00"/>
    <s v="TIR0057"/>
    <x v="2"/>
    <s v="NA"/>
    <n v="418"/>
    <s v=" We found pei fail to ping and unable to recover"/>
    <x v="0"/>
    <x v="0"/>
    <m/>
    <x v="0"/>
    <x v="0"/>
    <d v="2021-12-20T00:00:00"/>
    <s v="NCR321"/>
    <x v="0"/>
    <x v="0"/>
    <x v="0"/>
  </r>
  <r>
    <d v="2021-10-31T00:00:00"/>
    <s v="TIR0058"/>
    <x v="3"/>
    <s v="NA"/>
    <n v="422"/>
    <m/>
    <x v="1"/>
    <x v="2"/>
    <m/>
    <x v="0"/>
    <x v="0"/>
    <m/>
    <s v="NCR0320"/>
    <x v="0"/>
    <x v="0"/>
    <x v="0"/>
  </r>
  <r>
    <d v="2021-10-31T00:00:00"/>
    <s v="TIR0060"/>
    <x v="0"/>
    <s v="PM1684"/>
    <n v="407"/>
    <s v="HC1- While CVS transformer cables inspection, found leakage from the_x000a_input Capacitor on"/>
    <x v="3"/>
    <x v="2"/>
    <m/>
    <x v="0"/>
    <x v="0"/>
    <m/>
    <s v="NCR0322"/>
    <x v="0"/>
    <x v="0"/>
    <x v="0"/>
  </r>
  <r>
    <d v="2021-10-31T00:00:00"/>
    <s v="TIR0059"/>
    <x v="3"/>
    <s v="NA"/>
    <n v="417"/>
    <s v="TS417 stuck at neutral sec"/>
    <x v="0"/>
    <x v="2"/>
    <m/>
    <x v="1"/>
    <x v="0"/>
    <m/>
    <s v=""/>
    <x v="0"/>
    <x v="0"/>
    <x v="0"/>
  </r>
  <r>
    <d v="2021-10-31T00:00:00"/>
    <s v="TIR1020"/>
    <x v="5"/>
    <s v="NA"/>
    <s v="All"/>
    <s v="Harting brake connector improperly locked"/>
    <x v="1"/>
    <x v="3"/>
    <m/>
    <x v="2"/>
    <x v="1"/>
    <m/>
    <s v=""/>
    <x v="0"/>
    <x v="0"/>
    <x v="0"/>
  </r>
  <r>
    <d v="2021-11-03T00:00:00"/>
    <s v="TIR0061"/>
    <x v="3"/>
    <s v="NA"/>
    <s v="401_x000a_405"/>
    <s v="TOM issue : IOS 191 and F_N VR1Lostcom"/>
    <x v="0"/>
    <x v="2"/>
    <s v="405 - 3/11/2021 : Reprogram manually NVR by STE local support._x000a_401 - Hard disk was not properly inserted"/>
    <x v="0"/>
    <x v="0"/>
    <m/>
    <s v=""/>
    <x v="0"/>
    <x v="0"/>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x v="0"/>
    <d v="2021-11-13T00:00:00"/>
    <s v="NCR342"/>
    <x v="0"/>
    <x v="0"/>
    <x v="0"/>
  </r>
  <r>
    <d v="2021-11-13T00:00:00"/>
    <s v="TIR0063"/>
    <x v="3"/>
    <s v="Mail"/>
    <n v="423"/>
    <s v="13 Nov Mainline launching D4/6 :_x000a_IOS247: One ACE have a communication fault"/>
    <x v="0"/>
    <x v="2"/>
    <s v="6/12/2021 : No Issues observed after monitoring."/>
    <x v="1"/>
    <x v="0"/>
    <d v="2021-12-21T00:00:00"/>
    <m/>
    <x v="0"/>
    <x v="0"/>
    <x v="0"/>
  </r>
  <r>
    <d v="2021-11-13T00:00:00"/>
    <s v="TIR0065"/>
    <x v="3"/>
    <s v="Mail"/>
    <n v="421"/>
    <s v="17 train carrousel _ 13/11/2021_x000a_TS421: IOS179,185"/>
    <x v="0"/>
    <x v="2"/>
    <m/>
    <x v="1"/>
    <x v="0"/>
    <m/>
    <m/>
    <x v="0"/>
    <x v="0"/>
    <x v="0"/>
  </r>
  <r>
    <d v="2021-11-13T00:00:00"/>
    <s v="TIR0066"/>
    <x v="3"/>
    <s v="Mail"/>
    <n v="409"/>
    <s v="17 train carrousel _ 13/11/2021_x000a_IOS17"/>
    <x v="0"/>
    <x v="2"/>
    <s v="Performed test and checked MPU logs, found while daily brake test in progress. EAD were activated and EB applied."/>
    <x v="1"/>
    <x v="0"/>
    <m/>
    <m/>
    <x v="0"/>
    <x v="0"/>
    <x v="0"/>
  </r>
  <r>
    <d v="2021-11-14T00:00:00"/>
    <s v="TIR0067"/>
    <x v="3"/>
    <s v="Mail"/>
    <n v="421"/>
    <s v="15 Nov Mainline launching D4/6_x000a_Pei5 hc2 offline "/>
    <x v="0"/>
    <x v="0"/>
    <s v="Updated the pei software and online. To test "/>
    <x v="0"/>
    <x v="0"/>
    <d v="2021-11-16T00:00:00"/>
    <m/>
    <x v="0"/>
    <x v="0"/>
    <x v="0"/>
  </r>
  <r>
    <d v="2021-11-14T00:00:00"/>
    <s v="TIR0068"/>
    <x v="3"/>
    <s v="Mail"/>
    <n v="401"/>
    <s v="15 Nov Mainline launching D4/6_x000a_IOS94 : Zero velocity fault"/>
    <x v="0"/>
    <x v="2"/>
    <m/>
    <x v="0"/>
    <x v="0"/>
    <m/>
    <s v="NCR331_x000a_NCR329"/>
    <x v="0"/>
    <x v="0"/>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x v="0"/>
    <d v="2021-11-25T00:00:00"/>
    <s v="NCR345"/>
    <x v="0"/>
    <x v="0"/>
    <x v="0"/>
  </r>
  <r>
    <d v="2021-11-14T00:00:00"/>
    <s v="TIR0070"/>
    <x v="3"/>
    <s v="Mail"/>
    <n v="603"/>
    <s v="15 Nov Mainline launching D4/6_x000a_IOS196  "/>
    <x v="0"/>
    <x v="0"/>
    <s v="Updated pei software and no more IOS196 report"/>
    <x v="0"/>
    <x v="0"/>
    <d v="2021-12-09T00:00:00"/>
    <m/>
    <x v="0"/>
    <x v="0"/>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x v="0"/>
    <d v="2021-11-17T00:00:00"/>
    <s v="NCR330"/>
    <x v="0"/>
    <x v="0"/>
    <x v="0"/>
  </r>
  <r>
    <d v="2021-11-14T00:00:00"/>
    <s v="TIR0072"/>
    <x v="3"/>
    <s v="Mail"/>
    <n v="614"/>
    <s v="Alarms from CCR_x000a_IOS264:More than one UMC have a communication fault"/>
    <x v="0"/>
    <x v="0"/>
    <s v="Updated the pei software and online. To test "/>
    <x v="0"/>
    <x v="0"/>
    <d v="2021-11-22T00:00:00"/>
    <m/>
    <x v="0"/>
    <x v="0"/>
    <x v="0"/>
  </r>
  <r>
    <d v="2021-11-14T00:00:00"/>
    <s v="TIR0073"/>
    <x v="3"/>
    <s v="Mail"/>
    <n v="413"/>
    <s v="Alarms from CCR_x000a_IOS250:One HVAC has a communication fault"/>
    <x v="0"/>
    <x v="3"/>
    <s v="16/11 : Train in mainline today and no issue reported."/>
    <x v="0"/>
    <x v="0"/>
    <m/>
    <m/>
    <x v="0"/>
    <x v="0"/>
    <x v="0"/>
  </r>
  <r>
    <d v="2021-11-14T00:00:00"/>
    <s v="TIR0074"/>
    <x v="3"/>
    <s v="Mail"/>
    <n v="414"/>
    <s v="Alarms from CCR_x000a_IOS196:Loss of at least 1 PEI in a class"/>
    <x v="0"/>
    <x v="0"/>
    <s v="Checked and confirmed E2 port have communication issue. "/>
    <x v="0"/>
    <x v="0"/>
    <d v="2021-11-16T00:00:00"/>
    <s v="NCR335 "/>
    <x v="0"/>
    <x v="0"/>
    <x v="0"/>
  </r>
  <r>
    <d v="2021-11-15T00:00:00"/>
    <s v="TIR0075"/>
    <x v="3"/>
    <s v="Mail"/>
    <n v="617"/>
    <s v="15 Nov Mainline launching D4/6 :_x000a_IOS250 : HVAC1_V1 offline"/>
    <x v="0"/>
    <x v="3"/>
    <s v="16/11 : Train checked in the workshop : Train woke up and asleep 5 times =&gt; we have communication with all HVAC. There is no IOS250."/>
    <x v="0"/>
    <x v="0"/>
    <d v="2021-11-25T00:00:00"/>
    <m/>
    <x v="0"/>
    <x v="0"/>
    <x v="0"/>
  </r>
  <r>
    <d v="2021-11-15T00:00:00"/>
    <s v="TIR0076"/>
    <x v="3"/>
    <s v="Mail"/>
    <n v="612"/>
    <s v="15 Nov Mainline launching D4/6 :_x000a_IOS249 : Door6-hc1 no communication "/>
    <x v="0"/>
    <x v="1"/>
    <s v="we replaced the DCU because it was offline "/>
    <x v="0"/>
    <x v="0"/>
    <d v="2021-11-15T00:00:00"/>
    <s v="NCR332"/>
    <x v="0"/>
    <x v="0"/>
    <x v="0"/>
  </r>
  <r>
    <d v="2021-11-15T00:00:00"/>
    <s v="TIR0078"/>
    <x v="3"/>
    <s v="Mail"/>
    <n v="403"/>
    <s v="15 Nov Mainline launching D4/6 :_x000a_SWD4_V2 is offline after reset became OK"/>
    <x v="0"/>
    <x v="0"/>
    <s v="Reset it and SWD display OK."/>
    <x v="0"/>
    <x v="0"/>
    <d v="2021-11-16T00:00:00"/>
    <m/>
    <x v="0"/>
    <x v="0"/>
    <x v="0"/>
  </r>
  <r>
    <d v="2021-11-15T00:00:00"/>
    <s v="TIR0079"/>
    <x v="3"/>
    <s v="Mail"/>
    <n v="401"/>
    <s v="15 Nov PACIS issues on Mainline_x000a_TCCU 1 Faulty and PEI1 _V1 offline "/>
    <x v="0"/>
    <x v="0"/>
    <s v=" Replaced TCCU1 and PEI1-V1 and to test"/>
    <x v="0"/>
    <x v="0"/>
    <d v="2021-11-16T00:00:00"/>
    <s v="NCR336"/>
    <x v="0"/>
    <x v="0"/>
    <x v="0"/>
  </r>
  <r>
    <d v="2021-11-15T00:00:00"/>
    <s v="TIR0080"/>
    <x v="3"/>
    <s v="Mail"/>
    <n v="403"/>
    <s v="15 Nov PACIS issues on Mainline_x000a_Pei 1_v2 and Pei 6 _v1 Offline "/>
    <x v="0"/>
    <x v="2"/>
    <s v="Checked and confirmed both PEI E1,E2 port have communication issue. "/>
    <x v="0"/>
    <x v="0"/>
    <d v="2021-11-16T00:00:00"/>
    <s v="NCR333_x000a_NCR334"/>
    <x v="0"/>
    <x v="0"/>
    <x v="0"/>
  </r>
  <r>
    <d v="2021-11-15T00:00:00"/>
    <s v="TIR0081"/>
    <x v="3"/>
    <s v="Mail"/>
    <n v="421"/>
    <s v="15 Nov PACIS issues on Mainline_x000a_No CAM working(tccu 1 need to check)"/>
    <x v="0"/>
    <x v="0"/>
    <s v="Updated TCCU1 software and to test "/>
    <x v="0"/>
    <x v="0"/>
    <d v="2021-11-16T00:00:00"/>
    <m/>
    <x v="0"/>
    <x v="0"/>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x v="0"/>
    <d v="2021-11-24T00:00:00"/>
    <s v="NCR319"/>
    <x v="0"/>
    <x v="0"/>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x v="0"/>
    <d v="2021-12-19T00:00:00"/>
    <m/>
    <x v="0"/>
    <x v="0"/>
    <x v="0"/>
  </r>
  <r>
    <d v="2021-11-15T00:00:00"/>
    <s v="TIR0084"/>
    <x v="3"/>
    <s v="Mail"/>
    <n v="423"/>
    <s v="15 Nov PACIS issues on Mainline_x000a_No COM with ism reported on mainline "/>
    <x v="0"/>
    <x v="0"/>
    <s v="Updated TCCU1 software and no more report"/>
    <x v="0"/>
    <x v="0"/>
    <d v="2021-12-08T00:00:00"/>
    <m/>
    <x v="0"/>
    <x v="0"/>
    <x v="0"/>
  </r>
  <r>
    <d v="2021-11-15T00:00:00"/>
    <s v="TIR0085"/>
    <x v="3"/>
    <s v="Mail"/>
    <n v="414"/>
    <s v="15 Nov PACIS issues on Mainline_x000a_IOS196 :pei5_v1 offline"/>
    <x v="0"/>
    <x v="2"/>
    <s v="Checked and confirmed E2 port have communication issue. "/>
    <x v="0"/>
    <x v="0"/>
    <d v="2021-11-16T00:00:00"/>
    <s v="NCR335 "/>
    <x v="0"/>
    <x v="0"/>
    <x v="0"/>
  </r>
  <r>
    <d v="2021-11-15T00:00:00"/>
    <s v="TIR0077"/>
    <x v="3"/>
    <s v="Mail"/>
    <n v="602"/>
    <s v="15 Nov Mainline launching D4/6 :_x000a_IOS247: One ACE have a communication fault"/>
    <x v="0"/>
    <x v="2"/>
    <m/>
    <x v="1"/>
    <x v="0"/>
    <m/>
    <m/>
    <x v="0"/>
    <x v="0"/>
    <x v="0"/>
  </r>
  <r>
    <d v="2021-11-15T00:00:00"/>
    <s v="TIR0086"/>
    <x v="3"/>
    <s v="Mail"/>
    <n v="412"/>
    <s v="15 Nov Mainline launching D4/6 :_x000a_IOS250 : IOS252 and F_TCN_ATC2ComNOK"/>
    <x v="0"/>
    <x v="3"/>
    <s v="Confirmed SLV"/>
    <x v="1"/>
    <x v="0"/>
    <d v="2021-11-15T00:00:00"/>
    <s v="XXXX"/>
    <x v="0"/>
    <x v="0"/>
    <x v="0"/>
  </r>
  <r>
    <d v="2021-11-16T00:00:00"/>
    <s v="TIR0087"/>
    <x v="3"/>
    <s v="Mail"/>
    <n v="612"/>
    <s v="T612 report IOS253, The EVR have a communication fault"/>
    <x v="0"/>
    <x v="0"/>
    <s v="The issue is solved after we update evr software."/>
    <x v="0"/>
    <x v="0"/>
    <d v="2021-11-16T00:00:00"/>
    <s v="XXXX"/>
    <x v="0"/>
    <x v="0"/>
    <x v="0"/>
  </r>
  <r>
    <d v="2021-11-16T00:00:00"/>
    <s v="TIR0088"/>
    <x v="3"/>
    <s v="Mail"/>
    <n v="411"/>
    <s v="IOS196 : Loss of at least 1 PEI in a class, from the MPU logs shown that_x000a_PEI4_V2 communication not stable"/>
    <x v="0"/>
    <x v="0"/>
    <s v="Replaced a new PEI and updated software OK"/>
    <x v="0"/>
    <x v="0"/>
    <d v="2021-12-19T00:00:00"/>
    <s v="NCR0410"/>
    <x v="0"/>
    <x v="0"/>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x v="0"/>
    <d v="2021-11-24T00:00:00"/>
    <s v="NCR338"/>
    <x v="0"/>
    <x v="0"/>
    <x v="0"/>
  </r>
  <r>
    <d v="2021-11-17T00:00:00"/>
    <s v="TIR0090"/>
    <x v="3"/>
    <s v="Mail"/>
    <n v="404"/>
    <s v="IOS226 : Loss of traction and ED brake on one PCE."/>
    <x v="0"/>
    <x v="2"/>
    <s v="25/11/2021 : Isseu rectified, cable for discharging were wrongly connected."/>
    <x v="0"/>
    <x v="0"/>
    <d v="2021-11-25T00:00:00"/>
    <s v="NCR344"/>
    <x v="0"/>
    <x v="0"/>
    <x v="0"/>
  </r>
  <r>
    <d v="2021-11-17T00:00:00"/>
    <s v="TIR0091"/>
    <x v="3"/>
    <s v="Mail"/>
    <n v="401"/>
    <s v="IOS191 : Loss of video recorder."/>
    <x v="0"/>
    <x v="2"/>
    <s v="Recovered automatically , Reboot NVR to simulate the issue ._x000a_still NVR video recording "/>
    <x v="0"/>
    <x v="0"/>
    <m/>
    <m/>
    <x v="0"/>
    <x v="0"/>
    <x v="0"/>
  </r>
  <r>
    <d v="2021-11-17T00:00:00"/>
    <s v="TIR0103"/>
    <x v="3"/>
    <s v="RMDT"/>
    <n v="605"/>
    <s v="TS605 door did not open at 4C1 PF1. _x000a_TS605 dwelled and departed on time "/>
    <x v="0"/>
    <x v="3"/>
    <s v="SLV issue , issue is happen during ATC master changeover "/>
    <x v="1"/>
    <x v="0"/>
    <d v="2021-11-24T00:00:00"/>
    <s v=""/>
    <x v="0"/>
    <x v="0"/>
    <x v="0"/>
  </r>
  <r>
    <d v="2021-11-18T00:00:00"/>
    <s v="TIR0092"/>
    <x v="3"/>
    <s v="Mail"/>
    <n v="606"/>
    <s v="IOS264:more than one UMC have a communication fault"/>
    <x v="0"/>
    <x v="0"/>
    <s v="Found HC2 CRS42 fail to power up.Replaced a new CRS and test OK"/>
    <x v="0"/>
    <x v="0"/>
    <d v="2021-11-22T00:00:00"/>
    <s v="NCR339"/>
    <x v="0"/>
    <x v="0"/>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x v="0"/>
    <d v="2021-12-29T00:00:00"/>
    <s v=""/>
    <x v="0"/>
    <x v="0"/>
    <x v="0"/>
  </r>
  <r>
    <d v="2021-11-21T00:00:00"/>
    <s v="TIR0097"/>
    <x v="3"/>
    <s v="Mail"/>
    <n v="626"/>
    <s v="Mainline launching D4/6._x000a_IOS196 &quot; PEI of line &quot; , PEI1_V1 "/>
    <x v="0"/>
    <x v="0"/>
    <s v="updated software manually,cheched online and display  ok"/>
    <x v="0"/>
    <x v="0"/>
    <d v="2021-12-21T00:00:00"/>
    <s v=""/>
    <x v="0"/>
    <x v="0"/>
    <x v="0"/>
  </r>
  <r>
    <d v="2021-11-21T00:00:00"/>
    <s v="TIR0098"/>
    <x v="3"/>
    <s v="Mail"/>
    <n v="610"/>
    <s v="Mainline launching D4/6._x000a_LEDI1_V2 and (LEDI, LCD &amp; SWD 2_V2) are offline "/>
    <x v="0"/>
    <x v="0"/>
    <s v="See TIR205"/>
    <x v="0"/>
    <x v="0"/>
    <s v=""/>
    <s v=""/>
    <x v="0"/>
    <x v="0"/>
    <x v="0"/>
  </r>
  <r>
    <d v="2021-11-21T00:00:00"/>
    <s v="TIR0099"/>
    <x v="3"/>
    <s v="Mail"/>
    <n v="404"/>
    <s v="SWD1_V1 is offline and LCD2_V1 &amp; LCD2_V2 are dim"/>
    <x v="0"/>
    <x v="1"/>
    <s v="after manually update all now working fine"/>
    <x v="0"/>
    <x v="0"/>
    <d v="2021-11-23T00:00:00"/>
    <s v=""/>
    <x v="0"/>
    <x v="0"/>
    <x v="0"/>
  </r>
  <r>
    <d v="2021-11-21T00:00:00"/>
    <s v="TIR0100"/>
    <x v="3"/>
    <s v="Mail"/>
    <n v="601"/>
    <s v="LCD5_V2 Off line _x000a_LCD2_V1 &amp; SWD4_V1 are shown faulty screens"/>
    <x v="0"/>
    <x v="1"/>
    <s v="after manually update now working fine"/>
    <x v="0"/>
    <x v="0"/>
    <d v="2021-11-22T00:00:00"/>
    <s v=""/>
    <x v="0"/>
    <x v="0"/>
    <x v="0"/>
  </r>
  <r>
    <d v="2021-11-21T00:00:00"/>
    <s v="TIR0101"/>
    <x v="3"/>
    <s v="Mail"/>
    <n v="421"/>
    <s v="HVAC 1_V2 fault"/>
    <x v="0"/>
    <x v="2"/>
    <m/>
    <x v="0"/>
    <x v="0"/>
    <s v=""/>
    <s v="NCR0340"/>
    <x v="0"/>
    <x v="0"/>
    <x v="0"/>
  </r>
  <r>
    <d v="2021-11-21T00:00:00"/>
    <s v="TIR0102"/>
    <x v="3"/>
    <s v="Mail"/>
    <n v="421"/>
    <s v="Emergency ventilation fault _x000a_HVAC2-V2"/>
    <x v="1"/>
    <x v="2"/>
    <m/>
    <x v="2"/>
    <x v="1"/>
    <s v=""/>
    <s v="NCR0341"/>
    <x v="0"/>
    <x v="0"/>
    <x v="0"/>
  </r>
  <r>
    <d v="2021-11-21T00:00:00"/>
    <s v="TIR0095"/>
    <x v="3"/>
    <s v="Mail"/>
    <n v="602"/>
    <s v="Mainline launching D4/6._x000a_the driver noticed during departure from 6F1 train jerking and like sparking "/>
    <x v="3"/>
    <x v="1"/>
    <s v="CCD Cable missing _x000a_HC1-BOGIE2_Fuse box to JB one HV cable not available."/>
    <x v="0"/>
    <x v="0"/>
    <s v=""/>
    <s v="NCR1092"/>
    <x v="0"/>
    <x v="0"/>
    <x v="0"/>
  </r>
  <r>
    <d v="2021-11-21T00:00:00"/>
    <s v="TIR0093"/>
    <x v="2"/>
    <s v="CM"/>
    <n v="610"/>
    <s v="HC1 Horn not working"/>
    <x v="0"/>
    <x v="2"/>
    <s v="Horn connector not proeprly connected"/>
    <x v="1"/>
    <x v="0"/>
    <d v="2021-11-23T00:00:00"/>
    <s v=""/>
    <x v="0"/>
    <x v="0"/>
    <x v="0"/>
  </r>
  <r>
    <d v="2021-11-21T00:00:00"/>
    <s v="TIR1022"/>
    <x v="3"/>
    <s v="Mail"/>
    <n v="616"/>
    <s v="Mainline launching D4/6._x000a_IOS179"/>
    <x v="1"/>
    <x v="2"/>
    <m/>
    <x v="1"/>
    <x v="0"/>
    <d v="2022-02-28T00:00:00"/>
    <s v=""/>
    <x v="0"/>
    <x v="0"/>
    <x v="0"/>
  </r>
  <r>
    <d v="2021-11-23T00:00:00"/>
    <s v="TIR0104"/>
    <x v="0"/>
    <s v="NA"/>
    <n v="403"/>
    <s v="PEI4_V1 fault, lost com, "/>
    <x v="0"/>
    <x v="0"/>
    <s v="Updated software still pei lost communication. Replaced a new one and test ok."/>
    <x v="0"/>
    <x v="0"/>
    <d v="2021-11-23T00:00:00"/>
    <s v="NCR342"/>
    <x v="0"/>
    <x v="0"/>
    <x v="0"/>
  </r>
  <r>
    <d v="2021-11-23T00:00:00"/>
    <s v="TIR0105"/>
    <x v="0"/>
    <s v="NA"/>
    <n v="606"/>
    <s v="SWD1_V1 blinking issue"/>
    <x v="0"/>
    <x v="0"/>
    <s v="12/9/2021:To investigate_x000a_12/26/2021:Updated again software manually and test it online and display OK"/>
    <x v="0"/>
    <x v="0"/>
    <d v="2021-12-26T00:00:00"/>
    <s v="NCR373"/>
    <x v="0"/>
    <x v="0"/>
    <x v="0"/>
  </r>
  <r>
    <d v="2021-11-23T00:00:00"/>
    <s v="TIR0106"/>
    <x v="3"/>
    <s v="Mail"/>
    <n v="601"/>
    <s v="PEI2_V1,PEI1_V2,PEI3_V2,PEI5_V2"/>
    <x v="0"/>
    <x v="1"/>
    <s v="update the software Manually all PEI Online. Date:24/11/2021 again cross In ism(pei2_v1,pei1_v2,pei5_v2) need to replace "/>
    <x v="0"/>
    <x v="0"/>
    <d v="2021-11-23T00:00:00"/>
    <s v=""/>
    <x v="0"/>
    <x v="0"/>
    <x v="0"/>
  </r>
  <r>
    <d v="2021-11-23T00:00:00"/>
    <s v="TIR0108"/>
    <x v="3"/>
    <s v="Mail"/>
    <n v="420"/>
    <s v=" combine test RST NOK"/>
    <x v="0"/>
    <x v="1"/>
    <s v="Door #1 hc2 Found cable mechanically not connected in proper pulley"/>
    <x v="0"/>
    <x v="0"/>
    <d v="2021-11-23T00:00:00"/>
    <s v=""/>
    <x v="0"/>
    <x v="0"/>
    <x v="0"/>
  </r>
  <r>
    <d v="2021-11-23T00:00:00"/>
    <s v="TIR0107"/>
    <x v="3"/>
    <s v="Mail"/>
    <n v="603"/>
    <s v="Red light Door3 V1"/>
    <x v="0"/>
    <x v="1"/>
    <m/>
    <x v="1"/>
    <x v="0"/>
    <d v="2021-11-24T00:00:00"/>
    <s v=""/>
    <x v="0"/>
    <x v="0"/>
    <x v="0"/>
  </r>
  <r>
    <d v="2021-11-25T00:00:00"/>
    <s v="TIR0109"/>
    <x v="3"/>
    <s v="Mail"/>
    <n v="604"/>
    <s v="TOM issue : IOS 191 and F_N VR1Lostcom"/>
    <x v="0"/>
    <x v="2"/>
    <s v="Checekd and found NVR HDD1 faulty since 19/7/2021. Swapped HDD and confirmed HDD malfunction, already replaced and test it."/>
    <x v="0"/>
    <x v="0"/>
    <d v="2021-11-29T00:00:00"/>
    <s v="NCR343"/>
    <x v="0"/>
    <x v="0"/>
    <x v="0"/>
  </r>
  <r>
    <d v="2021-11-25T00:00:00"/>
    <s v="TIR0110"/>
    <x v="3"/>
    <s v="Mail"/>
    <n v="516"/>
    <s v="BRIO 72A32 faulty"/>
    <x v="1"/>
    <x v="2"/>
    <s v="Checked and confirmed that BRIO 72A32 faulty (Analog input and output) failure. Need to replace."/>
    <x v="0"/>
    <x v="0"/>
    <s v=""/>
    <s v="NCR0346"/>
    <x v="0"/>
    <x v="0"/>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x v="0"/>
    <d v="2022-02-07T00:00:00"/>
    <s v=""/>
    <x v="0"/>
    <x v="0"/>
    <x v="0"/>
  </r>
  <r>
    <d v="2021-11-29T00:00:00"/>
    <s v="TIR0112"/>
    <x v="2"/>
    <s v="NA"/>
    <n v="411"/>
    <s v="PEI5-V1 NOK from ISM"/>
    <x v="0"/>
    <x v="0"/>
    <s v="Updated PEI software and PEI status is good in ISM side,"/>
    <x v="0"/>
    <x v="0"/>
    <d v="2021-12-08T00:00:00"/>
    <s v=""/>
    <x v="0"/>
    <x v="0"/>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x v="0"/>
    <m/>
    <m/>
    <x v="0"/>
    <x v="0"/>
    <x v="0"/>
  </r>
  <r>
    <d v="2021-11-29T00:00:00"/>
    <s v="TIR0113"/>
    <x v="2"/>
    <s v="NA"/>
    <n v="610"/>
    <s v="CB 61Q05 trip during rescue coupling "/>
    <x v="0"/>
    <x v="1"/>
    <s v="During the Rescue coupling they coupled 612HC2 and 610HC1 side the problem we found in 612 HC2. two cables was cross in PB+RP3(WF00105\108 and WF00103_01\107)"/>
    <x v="1"/>
    <x v="0"/>
    <d v="2021-12-09T00:00:00"/>
    <s v=""/>
    <x v="0"/>
    <x v="0"/>
    <x v="0"/>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x v="0"/>
    <d v="2022-01-27T00:00:00"/>
    <m/>
    <x v="0"/>
    <x v="0"/>
    <x v="0"/>
  </r>
  <r>
    <d v="2021-11-30T00:00:00"/>
    <s v="TIR0115"/>
    <x v="3"/>
    <s v="Mail"/>
    <n v="418"/>
    <s v="IOS179 + IOS185"/>
    <x v="0"/>
    <x v="2"/>
    <s v="Found ACE2 has critical faults, after reset no more IOSs."/>
    <x v="0"/>
    <x v="0"/>
    <s v=""/>
    <s v=""/>
    <x v="0"/>
    <x v="0"/>
    <x v="0"/>
  </r>
  <r>
    <d v="2021-11-30T00:00:00"/>
    <s v="TIR0119"/>
    <x v="3"/>
    <s v="Mail"/>
    <n v="410"/>
    <s v="IOS191 : Loss of video recorder."/>
    <x v="0"/>
    <x v="2"/>
    <s v="Found NVR IP is online but TOM NOK also from the MPU logs shown_x000a_ “F_NVR1LostCom then F_NVR1Fault” and shown faulty LED light on the device"/>
    <x v="0"/>
    <x v="0"/>
    <s v=""/>
    <s v=""/>
    <x v="0"/>
    <x v="0"/>
    <x v="0"/>
  </r>
  <r>
    <d v="2021-11-30T00:00:00"/>
    <s v="TIR0121"/>
    <x v="6"/>
    <s v="NA"/>
    <n v="404"/>
    <s v="Both TCCU have not same software "/>
    <x v="0"/>
    <x v="0"/>
    <s v="Updated both TCCU to STR570 verstion"/>
    <x v="0"/>
    <x v="0"/>
    <d v="2021-12-08T00:00:00"/>
    <s v=""/>
    <x v="0"/>
    <x v="0"/>
    <x v="0"/>
  </r>
  <r>
    <d v="2021-11-30T00:00:00"/>
    <s v="TIR0122"/>
    <x v="3"/>
    <s v="Mail"/>
    <n v="651"/>
    <s v="WSP + Holding brake issue "/>
    <x v="0"/>
    <x v="3"/>
    <s v="05/12 : A-MATRIC of train 604 replaced and programmed."/>
    <x v="0"/>
    <x v="0"/>
    <d v="2021-12-05T00:00:00"/>
    <s v="NCR350"/>
    <x v="0"/>
    <x v="0"/>
    <x v="0"/>
  </r>
  <r>
    <d v="2021-11-30T00:00:00"/>
    <s v="TIR0123"/>
    <x v="3"/>
    <s v="Alarm Viewer Alarms Report"/>
    <n v="405"/>
    <s v="IOS196 &quot; PEI of line &quot;"/>
    <x v="0"/>
    <x v="5"/>
    <s v="Updated the pei software and online"/>
    <x v="0"/>
    <x v="0"/>
    <d v="2021-12-12T00:00:00"/>
    <m/>
    <x v="0"/>
    <x v="0"/>
    <x v="0"/>
  </r>
  <r>
    <d v="2021-11-30T00:00:00"/>
    <s v="TIR0118"/>
    <x v="3"/>
    <s v="Mail"/>
    <n v="623"/>
    <s v="IOS227"/>
    <x v="3"/>
    <x v="2"/>
    <s v="Highlighted by TC thru Irvin ~12:49 but train is moving,_x000a_ Checked and found in PCE1 have QNEB failure many times."/>
    <x v="0"/>
    <x v="0"/>
    <s v=""/>
    <s v="NCR409"/>
    <x v="0"/>
    <x v="0"/>
    <x v="0"/>
  </r>
  <r>
    <d v="2021-11-30T00:00:00"/>
    <s v="TIR0125"/>
    <x v="3"/>
    <s v="Alarm Viewer Alarms Report"/>
    <n v="601"/>
    <s v="IOS196 &quot; PEI of line &quot;_x000a_LCD5-V2 error display_x000a_LEDI5-V2 error display"/>
    <x v="1"/>
    <x v="0"/>
    <s v="Updaed software manually and test ok"/>
    <x v="1"/>
    <x v="0"/>
    <d v="2022-01-26T00:00:00"/>
    <s v="NCR0381"/>
    <x v="0"/>
    <x v="0"/>
    <x v="0"/>
  </r>
  <r>
    <d v="2021-11-30T00:00:00"/>
    <s v="TIR0126"/>
    <x v="3"/>
    <s v="NA"/>
    <n v="512"/>
    <s v="IOS179 + IOS180"/>
    <x v="2"/>
    <x v="2"/>
    <s v="CVS1 faulty due to HVAC2_V1 compressor fault and HVAC1_V1 ventilation fault (overcurrent). Switch off HVAC 52Q06 CB and reset CVS1, CVS working normal.Nedd to checked HVAC compressor."/>
    <x v="3"/>
    <x v="1"/>
    <m/>
    <s v="NCR348"/>
    <x v="0"/>
    <x v="0"/>
    <x v="0"/>
  </r>
  <r>
    <d v="2021-11-30T00:00:00"/>
    <s v="TIR0114"/>
    <x v="3"/>
    <s v="Mail"/>
    <n v="404"/>
    <s v="IOS263/IOS250_x000a_both V2 HVAC NOK then only HVAC1_V2 NOK"/>
    <x v="0"/>
    <x v="1"/>
    <s v="No issue found"/>
    <x v="1"/>
    <x v="0"/>
    <d v="2021-12-08T00:00:00"/>
    <s v=""/>
    <x v="0"/>
    <x v="0"/>
    <x v="0"/>
  </r>
  <r>
    <d v="2021-11-30T00:00:00"/>
    <s v="TIR0116"/>
    <x v="3"/>
    <s v="Mail"/>
    <n v="624"/>
    <s v="IOS061 + IOS071"/>
    <x v="0"/>
    <x v="1"/>
    <s v="Found EAD2_V2’s key not in proper position. After normalized it no more IOSs."/>
    <x v="1"/>
    <x v="0"/>
    <d v="2021-12-16T00:00:00"/>
    <s v=""/>
    <x v="0"/>
    <x v="0"/>
    <x v="0"/>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x v="0"/>
    <d v="2021-12-01T00:00:00"/>
    <s v=""/>
    <x v="0"/>
    <x v="0"/>
    <x v="0"/>
  </r>
  <r>
    <d v="2021-11-30T00:00:00"/>
    <s v="TIR0120"/>
    <x v="6"/>
    <s v="NA"/>
    <n v="414"/>
    <s v="Train communication issue see in the log"/>
    <x v="0"/>
    <x v="3"/>
    <s v="30/12 : Train checked and communication with all equipment ok. Issue happened last 14 November with communication lost with CRS1_V1 first."/>
    <x v="1"/>
    <x v="0"/>
    <s v=""/>
    <s v=""/>
    <x v="0"/>
    <x v="0"/>
    <x v="0"/>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x v="0"/>
    <m/>
    <m/>
    <x v="0"/>
    <x v="0"/>
    <x v="0"/>
  </r>
  <r>
    <d v="2021-11-30T00:00:00"/>
    <s v="TIR1023"/>
    <x v="3"/>
    <s v="Alarm Viewer Alarms Report"/>
    <n v="409"/>
    <s v="IOS196 &quot; PEI of line &quot;"/>
    <x v="1"/>
    <x v="5"/>
    <s v="Checked all PEIs online"/>
    <x v="1"/>
    <x v="0"/>
    <d v="2022-02-06T00:00:00"/>
    <m/>
    <x v="0"/>
    <x v="0"/>
    <x v="0"/>
  </r>
  <r>
    <d v="2021-12-01T00:00:00"/>
    <s v="TIR0128"/>
    <x v="2"/>
    <s v="Mail"/>
    <n v="603"/>
    <s v="TU4:EB in UTO/ATPM mode"/>
    <x v="0"/>
    <x v="3"/>
    <s v="Found one wire W56802 wrongly connected and correct it, and no more EB happened"/>
    <x v="0"/>
    <x v="0"/>
    <d v="2021-12-08T00:00:00"/>
    <s v="NCR349"/>
    <x v="0"/>
    <x v="0"/>
    <x v="0"/>
  </r>
  <r>
    <d v="2021-12-01T00:00:00"/>
    <s v="TIR0129"/>
    <x v="2"/>
    <s v="Mail"/>
    <n v="618"/>
    <s v="TU4:EB in UTO/ATPM mode"/>
    <x v="0"/>
    <x v="0"/>
    <s v="Checked the wires are OK, and no issue found, to test it"/>
    <x v="0"/>
    <x v="0"/>
    <d v="2021-12-08T00:00:00"/>
    <m/>
    <x v="0"/>
    <x v="0"/>
    <x v="0"/>
  </r>
  <r>
    <d v="2021-12-01T00:00:00"/>
    <s v="TIR0130"/>
    <x v="3"/>
    <s v="Mail"/>
    <n v="410"/>
    <s v="NVR fault"/>
    <x v="0"/>
    <x v="2"/>
    <s v="NVR lost communication and after checked by STE local support, confirmed NVR lost communication everytime train wake up. NVR will be replaced."/>
    <x v="0"/>
    <x v="0"/>
    <d v="2021-12-02T00:00:00"/>
    <s v="NCR351"/>
    <x v="0"/>
    <x v="0"/>
    <x v="0"/>
  </r>
  <r>
    <d v="2021-12-05T00:00:00"/>
    <s v="TIR0131"/>
    <x v="2"/>
    <s v="NA"/>
    <n v="414"/>
    <s v="DRM4 , DRM5 , LCD5 , LID4 , LID5 _x000a_loss of communication"/>
    <x v="0"/>
    <x v="0"/>
    <s v="Checked on 07/12/2021,and follow to  TIR173"/>
    <x v="0"/>
    <x v="0"/>
    <d v="2021-12-08T00:00:00"/>
    <m/>
    <x v="0"/>
    <x v="0"/>
    <x v="0"/>
  </r>
  <r>
    <d v="2021-12-05T00:00:00"/>
    <s v="TIR0132"/>
    <x v="2"/>
    <s v="NA"/>
    <n v="409"/>
    <s v="SWD2-V2 offline"/>
    <x v="0"/>
    <x v="0"/>
    <s v="Updated again software manually and test it online and display OK"/>
    <x v="0"/>
    <x v="0"/>
    <d v="2021-12-27T00:00:00"/>
    <s v="NCR363"/>
    <x v="0"/>
    <x v="0"/>
    <x v="0"/>
  </r>
  <r>
    <d v="2021-12-05T00:00:00"/>
    <s v="TIR0136"/>
    <x v="3"/>
    <s v="Mail"/>
    <n v="413"/>
    <s v="IOS264 : More than one MUC have a communication fault"/>
    <x v="0"/>
    <x v="0"/>
    <s v="Update the TCCU2 software and no more ios264"/>
    <x v="0"/>
    <x v="0"/>
    <d v="2021-12-08T00:00:00"/>
    <m/>
    <x v="0"/>
    <x v="0"/>
    <x v="0"/>
  </r>
  <r>
    <d v="2021-12-05T00:00:00"/>
    <s v="TIR0134"/>
    <x v="0"/>
    <s v="PM1950"/>
    <n v="418"/>
    <s v="Hc1- Door1 glass Minor cracked at corner"/>
    <x v="1"/>
    <x v="1"/>
    <s v="Need to Reapair "/>
    <x v="3"/>
    <x v="1"/>
    <m/>
    <s v="NCR0352"/>
    <x v="0"/>
    <x v="0"/>
    <x v="0"/>
  </r>
  <r>
    <d v="2021-12-05T00:00:00"/>
    <s v="TIR0135"/>
    <x v="3"/>
    <s v="NA"/>
    <n v="624"/>
    <s v="Hc1- Door4 and Window glass Scratches"/>
    <x v="1"/>
    <x v="1"/>
    <s v="Reapaired by Painter"/>
    <x v="3"/>
    <x v="1"/>
    <m/>
    <s v="NCR0353"/>
    <x v="0"/>
    <x v="0"/>
    <x v="0"/>
  </r>
  <r>
    <d v="2021-12-05T00:00:00"/>
    <s v="TIR0140"/>
    <x v="3"/>
    <s v="RMDT Report"/>
    <n v="623"/>
    <s v="IOS196 : Loss of PEI"/>
    <x v="1"/>
    <x v="5"/>
    <s v="PEI E2 port faulty - to be replaced with new one_x000a_2/6/2022: found PEI3-V1 report lost communication; Updated software manually and test ok"/>
    <x v="1"/>
    <x v="0"/>
    <d v="2022-02-06T00:00:00"/>
    <s v="NCR0356"/>
    <x v="0"/>
    <x v="0"/>
    <x v="0"/>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x v="0"/>
    <m/>
    <s v=""/>
    <x v="0"/>
    <x v="0"/>
    <x v="0"/>
  </r>
  <r>
    <d v="2021-12-05T00:00:00"/>
    <s v="TIR0138"/>
    <x v="3"/>
    <s v="RMDT Report"/>
    <n v="407"/>
    <s v="TS 407: “IOS96 : Discrepancy between K_ZeroVel relay and BCE or PCE or ATC”,_x000a_"/>
    <x v="0"/>
    <x v="3"/>
    <s v="07/12 : From MPU log no IOS96 triggered. Logs checked from 23 november to 7 december."/>
    <x v="1"/>
    <x v="0"/>
    <d v="2021-12-07T00:00:00"/>
    <m/>
    <x v="0"/>
    <x v="0"/>
    <x v="0"/>
  </r>
  <r>
    <d v="2021-12-05T00:00:00"/>
    <s v="TIR1024"/>
    <x v="2"/>
    <s v="NA"/>
    <n v="416"/>
    <s v="PEI2-V1 loss of communication"/>
    <x v="1"/>
    <x v="5"/>
    <s v="Checked and no issue found"/>
    <x v="1"/>
    <x v="0"/>
    <d v="2022-01-19T00:00:00"/>
    <m/>
    <x v="0"/>
    <x v="0"/>
    <x v="0"/>
  </r>
  <r>
    <d v="2021-12-05T00:00:00"/>
    <s v="TIR1025"/>
    <x v="3"/>
    <s v="RMDT Report"/>
    <n v="422"/>
    <s v="IOS196 : Loss of PEI"/>
    <x v="1"/>
    <x v="5"/>
    <s v="Checked PEIs all online"/>
    <x v="1"/>
    <x v="0"/>
    <d v="2022-01-20T00:00:00"/>
    <m/>
    <x v="0"/>
    <x v="0"/>
    <x v="0"/>
  </r>
  <r>
    <d v="2021-12-06T00:00:00"/>
    <s v="TIR0141"/>
    <x v="0"/>
    <s v="NA"/>
    <n v="605"/>
    <s v="LEDI fail to power up"/>
    <x v="0"/>
    <x v="0"/>
    <s v="Replaced a new LEDI and updated software OK"/>
    <x v="0"/>
    <x v="0"/>
    <d v="2021-12-06T00:00:00"/>
    <s v="NCR355"/>
    <x v="0"/>
    <x v="0"/>
    <x v="0"/>
  </r>
  <r>
    <d v="2021-12-06T00:00:00"/>
    <s v="TIR0150"/>
    <x v="0"/>
    <s v="PM2028"/>
    <n v="608"/>
    <s v="HC2-RHS Saloon lights Dim."/>
    <x v="0"/>
    <x v="1"/>
    <s v="110v to 24v DC converter output emergency Switch in 3 coverter was on worng position it should be on 100% "/>
    <x v="0"/>
    <x v="0"/>
    <d v="2021-12-12T00:00:00"/>
    <m/>
    <x v="0"/>
    <x v="0"/>
    <x v="0"/>
  </r>
  <r>
    <d v="2021-12-06T00:00:00"/>
    <s v="TIR0154"/>
    <x v="0"/>
    <s v="PM2026"/>
    <n v="412"/>
    <s v="hc1 axle 3 oil level low hc2 axle 2 oil level low"/>
    <x v="0"/>
    <x v="3"/>
    <s v="08/12 : visual inspection done. No leakage found, need to normalize the oil level. All other axle are close to the low level also. "/>
    <x v="0"/>
    <x v="0"/>
    <m/>
    <m/>
    <x v="0"/>
    <x v="0"/>
    <x v="0"/>
  </r>
  <r>
    <d v="2021-12-06T00:00:00"/>
    <s v="TIR0155"/>
    <x v="0"/>
    <s v="PM2026"/>
    <n v="412"/>
    <s v="HC1-CAB LIGHT DIM ,                                                                                                                                                       HC1-GANGWAY LIGHT DIM"/>
    <x v="0"/>
    <x v="0"/>
    <s v="12/9/2021:To investigate_x000a_12/19/2021:Adjust the light parameters and light is OK"/>
    <x v="0"/>
    <x v="0"/>
    <d v="2021-12-19T00:00:00"/>
    <m/>
    <x v="0"/>
    <x v="0"/>
    <x v="0"/>
  </r>
  <r>
    <d v="2021-12-06T00:00:00"/>
    <s v="TIR0156"/>
    <x v="0"/>
    <s v="PM2025"/>
    <n v="411"/>
    <s v="HC1- Cab light Dim, HC1&amp;2-GANGWAY LIGHT DIM"/>
    <x v="0"/>
    <x v="0"/>
    <s v="12/9/2021:To investigate_x000a_12/19/2021:Adjust the light parameters and light is OK"/>
    <x v="0"/>
    <x v="0"/>
    <d v="2021-12-19T00:00:00"/>
    <m/>
    <x v="0"/>
    <x v="0"/>
    <x v="0"/>
  </r>
  <r>
    <d v="2021-12-06T00:00:00"/>
    <s v="TIR0166"/>
    <x v="3"/>
    <s v="Mail"/>
    <n v="623"/>
    <s v="Ledi6_V2 - blank"/>
    <x v="0"/>
    <x v="0"/>
    <s v="Updated software manuall and test OK"/>
    <x v="0"/>
    <x v="0"/>
    <d v="2022-01-02T00:00:00"/>
    <s v="NCR0366"/>
    <x v="0"/>
    <x v="0"/>
    <x v="0"/>
  </r>
  <r>
    <d v="2021-12-06T00:00:00"/>
    <s v="TIR0168"/>
    <x v="6"/>
    <s v="Mail"/>
    <n v="619"/>
    <s v="Lcd1_V2, ledi1_V2, swd1_V2 &amp; ledi5_V2 blank &amp; multimedia not update"/>
    <x v="0"/>
    <x v="0"/>
    <s v="12/9/2021:To investigate_x000a_1/9/2022:update media OK,   checked other devices ok."/>
    <x v="0"/>
    <x v="0"/>
    <d v="2022-01-09T00:00:00"/>
    <s v="NCR0367"/>
    <x v="0"/>
    <x v="0"/>
    <x v="0"/>
  </r>
  <r>
    <d v="2021-12-06T00:00:00"/>
    <s v="TIR0169"/>
    <x v="3"/>
    <s v="Mail"/>
    <n v="613"/>
    <s v="IOS226: Loss of traction and ED brake on one PCE"/>
    <x v="0"/>
    <x v="2"/>
    <s v="Checked and found same issue with 404, logs already send and waiting for feedback. SW09"/>
    <x v="0"/>
    <x v="0"/>
    <m/>
    <s v="NCR399"/>
    <x v="0"/>
    <x v="0"/>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x v="0"/>
    <m/>
    <s v="NCR0354"/>
    <x v="0"/>
    <x v="0"/>
    <x v="0"/>
  </r>
  <r>
    <d v="2021-12-06T00:00:00"/>
    <s v="TIR0145"/>
    <x v="0"/>
    <s v="PM2030"/>
    <n v="623"/>
    <s v="HC1-GCR saloon light not lit"/>
    <x v="1"/>
    <x v="1"/>
    <m/>
    <x v="0"/>
    <x v="0"/>
    <m/>
    <s v="NCR0396"/>
    <x v="0"/>
    <x v="0"/>
    <x v="0"/>
  </r>
  <r>
    <d v="2021-12-06T00:00:00"/>
    <s v="TIR0146"/>
    <x v="0"/>
    <s v="PM2030"/>
    <n v="623"/>
    <s v="HC1-stinger cap cover broken"/>
    <x v="1"/>
    <x v="1"/>
    <m/>
    <x v="3"/>
    <x v="1"/>
    <m/>
    <s v="NCR0406"/>
    <x v="0"/>
    <x v="0"/>
    <x v="0"/>
  </r>
  <r>
    <d v="2021-12-06T00:00:00"/>
    <s v="TIR0148"/>
    <x v="0"/>
    <s v="PM2028"/>
    <n v="608"/>
    <s v="1.HVAC-Roof Panel gap filler  plate not fixed(near to Gangway)"/>
    <x v="1"/>
    <x v="1"/>
    <s v="Parts not available"/>
    <x v="3"/>
    <x v="1"/>
    <m/>
    <s v="NCR0372"/>
    <x v="0"/>
    <x v="0"/>
    <x v="0"/>
  </r>
  <r>
    <d v="2021-12-06T00:00:00"/>
    <s v="TIR0151"/>
    <x v="0"/>
    <s v="PM2027"/>
    <n v="603"/>
    <s v="HC2-Bogie1_Axle2 minor air leakage "/>
    <x v="1"/>
    <x v="3"/>
    <s v="19/12 : leakage found from the spring brake part. (BRAKE UNIT WITH PARKING BRAKE)._x000a_Need to normalize by replacing the brake part."/>
    <x v="3"/>
    <x v="1"/>
    <m/>
    <s v="NCR0403"/>
    <x v="0"/>
    <x v="0"/>
    <x v="0"/>
  </r>
  <r>
    <d v="2021-12-06T00:00:00"/>
    <s v="TIR0152"/>
    <x v="0"/>
    <s v="PM2027"/>
    <n v="603"/>
    <s v="Becon Antenna screw not there(4 missing),_x000a_HC2-Left side hose not availabe,"/>
    <x v="1"/>
    <x v="1"/>
    <m/>
    <x v="3"/>
    <x v="1"/>
    <m/>
    <s v="NCR0361 NCR0362"/>
    <x v="0"/>
    <x v="0"/>
    <x v="0"/>
  </r>
  <r>
    <d v="2021-12-06T00:00:00"/>
    <s v="TIR0158"/>
    <x v="0"/>
    <s v="PM2025"/>
    <n v="411"/>
    <s v="HC1- Electrical Coupler NOK. ( Required Fasteners )."/>
    <x v="1"/>
    <x v="2"/>
    <s v="Waiting for spare part."/>
    <x v="3"/>
    <x v="1"/>
    <m/>
    <s v="NCR0358"/>
    <x v="0"/>
    <x v="0"/>
    <x v="0"/>
  </r>
  <r>
    <d v="2021-12-06T00:00:00"/>
    <s v="TIR0160"/>
    <x v="0"/>
    <s v="PM2031"/>
    <n v="503"/>
    <s v="Gangway lights Dim in Hc1 and Hc2,working inversely"/>
    <x v="1"/>
    <x v="1"/>
    <m/>
    <x v="0"/>
    <x v="0"/>
    <m/>
    <s v="NCR0425"/>
    <x v="0"/>
    <x v="0"/>
    <x v="0"/>
  </r>
  <r>
    <d v="2021-12-06T00:00:00"/>
    <s v="TIR0161"/>
    <x v="0"/>
    <s v="PM2031"/>
    <n v="503"/>
    <s v="HC1 Bogie2 Right- Fuse box glass minor cracked."/>
    <x v="1"/>
    <x v="2"/>
    <m/>
    <x v="3"/>
    <x v="1"/>
    <m/>
    <s v="NCR0429"/>
    <x v="0"/>
    <x v="0"/>
    <x v="0"/>
  </r>
  <r>
    <d v="2021-12-06T00:00:00"/>
    <s v="TIR0162"/>
    <x v="0"/>
    <s v="NA"/>
    <n v="608"/>
    <s v="T608_HC2_AGTU filter locked nut tread damaged."/>
    <x v="1"/>
    <x v="3"/>
    <s v="06/12 : need to change it and normalize."/>
    <x v="0"/>
    <x v="0"/>
    <m/>
    <s v="NCR0357"/>
    <x v="0"/>
    <x v="0"/>
    <x v="0"/>
  </r>
  <r>
    <d v="2021-12-06T00:00:00"/>
    <s v="TIR0163"/>
    <x v="0"/>
    <s v="NA"/>
    <n v="623"/>
    <s v="T623_HC2_RHS_ Sanding rubber hoses damaged - _x000a_1 nos. (DTR0000550155)"/>
    <x v="1"/>
    <x v="1"/>
    <s v="Need to replace "/>
    <x v="3"/>
    <x v="1"/>
    <m/>
    <s v="NCR0361"/>
    <x v="0"/>
    <x v="0"/>
    <x v="0"/>
  </r>
  <r>
    <d v="2021-12-06T00:00:00"/>
    <s v="TIR0164"/>
    <x v="0"/>
    <s v="NA"/>
    <n v="502"/>
    <s v="Sanding rubber hoses missing - 4 nos, clamp - 4pcs. (RIY 000000370)"/>
    <x v="1"/>
    <x v="1"/>
    <s v="Sending hoses need to install "/>
    <x v="3"/>
    <x v="1"/>
    <m/>
    <s v="NCR0360"/>
    <x v="0"/>
    <x v="0"/>
    <x v="0"/>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x v="0"/>
    <m/>
    <s v="NCR409"/>
    <x v="0"/>
    <x v="0"/>
    <x v="0"/>
  </r>
  <r>
    <d v="2021-12-06T00:00:00"/>
    <s v="TIR0144"/>
    <x v="0"/>
    <s v="PM2030"/>
    <n v="623"/>
    <s v="Door-Inter glass Nok ( not closed and locked)"/>
    <x v="0"/>
    <x v="1"/>
    <m/>
    <x v="1"/>
    <x v="0"/>
    <d v="2021-12-19T00:00:00"/>
    <m/>
    <x v="0"/>
    <x v="0"/>
    <x v="0"/>
  </r>
  <r>
    <d v="2021-12-06T00:00:00"/>
    <s v="TIR0147"/>
    <x v="0"/>
    <s v="PM2028"/>
    <n v="608"/>
    <s v="HC1-Headligh LHS white led not ok."/>
    <x v="0"/>
    <x v="1"/>
    <s v="both head light are working fine no issue found "/>
    <x v="1"/>
    <x v="0"/>
    <d v="2021-12-08T00:00:00"/>
    <m/>
    <x v="0"/>
    <x v="0"/>
    <x v="0"/>
  </r>
  <r>
    <d v="2021-12-06T00:00:00"/>
    <s v="TIR0149"/>
    <x v="0"/>
    <s v="PM2028"/>
    <n v="608"/>
    <s v="2. Earth cable not fixed between Permanent coupler _Retofit "/>
    <x v="0"/>
    <x v="2"/>
    <m/>
    <x v="0"/>
    <x v="0"/>
    <m/>
    <s v="NCR359"/>
    <x v="0"/>
    <x v="0"/>
    <x v="0"/>
  </r>
  <r>
    <d v="2021-12-06T00:00:00"/>
    <s v="TIR0153"/>
    <x v="0"/>
    <s v="PM2027"/>
    <n v="603"/>
    <s v="HC1-CAB Headlight Nok(LHS) BLINK,HC2-UNDER seat Light Not lit"/>
    <x v="0"/>
    <x v="1"/>
    <m/>
    <x v="1"/>
    <x v="0"/>
    <d v="2021-12-19T00:00:00"/>
    <m/>
    <x v="0"/>
    <x v="0"/>
    <x v="0"/>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x v="0"/>
    <m/>
    <m/>
    <x v="0"/>
    <x v="0"/>
    <x v="0"/>
  </r>
  <r>
    <d v="2021-12-06T00:00:00"/>
    <s v="TIR0167"/>
    <x v="3"/>
    <s v="Mail"/>
    <n v="619"/>
    <s v="IOS185:1 APC LV Status false, _x000a_IOS179:1 APC MV Status false"/>
    <x v="0"/>
    <x v="2"/>
    <s v="Check logs in the webScope for ACE2 shown the CVS locked due to reversible mode failure.Waiting for CVS software."/>
    <x v="1"/>
    <x v="0"/>
    <m/>
    <m/>
    <x v="0"/>
    <x v="0"/>
    <x v="0"/>
  </r>
  <r>
    <d v="2021-12-06T00:00:00"/>
    <s v="TIR1026"/>
    <x v="3"/>
    <s v="Mail"/>
    <s v="All"/>
    <s v="fake derailment alarm in case of coupling."/>
    <x v="1"/>
    <x v="4"/>
    <s v="CR TCMS to open "/>
    <x v="1"/>
    <x v="0"/>
    <m/>
    <m/>
    <x v="0"/>
    <x v="0"/>
    <x v="0"/>
  </r>
  <r>
    <d v="2021-12-06T00:00:00"/>
    <s v="TIR1027"/>
    <x v="0"/>
    <s v="PM2025"/>
    <n v="411"/>
    <s v="IP offline [ HC1{ Pei5, ]  HC2-SWD.3 NOK"/>
    <x v="1"/>
    <x v="5"/>
    <s v="Replaced a new PEI and updated software OK"/>
    <x v="1"/>
    <x v="0"/>
    <d v="2022-03-15T00:00:00"/>
    <s v="NCR0410"/>
    <x v="0"/>
    <x v="0"/>
    <x v="0"/>
  </r>
  <r>
    <d v="2021-12-07T00:00:00"/>
    <s v="TIR0171"/>
    <x v="6"/>
    <s v="NA"/>
    <n v="403"/>
    <s v="LEDI6-V1 ,LEDI4-V2 error dispaly"/>
    <x v="0"/>
    <x v="0"/>
    <s v="12/9/2021:To investigat_x000a_1/2/2022:Updated LEDI software manually and OK"/>
    <x v="0"/>
    <x v="0"/>
    <d v="2022-01-02T00:00:00"/>
    <s v="NCR0368"/>
    <x v="0"/>
    <x v="0"/>
    <x v="0"/>
  </r>
  <r>
    <d v="2021-12-07T00:00:00"/>
    <s v="TIR0172"/>
    <x v="6"/>
    <s v="NA"/>
    <n v="619"/>
    <s v="LEDI5-V2 dark, and offline"/>
    <x v="0"/>
    <x v="0"/>
    <s v="12/9/2021:To investigate_x000a_1/3/2022:Updated software manually and test OK"/>
    <x v="0"/>
    <x v="0"/>
    <d v="2022-01-03T00:00:00"/>
    <s v="NCR0369"/>
    <x v="0"/>
    <x v="0"/>
    <x v="0"/>
  </r>
  <r>
    <d v="2021-12-07T00:00:00"/>
    <s v="TIR0170"/>
    <x v="3"/>
    <s v="Mail"/>
    <n v="411"/>
    <s v="coupler without electrical coupler cover"/>
    <x v="1"/>
    <x v="1"/>
    <s v="coupler without electrical coupler cover need to install"/>
    <x v="3"/>
    <x v="1"/>
    <m/>
    <s v="NCR0358"/>
    <x v="0"/>
    <x v="0"/>
    <x v="0"/>
  </r>
  <r>
    <d v="2021-12-07T00:00:00"/>
    <s v="TIR0173"/>
    <x v="6"/>
    <s v="NA"/>
    <n v="414"/>
    <s v="LEDI4-V1 dark and offline_x000a_SWD5-V1 dark and offline_x000a_LCD5-V1 error display and offline"/>
    <x v="1"/>
    <x v="0"/>
    <s v="12/9/2021:To investigate_x000a_1/26/2022:Updated software manually and test OK"/>
    <x v="1"/>
    <x v="0"/>
    <d v="2022-01-26T00:00:00"/>
    <s v="NCR0370"/>
    <x v="0"/>
    <x v="0"/>
    <x v="0"/>
  </r>
  <r>
    <d v="2021-12-08T00:00:00"/>
    <s v="TIR0174"/>
    <x v="6"/>
    <s v="NA"/>
    <n v="423"/>
    <s v="LCD6-V1,SWD6-V1,LEDI6-V1 offline_x000a_SWD4-V2 offline and dark_x000a_SWD2-V2 half display"/>
    <x v="0"/>
    <x v="0"/>
    <s v="12/9/2021:To investigate_x000a_1/5/2022:Updated software manually and test OK"/>
    <x v="0"/>
    <x v="0"/>
    <d v="2022-01-09T00:00:00"/>
    <s v="NCR0371"/>
    <x v="0"/>
    <x v="0"/>
    <x v="0"/>
  </r>
  <r>
    <d v="2021-12-08T00:00:00"/>
    <s v="TIR0177"/>
    <x v="0"/>
    <s v="PM2035"/>
    <n v="605"/>
    <s v="HC1-Traction box bottom  cover 1 screw threat issue and 1 screw  broken,_x000a_HC2-Palm 3 cover Nok."/>
    <x v="0"/>
    <x v="2"/>
    <s v="Found 3 screw damaged because not proper installed, make new retreat. Palm tree cover refit and done."/>
    <x v="0"/>
    <x v="0"/>
    <m/>
    <m/>
    <x v="0"/>
    <x v="0"/>
    <x v="0"/>
  </r>
  <r>
    <d v="2021-12-08T00:00:00"/>
    <s v="TIR0178"/>
    <x v="0"/>
    <s v="PM2035"/>
    <n v="605"/>
    <s v="Display Status [ SWD1-V1 NOK,LCD1/V2 ]"/>
    <x v="0"/>
    <x v="0"/>
    <s v="Updated software manually and test OK"/>
    <x v="0"/>
    <x v="0"/>
    <d v="2022-01-27T00:00:00"/>
    <m/>
    <x v="0"/>
    <x v="0"/>
    <x v="0"/>
  </r>
  <r>
    <d v="2021-12-08T00:00:00"/>
    <s v="TIR0183"/>
    <x v="0"/>
    <s v="PM2036"/>
    <n v="606"/>
    <s v="  Display status [ HC2-LCD2-NOK]"/>
    <x v="0"/>
    <x v="0"/>
    <s v="Updated again software manually and test it online and display OK"/>
    <x v="0"/>
    <x v="0"/>
    <d v="2021-12-27T00:00:00"/>
    <m/>
    <x v="0"/>
    <x v="0"/>
    <x v="0"/>
  </r>
  <r>
    <d v="2021-12-08T00:00:00"/>
    <s v="TIR0185"/>
    <x v="0"/>
    <s v="PM2037"/>
    <n v="621"/>
    <s v="DISPLAY -HC2-LCD.2 offline NOK"/>
    <x v="0"/>
    <x v="0"/>
    <s v="Updated again software manually and test it online and display OK"/>
    <x v="0"/>
    <x v="0"/>
    <d v="2021-12-24T00:00:00"/>
    <s v="NCR411"/>
    <x v="0"/>
    <x v="0"/>
    <x v="0"/>
  </r>
  <r>
    <d v="2021-12-08T00:00:00"/>
    <s v="TIR0187"/>
    <x v="0"/>
    <s v="PM2040"/>
    <n v="403"/>
    <s v="HC2 - Saloon lights Dim."/>
    <x v="0"/>
    <x v="1"/>
    <s v="After 110v To 24v coverter output setting now working fine. "/>
    <x v="0"/>
    <x v="0"/>
    <d v="2021-12-16T00:00:00"/>
    <m/>
    <x v="0"/>
    <x v="0"/>
    <x v="0"/>
  </r>
  <r>
    <d v="2021-12-08T00:00:00"/>
    <s v="TIR0188"/>
    <x v="0"/>
    <s v="PM2040"/>
    <n v="403"/>
    <s v="IP offline [ HC1 {  Ledi6 } HC2 { Ledi4 } ]_x000a_Display Status [ HC1 {Ledi6(NOK) } ,HC2 {Ledi4-ERROR} ]"/>
    <x v="0"/>
    <x v="0"/>
    <s v="See TIR171"/>
    <x v="0"/>
    <x v="0"/>
    <d v="2022-01-02T00:00:00"/>
    <m/>
    <x v="0"/>
    <x v="0"/>
    <x v="0"/>
  </r>
  <r>
    <d v="2021-12-08T00:00:00"/>
    <s v="TIR0189"/>
    <x v="0"/>
    <s v="PM2040"/>
    <n v="403"/>
    <s v="HC2 - flange lubricator screw tighten without saftey pin lock"/>
    <x v="0"/>
    <x v="3"/>
    <s v="21/12 : One Safety pin lock missing. Normalized by putting new one "/>
    <x v="0"/>
    <x v="0"/>
    <d v="2021-12-21T00:00:00"/>
    <m/>
    <x v="0"/>
    <x v="0"/>
    <x v="0"/>
  </r>
  <r>
    <d v="2021-12-08T00:00:00"/>
    <s v="TIR0192"/>
    <x v="0"/>
    <s v="PM2041"/>
    <n v="407"/>
    <s v="IP offline: HC1-SWD3, PEI3 HC2- ACE _x000a_                                                           Display Status: SWD3-V1"/>
    <x v="0"/>
    <x v="0"/>
    <s v="Updated software manually and test OK"/>
    <x v="0"/>
    <x v="0"/>
    <d v="2022-01-09T00:00:00"/>
    <m/>
    <x v="0"/>
    <x v="0"/>
    <x v="0"/>
  </r>
  <r>
    <d v="2021-12-08T00:00:00"/>
    <s v="TIR0193"/>
    <x v="0"/>
    <s v="PM2042"/>
    <n v="602"/>
    <s v="HC1-SWD3,LEDI3"/>
    <x v="0"/>
    <x v="0"/>
    <s v="Updated software manually and test OK"/>
    <x v="0"/>
    <x v="0"/>
    <d v="2022-01-09T00:00:00"/>
    <m/>
    <x v="0"/>
    <x v="0"/>
    <x v="0"/>
  </r>
  <r>
    <d v="2021-12-08T00:00:00"/>
    <s v="TIR0194"/>
    <x v="0"/>
    <s v="PM2043"/>
    <n v="617"/>
    <s v="Display status: SWD6 -HC1 ,SWD2-HC2 "/>
    <x v="0"/>
    <x v="0"/>
    <s v="Checked swd6-v1 display ok and online, But SWD2-V2 half display, need to replace it_x000a_1/9/2022:Updated SWD software manually and test OK"/>
    <x v="0"/>
    <x v="0"/>
    <d v="2022-01-09T00:00:00"/>
    <s v="NCR0380"/>
    <x v="0"/>
    <x v="0"/>
    <x v="0"/>
  </r>
  <r>
    <d v="2021-12-08T00:00:00"/>
    <s v="TIR0195"/>
    <x v="0"/>
    <s v="PM2044"/>
    <n v="624"/>
    <s v="Display status: SWD6 -HC1 ,SWD1-HC2 "/>
    <x v="0"/>
    <x v="0"/>
    <s v="Checked the SWD display OK and Online"/>
    <x v="0"/>
    <x v="0"/>
    <d v="2021-12-15T00:00:00"/>
    <m/>
    <x v="0"/>
    <x v="0"/>
    <x v="0"/>
  </r>
  <r>
    <d v="2021-12-08T00:00:00"/>
    <s v="TIR0175"/>
    <x v="0"/>
    <s v="PM2033"/>
    <n v="415"/>
    <s v="Earthing cable is not connected between permanent coupler"/>
    <x v="1"/>
    <x v="1"/>
    <m/>
    <x v="3"/>
    <x v="1"/>
    <m/>
    <s v="NCR0414"/>
    <x v="0"/>
    <x v="0"/>
    <x v="0"/>
  </r>
  <r>
    <d v="2021-12-08T00:00:00"/>
    <s v="TIR0179"/>
    <x v="0"/>
    <s v="PM2035"/>
    <n v="605"/>
    <s v="HC2 Bogie1 LHS Fuse box glass minor cracked."/>
    <x v="1"/>
    <x v="2"/>
    <m/>
    <x v="0"/>
    <x v="0"/>
    <m/>
    <s v="NCR415"/>
    <x v="0"/>
    <x v="0"/>
    <x v="0"/>
  </r>
  <r>
    <d v="2021-12-08T00:00:00"/>
    <s v="TIR0180"/>
    <x v="0"/>
    <s v="PM2035"/>
    <n v="605"/>
    <s v="Jumper MV cable's holding support Plate Not available"/>
    <x v="1"/>
    <x v="2"/>
    <m/>
    <x v="0"/>
    <x v="0"/>
    <m/>
    <s v="NCR416"/>
    <x v="0"/>
    <x v="0"/>
    <x v="0"/>
  </r>
  <r>
    <d v="2021-12-08T00:00:00"/>
    <s v="TIR0181"/>
    <x v="0"/>
    <s v="PM2036"/>
    <n v="606"/>
    <s v="HC2-Saloon Light nok"/>
    <x v="1"/>
    <x v="1"/>
    <m/>
    <x v="0"/>
    <x v="0"/>
    <m/>
    <s v="NCR0407"/>
    <x v="0"/>
    <x v="0"/>
    <x v="0"/>
  </r>
  <r>
    <d v="2021-12-08T00:00:00"/>
    <s v="TIR0182"/>
    <x v="0"/>
    <s v="PM2036"/>
    <n v="606"/>
    <s v="Gangway light mounting nok,there is a gap"/>
    <x v="1"/>
    <x v="1"/>
    <m/>
    <x v="3"/>
    <x v="1"/>
    <m/>
    <s v="NCR0408"/>
    <x v="0"/>
    <x v="0"/>
    <x v="0"/>
  </r>
  <r>
    <d v="2021-12-08T00:00:00"/>
    <s v="TIR0184"/>
    <x v="0"/>
    <s v="PM2036"/>
    <n v="606"/>
    <s v="HC2 Wiper broken."/>
    <x v="1"/>
    <x v="1"/>
    <m/>
    <x v="3"/>
    <x v="1"/>
    <m/>
    <s v="NCR0226"/>
    <x v="0"/>
    <x v="0"/>
    <x v="0"/>
  </r>
  <r>
    <d v="2021-12-08T00:00:00"/>
    <s v="TIR0186"/>
    <x v="0"/>
    <s v="PM2038"/>
    <n v="507"/>
    <s v="HC2-Single Class Fire extingusher not available"/>
    <x v="1"/>
    <x v="1"/>
    <m/>
    <x v="0"/>
    <x v="0"/>
    <m/>
    <s v="NCR0389"/>
    <x v="0"/>
    <x v="0"/>
    <x v="0"/>
  </r>
  <r>
    <d v="2021-12-08T00:00:00"/>
    <s v="TIR0190"/>
    <x v="0"/>
    <s v="PM2040"/>
    <n v="403"/>
    <s v="HC1 AXEL 1,2,3 GEAR BOX OIL LEVEL LOW"/>
    <x v="1"/>
    <x v="3"/>
    <s v="21/12 : leakage found from the inspection cover (gearbox) Axle 2 HC1"/>
    <x v="3"/>
    <x v="1"/>
    <m/>
    <s v="NCR0420"/>
    <x v="0"/>
    <x v="0"/>
    <x v="0"/>
  </r>
  <r>
    <d v="2021-12-08T00:00:00"/>
    <s v="TIR0191"/>
    <x v="0"/>
    <s v="PM2041"/>
    <n v="407"/>
    <s v="HC1:Driver Cab Light not Lit ,Passenger Saloon Light nok(+RP1,RP3),        _x000a_                                                                                                                                                                  HC1&amp;2-Gangway Light Dim"/>
    <x v="1"/>
    <x v="1"/>
    <s v="we fixed other issue but Cab light need to be replaced the Converter 110v to 24v"/>
    <x v="0"/>
    <x v="0"/>
    <m/>
    <s v="NCR0397"/>
    <x v="0"/>
    <x v="0"/>
    <x v="0"/>
  </r>
  <r>
    <d v="2021-12-08T00:00:00"/>
    <s v="TIR0197"/>
    <x v="0"/>
    <s v="PM2043"/>
    <n v="617"/>
    <s v="HC1-CAB HEAD LIGHT LHS_WHITE one LED NOT LIT                      _x000a_                                                                                                                                                                                    HC1-PALM TREE LIGHT NOT LIT           "/>
    <x v="1"/>
    <x v="1"/>
    <m/>
    <x v="0"/>
    <x v="0"/>
    <m/>
    <s v="NCR0378 NCR0379"/>
    <x v="0"/>
    <x v="0"/>
    <x v="0"/>
  </r>
  <r>
    <d v="2021-12-08T00:00:00"/>
    <s v="TIR0198"/>
    <x v="0"/>
    <s v="PM2042"/>
    <n v="502"/>
    <s v="HC2 Axle 4 found minor leakage from the gearbox."/>
    <x v="1"/>
    <x v="3"/>
    <s v="4/1/2022 - NCR create for the drain plug O-ring."/>
    <x v="3"/>
    <x v="1"/>
    <m/>
    <s v="NCR0439"/>
    <x v="0"/>
    <x v="0"/>
    <x v="0"/>
  </r>
  <r>
    <d v="2021-12-08T00:00:00"/>
    <s v="TIR0199"/>
    <x v="0"/>
    <s v="PM2045"/>
    <n v="502"/>
    <s v="Sand hose not available in both HC."/>
    <x v="1"/>
    <x v="3"/>
    <s v="7/12 : NCR open. Waiting the availaibility of parts"/>
    <x v="3"/>
    <x v="1"/>
    <m/>
    <s v="NCR0360"/>
    <x v="0"/>
    <x v="0"/>
    <x v="0"/>
  </r>
  <r>
    <d v="2021-12-08T00:00:00"/>
    <s v="TIR1028"/>
    <x v="0"/>
    <s v="PM2034"/>
    <n v="604"/>
    <s v="HC1-Axle1&amp;2 Gear box oil level low"/>
    <x v="1"/>
    <x v="3"/>
    <s v="02/14 : checked and no leakage found. Need to normalize, level very low for the axle2 Hc1. need to check also for 606 axle 1,3,4 Hc1 and axle3 hc2 level low."/>
    <x v="4"/>
    <x v="1"/>
    <m/>
    <m/>
    <x v="3"/>
    <x v="0"/>
    <x v="0"/>
  </r>
  <r>
    <d v="2021-12-08T00:00:00"/>
    <s v="TIR1029"/>
    <x v="0"/>
    <s v="PM2044"/>
    <n v="624"/>
    <s v="HVAC -Venting error"/>
    <x v="2"/>
    <x v="1"/>
    <m/>
    <x v="1"/>
    <x v="0"/>
    <m/>
    <m/>
    <x v="0"/>
    <x v="0"/>
    <x v="0"/>
  </r>
  <r>
    <d v="2021-12-09T00:00:00"/>
    <s v="TIR0203"/>
    <x v="0"/>
    <s v="Mail"/>
    <n v="616"/>
    <s v="SWD5-V1 half display"/>
    <x v="0"/>
    <x v="0"/>
    <s v="Updated again software manually,and replaced a card inside SWD,  and OK"/>
    <x v="0"/>
    <x v="0"/>
    <d v="2021-12-23T00:00:00"/>
    <s v="NCR374"/>
    <x v="0"/>
    <x v="0"/>
    <x v="0"/>
  </r>
  <r>
    <d v="2021-12-09T00:00:00"/>
    <s v="TIR0205"/>
    <x v="0"/>
    <s v="PM2048"/>
    <n v="610"/>
    <s v="IP-lcd2.v2,lcd5.v2,led5.v2,swd2.v2 offline, _x000a_Display status-LCD1.V1,LCD4.V1,LCD5.V2,LCD3.V2(low light)"/>
    <x v="0"/>
    <x v="0"/>
    <s v="Updated the software and they online, display OK."/>
    <x v="0"/>
    <x v="0"/>
    <m/>
    <m/>
    <x v="0"/>
    <x v="0"/>
    <x v="0"/>
  </r>
  <r>
    <d v="2021-12-09T00:00:00"/>
    <s v="TIR0202"/>
    <x v="3"/>
    <s v="Mail"/>
    <n v="601"/>
    <s v="T601_HC2- missing of sand filter assembly"/>
    <x v="1"/>
    <x v="3"/>
    <s v="12/12 : Confirmed part is missing. Need to normalize. Waiting to confirm the availablity of components from faively."/>
    <x v="3"/>
    <x v="1"/>
    <m/>
    <s v="NCR0375"/>
    <x v="0"/>
    <x v="0"/>
    <x v="0"/>
  </r>
  <r>
    <d v="2021-12-09T00:00:00"/>
    <s v="TIR0204"/>
    <x v="0"/>
    <s v="PM2048"/>
    <n v="610"/>
    <s v="HC1 Headlight one white led not ok."/>
    <x v="1"/>
    <x v="1"/>
    <m/>
    <x v="3"/>
    <x v="1"/>
    <m/>
    <s v="NCR0377"/>
    <x v="0"/>
    <x v="0"/>
    <x v="0"/>
  </r>
  <r>
    <d v="2021-12-09T00:00:00"/>
    <s v="TIR0207"/>
    <x v="0"/>
    <s v="PM2052"/>
    <n v="512"/>
    <s v="HC2- Head Light Nok(LHS 1 white LED not lit)"/>
    <x v="1"/>
    <x v="1"/>
    <m/>
    <x v="3"/>
    <x v="1"/>
    <m/>
    <s v="NCR0422"/>
    <x v="0"/>
    <x v="0"/>
    <x v="0"/>
  </r>
  <r>
    <d v="2021-12-09T00:00:00"/>
    <s v="TIR0208"/>
    <x v="0"/>
    <s v="PM2053"/>
    <n v="513"/>
    <s v="TCN NOK -several devices are  communcation fail "/>
    <x v="3"/>
    <x v="3"/>
    <m/>
    <x v="0"/>
    <x v="0"/>
    <m/>
    <s v="NCR0435"/>
    <x v="0"/>
    <x v="0"/>
    <x v="0"/>
  </r>
  <r>
    <d v="2021-12-09T00:00:00"/>
    <s v="TIR0209"/>
    <x v="0"/>
    <s v="PM2050"/>
    <n v="618"/>
    <s v="Semi permanent coupler earthing bolt is missing,and Earth _x000a_strip is lose both sides."/>
    <x v="1"/>
    <x v="1"/>
    <m/>
    <x v="3"/>
    <x v="1"/>
    <m/>
    <s v="NCR0417"/>
    <x v="0"/>
    <x v="0"/>
    <x v="0"/>
  </r>
  <r>
    <d v="2021-12-09T00:00:00"/>
    <s v="TIR0210"/>
    <x v="0"/>
    <s v="PM2051"/>
    <n v="622"/>
    <s v="Semi permanent coupler earthing bolt is missing."/>
    <x v="1"/>
    <x v="1"/>
    <m/>
    <x v="3"/>
    <x v="1"/>
    <m/>
    <s v="NCR0418"/>
    <x v="0"/>
    <x v="0"/>
    <x v="0"/>
  </r>
  <r>
    <d v="2021-12-09T00:00:00"/>
    <s v="TIR0201"/>
    <x v="3"/>
    <s v="Mail"/>
    <n v="617"/>
    <s v="IOS148 : IES consistency failure"/>
    <x v="0"/>
    <x v="2"/>
    <s v="Checked train in workshop and no issues observed with IES and traction working normal."/>
    <x v="1"/>
    <x v="0"/>
    <m/>
    <m/>
    <x v="0"/>
    <x v="0"/>
    <x v="0"/>
  </r>
  <r>
    <d v="2021-12-09T00:00:00"/>
    <s v="TIR0206"/>
    <x v="0"/>
    <s v="PM2052"/>
    <n v="512"/>
    <s v="HC1-HVAC1 venting error Supply fan 1&amp;2 low and high"/>
    <x v="0"/>
    <x v="1"/>
    <s v="checked by Ahmed"/>
    <x v="1"/>
    <x v="0"/>
    <d v="2022-01-04T00:00:00"/>
    <m/>
    <x v="0"/>
    <x v="0"/>
    <x v="0"/>
  </r>
  <r>
    <d v="2021-12-09T00:00:00"/>
    <s v="TIR0211"/>
    <x v="0"/>
    <s v="PM2049"/>
    <n v="612"/>
    <s v="Semi permanent coupler earthing bolt is missing."/>
    <x v="0"/>
    <x v="1"/>
    <m/>
    <x v="1"/>
    <x v="0"/>
    <d v="2021-12-22T00:00:00"/>
    <m/>
    <x v="0"/>
    <x v="0"/>
    <x v="0"/>
  </r>
  <r>
    <d v="2021-12-12T00:00:00"/>
    <s v="TIR0217"/>
    <x v="0"/>
    <s v="PM2055"/>
    <n v="408"/>
    <s v="HC1- underframe cable no.W07324  ground not connected"/>
    <x v="0"/>
    <x v="3"/>
    <s v="23/12 : Bolt was missing. Normalize by putting new one with 2 washer. "/>
    <x v="0"/>
    <x v="0"/>
    <d v="2021-12-23T00:00:00"/>
    <m/>
    <x v="0"/>
    <x v="0"/>
    <x v="0"/>
  </r>
  <r>
    <d v="2021-12-12T00:00:00"/>
    <s v="TIR0219"/>
    <x v="0"/>
    <s v="PM2056"/>
    <n v="409"/>
    <s v="IP offline - Swd2-v2 _x000a_Display status -Swd2-v2 ( NOK ) "/>
    <x v="0"/>
    <x v="0"/>
    <s v="Updated again software manually and test it online and display OK"/>
    <x v="0"/>
    <x v="0"/>
    <d v="2021-12-27T00:00:00"/>
    <m/>
    <x v="0"/>
    <x v="0"/>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x v="0"/>
    <d v="2022-01-10T00:00:00"/>
    <s v="NCR419"/>
    <x v="0"/>
    <x v="0"/>
    <x v="0"/>
  </r>
  <r>
    <d v="2021-12-12T00:00:00"/>
    <s v="TIR0224"/>
    <x v="0"/>
    <s v="PM2058"/>
    <n v="614"/>
    <s v="IP offline [ HC2 -SWD5  ]_x000a_Display Status [ HC2 {SWD2 HALF }  { SWD5 NOK }"/>
    <x v="0"/>
    <x v="0"/>
    <s v="Replaced a new card inside SWD and updated software manually and OK"/>
    <x v="0"/>
    <x v="0"/>
    <d v="2021-12-30T00:00:00"/>
    <s v="NCR0426"/>
    <x v="0"/>
    <x v="0"/>
    <x v="0"/>
  </r>
  <r>
    <d v="2021-12-12T00:00:00"/>
    <s v="TIR0214"/>
    <x v="0"/>
    <s v="PM2054"/>
    <n v="404"/>
    <s v="HC1 Bogie1- One HV cable gland missing from the underframe JB."/>
    <x v="1"/>
    <x v="2"/>
    <m/>
    <x v="3"/>
    <x v="1"/>
    <m/>
    <s v="NCR0405"/>
    <x v="0"/>
    <x v="0"/>
    <x v="0"/>
  </r>
  <r>
    <d v="2021-12-12T00:00:00"/>
    <s v="TIR0215"/>
    <x v="0"/>
    <s v="PM2054"/>
    <n v="404"/>
    <s v="HC1-GCL fire extinguisher holding plate not assembled_x000a_(so Fire extinguisher not available)"/>
    <x v="1"/>
    <x v="1"/>
    <m/>
    <x v="0"/>
    <x v="0"/>
    <m/>
    <s v="NCR0390"/>
    <x v="0"/>
    <x v="0"/>
    <x v="0"/>
  </r>
  <r>
    <d v="2021-12-12T00:00:00"/>
    <s v="TIR0216"/>
    <x v="0"/>
    <s v="PM2054"/>
    <n v="404"/>
    <s v="HC1-Saloon Light NOk.(Near door 4,black spot)"/>
    <x v="1"/>
    <x v="1"/>
    <m/>
    <x v="0"/>
    <x v="0"/>
    <m/>
    <s v="NCR0391"/>
    <x v="0"/>
    <x v="0"/>
    <x v="0"/>
  </r>
  <r>
    <d v="2021-12-12T00:00:00"/>
    <s v="TIR0218"/>
    <x v="0"/>
    <s v="PM2056"/>
    <n v="409"/>
    <s v="HC1-Gangway lights DIM   HC2- Some saloon lights not ok and some of them are dim."/>
    <x v="1"/>
    <x v="1"/>
    <s v="other issue we fixed but Hc2 saloon light need to be replaced the coverter 110v to 24v"/>
    <x v="0"/>
    <x v="0"/>
    <m/>
    <s v="NCR0398"/>
    <x v="0"/>
    <x v="0"/>
    <x v="0"/>
  </r>
  <r>
    <d v="2021-12-12T00:00:00"/>
    <s v="TIR0220"/>
    <x v="0"/>
    <s v="PM2057"/>
    <n v="611"/>
    <s v="HC2-LHS head light Nok(white one LED)"/>
    <x v="1"/>
    <x v="1"/>
    <m/>
    <x v="3"/>
    <x v="1"/>
    <m/>
    <s v="NCR0383"/>
    <x v="0"/>
    <x v="0"/>
    <x v="0"/>
  </r>
  <r>
    <d v="2021-12-12T00:00:00"/>
    <s v="TIR0221"/>
    <x v="0"/>
    <s v="PM2057"/>
    <n v="611"/>
    <s v="HC1- Near Door3 saloon light spot more brightness,Gangway Light Dim,    _x000a_ HC2-Passenger Saloon Light Not Lit(+RP3)"/>
    <x v="1"/>
    <x v="1"/>
    <s v="Gangway light now working fine but RP3 light converter need to replace "/>
    <x v="0"/>
    <x v="0"/>
    <m/>
    <s v="NCR0384"/>
    <x v="0"/>
    <x v="0"/>
    <x v="0"/>
  </r>
  <r>
    <d v="2021-12-12T00:00:00"/>
    <s v="TIR0223"/>
    <x v="0"/>
    <s v="PM2057"/>
    <n v="611"/>
    <s v="Hc2- gearbox #4oil level below minimum"/>
    <x v="3"/>
    <x v="3"/>
    <s v="13/12 : leakage found from the inspection cover (gearbox)"/>
    <x v="0"/>
    <x v="0"/>
    <m/>
    <s v="NCR0382"/>
    <x v="0"/>
    <x v="0"/>
    <x v="0"/>
  </r>
  <r>
    <d v="2021-12-13T00:00:00"/>
    <s v="TIR0228"/>
    <x v="0"/>
    <s v="PM2065"/>
    <n v="515"/>
    <s v="TCN-Fail  for Netbox,Netmm1.local,netmm2.local,netmm.virt.local-IP offline"/>
    <x v="0"/>
    <x v="3"/>
    <s v="28/12 : Breakers was OFF. All equipments are online after switch ON the breakers."/>
    <x v="0"/>
    <x v="0"/>
    <d v="2021-12-28T00:00:00"/>
    <m/>
    <x v="0"/>
    <x v="0"/>
    <x v="0"/>
  </r>
  <r>
    <d v="2021-12-13T00:00:00"/>
    <s v="TIR0225"/>
    <x v="6"/>
    <s v="NA"/>
    <n v="608"/>
    <s v="LEDI4-V1 Dark issue_x000a_LCD2-V2 deem issue                                                                                                                                                                                                                                                                                                                                SWD3-V1 half display"/>
    <x v="1"/>
    <x v="0"/>
    <s v="updated software manually and test ok"/>
    <x v="0"/>
    <x v="0"/>
    <d v="2022-01-19T00:00:00"/>
    <s v="NCR0386"/>
    <x v="0"/>
    <x v="0"/>
    <x v="0"/>
  </r>
  <r>
    <d v="2021-12-13T00:00:00"/>
    <s v="TIR0226"/>
    <x v="6"/>
    <s v="NA"/>
    <n v="626"/>
    <s v="LCD6-V2 dark issue"/>
    <x v="1"/>
    <x v="0"/>
    <s v="Updated LCD software manually and test OK"/>
    <x v="1"/>
    <x v="0"/>
    <d v="2022-01-26T00:00:00"/>
    <s v="NCR0387"/>
    <x v="0"/>
    <x v="0"/>
    <x v="0"/>
  </r>
  <r>
    <d v="2021-12-13T00:00:00"/>
    <s v="TIR0227"/>
    <x v="0"/>
    <s v="PM2065"/>
    <n v="508"/>
    <s v="HC1 1 bolt ,HC2 2 bolt not available in Becon Antenna"/>
    <x v="1"/>
    <x v="3"/>
    <s v="27/12 : Bolt missing. DTR sent to check if we have in the warehouse."/>
    <x v="3"/>
    <x v="1"/>
    <m/>
    <s v="NCR0432"/>
    <x v="0"/>
    <x v="0"/>
    <x v="0"/>
  </r>
  <r>
    <d v="2021-12-13T00:00:00"/>
    <s v="TIR0229"/>
    <x v="0"/>
    <s v="PM2065"/>
    <n v="515"/>
    <s v="HC1-flange lubricator saftey pin missing"/>
    <x v="1"/>
    <x v="3"/>
    <s v="27/12 : 2 safety pin missing. spare not available. Waiting to order and normalize by putting the missing part"/>
    <x v="3"/>
    <x v="1"/>
    <m/>
    <s v="NCR0433"/>
    <x v="0"/>
    <x v="0"/>
    <x v="0"/>
  </r>
  <r>
    <d v="2021-12-13T00:00:00"/>
    <s v="TIR0230"/>
    <x v="4"/>
    <s v="NA"/>
    <n v="625"/>
    <s v="IOS275: Communication Loss of CRS 1 (HC1)"/>
    <x v="3"/>
    <x v="3"/>
    <s v="14/12 : hardware issue coming from DC/DC converter. Need to replace it."/>
    <x v="0"/>
    <x v="0"/>
    <m/>
    <s v="NCR0388"/>
    <x v="0"/>
    <x v="0"/>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x v="0"/>
    <d v="2021-12-20T00:00:00"/>
    <s v="NCR404"/>
    <x v="0"/>
    <x v="0"/>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x v="1"/>
    <m/>
    <s v="NCR0427"/>
    <x v="0"/>
    <x v="0"/>
    <x v="0"/>
  </r>
  <r>
    <d v="2021-12-14T00:00:00"/>
    <s v="TIR0233"/>
    <x v="0"/>
    <s v="PM2072"/>
    <n v="619"/>
    <s v="HC1(CVS BOX) GASKET DAMAGE"/>
    <x v="0"/>
    <x v="2"/>
    <m/>
    <x v="1"/>
    <x v="0"/>
    <m/>
    <m/>
    <x v="0"/>
    <x v="0"/>
    <x v="0"/>
  </r>
  <r>
    <d v="2021-12-14T00:00:00"/>
    <s v="TIR1031"/>
    <x v="0"/>
    <s v="PM2068"/>
    <n v="406"/>
    <s v="HC-02, celling panel near to gangway screw is not alligned"/>
    <x v="1"/>
    <x v="5"/>
    <m/>
    <x v="1"/>
    <x v="0"/>
    <d v="2022-01-30T00:00:00"/>
    <m/>
    <x v="0"/>
    <x v="0"/>
    <x v="0"/>
  </r>
  <r>
    <d v="2021-12-15T00:00:00"/>
    <s v="TIR0235"/>
    <x v="6"/>
    <s v="NA"/>
    <n v="624"/>
    <s v="SWD4-V2 half display"/>
    <x v="0"/>
    <x v="0"/>
    <s v="Replaced a card and updated software manually OK"/>
    <x v="0"/>
    <x v="0"/>
    <d v="2022-01-02T00:00:00"/>
    <s v="NCR0392"/>
    <x v="0"/>
    <x v="0"/>
    <x v="0"/>
  </r>
  <r>
    <d v="2021-12-15T00:00:00"/>
    <s v="TIR0239"/>
    <x v="0"/>
    <s v="PM2076"/>
    <n v="416"/>
    <s v="HC1-Paration door interglass fail to close (stuck)"/>
    <x v="0"/>
    <x v="1"/>
    <s v="after the door Adjustments door working fine"/>
    <x v="0"/>
    <x v="0"/>
    <d v="2021-12-30T00:00:00"/>
    <m/>
    <x v="0"/>
    <x v="0"/>
    <x v="0"/>
  </r>
  <r>
    <d v="2021-12-15T00:00:00"/>
    <s v="TIR0240"/>
    <x v="0"/>
    <s v="PM2077"/>
    <n v="424"/>
    <s v="HC1-Palm Tree 2 Light-Dim"/>
    <x v="0"/>
    <x v="1"/>
    <s v="set the output of 110V TO 24V coverter now working fine"/>
    <x v="0"/>
    <x v="0"/>
    <d v="2021-12-19T00:00:00"/>
    <m/>
    <x v="0"/>
    <x v="0"/>
    <x v="0"/>
  </r>
  <r>
    <d v="2021-12-15T00:00:00"/>
    <s v="TIR0241"/>
    <x v="0"/>
    <s v="PM2077"/>
    <n v="424"/>
    <s v="IP-ledi4.v1 offline"/>
    <x v="0"/>
    <x v="0"/>
    <s v="Updated software manually and test OK"/>
    <x v="0"/>
    <x v="0"/>
    <d v="2021-12-30T00:00:00"/>
    <m/>
    <x v="0"/>
    <x v="0"/>
    <x v="0"/>
  </r>
  <r>
    <d v="2021-12-15T00:00:00"/>
    <s v="TIR0243"/>
    <x v="0"/>
    <s v="PM2077"/>
    <n v="424"/>
    <s v="HC2 : BOGIE NO 2  -WFL LOCKING SAFETY PIN IS MISSING"/>
    <x v="0"/>
    <x v="3"/>
    <s v="21/12 : Two saftey pin lock missing. Normalized by putting now one "/>
    <x v="0"/>
    <x v="0"/>
    <m/>
    <m/>
    <x v="0"/>
    <x v="0"/>
    <x v="0"/>
  </r>
  <r>
    <d v="2021-12-15T00:00:00"/>
    <s v="TIR0236"/>
    <x v="6"/>
    <s v="NA"/>
    <n v="612"/>
    <s v="LCD1_V1 ,LCD4-V1 ;LCD2-V2,LCD3-V2 deem issue_x000a_LCD5-V2 offline and dark issue"/>
    <x v="1"/>
    <x v="0"/>
    <s v="updated software manually and test ok"/>
    <x v="0"/>
    <x v="0"/>
    <d v="2022-01-19T00:00:00"/>
    <s v="NCR0393"/>
    <x v="0"/>
    <x v="0"/>
    <x v="0"/>
  </r>
  <r>
    <d v="2021-12-15T00:00:00"/>
    <s v="TIR0244"/>
    <x v="0"/>
    <s v="PM2078"/>
    <n v="613"/>
    <s v="Display status: lcd4.v1(dim)"/>
    <x v="1"/>
    <x v="0"/>
    <s v="Updated LCD software manually and test OK"/>
    <x v="0"/>
    <x v="0"/>
    <d v="2022-01-27T00:00:00"/>
    <s v="NCR413"/>
    <x v="0"/>
    <x v="0"/>
    <x v="0"/>
  </r>
  <r>
    <d v="2021-12-15T00:00:00"/>
    <s v="TIR0242"/>
    <x v="0"/>
    <s v="PM2077"/>
    <n v="424"/>
    <s v="HC1: TRACTION BOX PANEL COVER( LINE CONTACTING COVER)_x000a_ LOCK IS NOT WORKING )"/>
    <x v="0"/>
    <x v="2"/>
    <m/>
    <x v="1"/>
    <x v="0"/>
    <m/>
    <m/>
    <x v="0"/>
    <x v="0"/>
    <x v="0"/>
  </r>
  <r>
    <d v="2021-12-15T00:00:00"/>
    <s v="TIR0245"/>
    <x v="0"/>
    <s v="PM2078"/>
    <n v="613"/>
    <s v="HC1: CVS filter tap screw missing( Tap damage)"/>
    <x v="0"/>
    <x v="2"/>
    <m/>
    <x v="1"/>
    <x v="0"/>
    <m/>
    <m/>
    <x v="0"/>
    <x v="0"/>
    <x v="0"/>
  </r>
  <r>
    <d v="2021-12-15T00:00:00"/>
    <s v="TIR0246"/>
    <x v="0"/>
    <s v="PM2080"/>
    <n v="626"/>
    <s v="HC-02, celling panel near to gangway screw is not alligned"/>
    <x v="0"/>
    <x v="1"/>
    <m/>
    <x v="1"/>
    <x v="0"/>
    <d v="2022-01-02T00:00:00"/>
    <m/>
    <x v="0"/>
    <x v="0"/>
    <x v="0"/>
  </r>
  <r>
    <d v="2021-12-15T00:00:00"/>
    <s v="TIR1032"/>
    <x v="0"/>
    <s v="PM2075"/>
    <n v="414"/>
    <s v="HC2: WFL (Wheel flange Lubricator) SAFETY PIN IS MISSING( 2 NOS)"/>
    <x v="1"/>
    <x v="3"/>
    <m/>
    <x v="2"/>
    <x v="1"/>
    <m/>
    <m/>
    <x v="0"/>
    <x v="0"/>
    <x v="0"/>
  </r>
  <r>
    <d v="2021-12-15T00:00:00"/>
    <s v="TIR1033"/>
    <x v="0"/>
    <s v="PM2075"/>
    <n v="414"/>
    <s v="HC1-Inter glass door much noise when open."/>
    <x v="1"/>
    <x v="1"/>
    <s v="After Adjustment of door no more noise"/>
    <x v="0"/>
    <x v="0"/>
    <d v="2022-01-13T00:00:00"/>
    <m/>
    <x v="0"/>
    <x v="0"/>
    <x v="0"/>
  </r>
  <r>
    <d v="2021-12-15T00:00:00"/>
    <s v="TIR1034"/>
    <x v="0"/>
    <s v="PM2082"/>
    <n v="519"/>
    <s v="HC2-B2-Axle3 found minor leakage  "/>
    <x v="1"/>
    <x v="3"/>
    <m/>
    <x v="3"/>
    <x v="1"/>
    <m/>
    <s v="NCR1034"/>
    <x v="3"/>
    <x v="0"/>
    <x v="0"/>
  </r>
  <r>
    <d v="2021-12-16T00:00:00"/>
    <s v="TIR0249"/>
    <x v="6"/>
    <s v="NA"/>
    <n v="609"/>
    <s v="LCD5-V1 white display issue"/>
    <x v="0"/>
    <x v="0"/>
    <s v="Updated software manually and test OK"/>
    <x v="0"/>
    <x v="0"/>
    <d v="2021-12-30T00:00:00"/>
    <s v="NCR402"/>
    <x v="0"/>
    <x v="0"/>
    <x v="0"/>
  </r>
  <r>
    <d v="2021-12-16T00:00:00"/>
    <s v="TIR0250"/>
    <x v="6"/>
    <s v="NA"/>
    <n v="602"/>
    <s v="SWD2-V1,LEDI3-V1,swd5-v2 dark and offline"/>
    <x v="0"/>
    <x v="0"/>
    <s v="Updated software manually and test OK"/>
    <x v="0"/>
    <x v="0"/>
    <d v="2021-12-30T00:00:00"/>
    <s v="NCR400"/>
    <x v="0"/>
    <x v="0"/>
    <x v="0"/>
  </r>
  <r>
    <d v="2021-12-16T00:00:00"/>
    <s v="TIR0248"/>
    <x v="6"/>
    <s v="NA"/>
    <n v="416"/>
    <s v="LCD6-V2 deem issue"/>
    <x v="1"/>
    <x v="0"/>
    <s v="Update software manually and test Ok"/>
    <x v="0"/>
    <x v="0"/>
    <d v="2022-01-19T00:00:00"/>
    <s v="NCR0401"/>
    <x v="0"/>
    <x v="0"/>
    <x v="0"/>
  </r>
  <r>
    <d v="2021-12-16T00:00:00"/>
    <s v="TIR0251"/>
    <x v="0"/>
    <s v="PM2086"/>
    <n v="501"/>
    <s v="HC2-DOOR2 indication not lit"/>
    <x v="1"/>
    <x v="1"/>
    <m/>
    <x v="3"/>
    <x v="1"/>
    <m/>
    <s v="NCR0430"/>
    <x v="0"/>
    <x v="0"/>
    <x v="0"/>
  </r>
  <r>
    <d v="2021-12-16T00:00:00"/>
    <s v="TIR0253"/>
    <x v="0"/>
    <s v="PM2086"/>
    <n v="501"/>
    <s v="HC2-Sleep push button not working."/>
    <x v="1"/>
    <x v="3"/>
    <m/>
    <x v="0"/>
    <x v="0"/>
    <m/>
    <s v="NCR0434"/>
    <x v="0"/>
    <x v="0"/>
    <x v="0"/>
  </r>
  <r>
    <d v="2021-12-16T00:00:00"/>
    <s v="TIR0252"/>
    <x v="0"/>
    <s v="PM2086"/>
    <n v="501"/>
    <s v="HC2-Under seat Light not Lit in the  first class"/>
    <x v="0"/>
    <x v="1"/>
    <m/>
    <x v="1"/>
    <x v="0"/>
    <d v="2021-12-23T00:00:00"/>
    <m/>
    <x v="0"/>
    <x v="0"/>
    <x v="0"/>
  </r>
  <r>
    <d v="2021-12-19T00:00:00"/>
    <s v="TIR0255"/>
    <x v="6"/>
    <s v="NA"/>
    <s v="413_x000a_615_x000a_612"/>
    <s v="IOS071"/>
    <x v="0"/>
    <x v="4"/>
    <s v="EAD not correctly use"/>
    <x v="0"/>
    <x v="0"/>
    <m/>
    <m/>
    <x v="0"/>
    <x v="0"/>
    <x v="0"/>
  </r>
  <r>
    <d v="2021-12-19T00:00:00"/>
    <s v="TIR0254"/>
    <x v="6"/>
    <s v="NA"/>
    <n v="610"/>
    <s v="IOS14 : 19 Oct 2021"/>
    <x v="0"/>
    <x v="4"/>
    <m/>
    <x v="1"/>
    <x v="0"/>
    <m/>
    <m/>
    <x v="0"/>
    <x v="0"/>
    <x v="0"/>
  </r>
  <r>
    <d v="2021-12-19T00:00:00"/>
    <s v="TIR0256"/>
    <x v="6"/>
    <s v="NA"/>
    <n v="403"/>
    <s v="IOS084 : sleeping relays discordance"/>
    <x v="0"/>
    <x v="3"/>
    <s v="SLV : ATC live signal issue"/>
    <x v="1"/>
    <x v="0"/>
    <d v="2021-12-19T00:00:00"/>
    <m/>
    <x v="0"/>
    <x v="0"/>
    <x v="0"/>
  </r>
  <r>
    <d v="2021-12-20T00:00:00"/>
    <s v="TIR0259"/>
    <x v="4"/>
    <s v="NA"/>
    <n v="608"/>
    <s v="PM team IOS180 : 1 APC major failure"/>
    <x v="0"/>
    <x v="2"/>
    <s v="Found SI_XP-FAN3 connector disconnected as per picture below. _x000a_Normalized and tested. No more failure observed"/>
    <x v="0"/>
    <x v="0"/>
    <m/>
    <m/>
    <x v="0"/>
    <x v="0"/>
    <x v="0"/>
  </r>
  <r>
    <d v="2021-12-20T00:00:00"/>
    <s v="TIR0261"/>
    <x v="0"/>
    <s v="PM2095"/>
    <n v="412"/>
    <s v="HC2:SEALING PANEL ALLEN SCREW MISSING"/>
    <x v="0"/>
    <x v="1"/>
    <s v="fixed the scew no more issue "/>
    <x v="0"/>
    <x v="0"/>
    <d v="2021-12-23T00:00:00"/>
    <m/>
    <x v="0"/>
    <x v="0"/>
    <x v="0"/>
  </r>
  <r>
    <d v="2021-12-20T00:00:00"/>
    <s v="TIR0262"/>
    <x v="0"/>
    <s v="PM2096"/>
    <n v="603"/>
    <s v="IP-LCD1.V1,LED1.V1,SWD1.V1 OFFLINE Dispaly status_LCD5.V1 white screen"/>
    <x v="0"/>
    <x v="0"/>
    <m/>
    <x v="1"/>
    <x v="0"/>
    <d v="2022-03-16T00:00:00"/>
    <m/>
    <x v="0"/>
    <x v="0"/>
    <x v="0"/>
  </r>
  <r>
    <d v="2021-12-20T00:00:00"/>
    <s v="TIR0263"/>
    <x v="0"/>
    <s v="PM2096"/>
    <n v="603"/>
    <s v="HC1 SEALING PANEL NO 1  2ALLEN SCREWS ARE MISSING._x000a_HC2 SEALING PANEL NEAR TO GANGWAY ALLEN SCREW HEAD DAMAGE._x000a_HC2 PANEL 1  HAND RAIL SCREW MISSING AND 2ALLEN SCREW MISSING."/>
    <x v="0"/>
    <x v="1"/>
    <s v="all issue solved"/>
    <x v="0"/>
    <x v="0"/>
    <d v="2021-12-23T00:00:00"/>
    <m/>
    <x v="0"/>
    <x v="0"/>
    <x v="0"/>
  </r>
  <r>
    <d v="2021-12-20T00:00:00"/>
    <s v="TIR0264"/>
    <x v="0"/>
    <s v="PM2096"/>
    <n v="608"/>
    <s v="HC1&amp;HC2 NEAR TO GANGWAY SEALING PANEL 2ALLEN SCREW MISSING_x000a_HC2 HAND RAIL NEAR TO DOOR NO3 SCREW WAS MISSING"/>
    <x v="0"/>
    <x v="1"/>
    <s v="Fixed the all issue "/>
    <x v="0"/>
    <x v="0"/>
    <d v="2021-12-29T00:00:00"/>
    <m/>
    <x v="0"/>
    <x v="0"/>
    <x v="0"/>
  </r>
  <r>
    <d v="2021-12-20T00:00:00"/>
    <s v="TIR0265"/>
    <x v="0"/>
    <s v="PM2096"/>
    <n v="608"/>
    <s v="led6.v2-IP offline ;  Display status:  swd2.v2(half),swd3.v1(half)"/>
    <x v="1"/>
    <x v="0"/>
    <s v="SWD3-V1 half display issue, updated software manually and test ok"/>
    <x v="1"/>
    <x v="0"/>
    <d v="2022-01-19T00:00:00"/>
    <m/>
    <x v="0"/>
    <x v="0"/>
    <x v="0"/>
  </r>
  <r>
    <d v="2021-12-20T00:00:00"/>
    <s v="TIR0268"/>
    <x v="0"/>
    <s v="PM2099"/>
    <n v="623"/>
    <s v="one of the bolt is wrong threaded on the converter side panel -didn’t open this panel as we don’t have tapping bit for the M6 bolt          "/>
    <x v="0"/>
    <x v="1"/>
    <s v="Replaced the new Srew and fixer"/>
    <x v="0"/>
    <x v="0"/>
    <d v="2021-12-21T00:00:00"/>
    <s v="NCR421"/>
    <x v="0"/>
    <x v="0"/>
    <x v="0"/>
  </r>
  <r>
    <d v="2021-12-20T00:00:00"/>
    <s v="TIR0269"/>
    <x v="0"/>
    <s v="PM2099"/>
    <n v="623"/>
    <s v="led light cover not installed (close to RP3 carB)."/>
    <x v="0"/>
    <x v="0"/>
    <s v="removed out the cover beside and Installed again the cover OK"/>
    <x v="0"/>
    <x v="0"/>
    <d v="2021-12-20T00:00:00"/>
    <m/>
    <x v="0"/>
    <x v="0"/>
    <x v="0"/>
  </r>
  <r>
    <d v="2021-12-20T00:00:00"/>
    <s v="TIR0258"/>
    <x v="6"/>
    <s v="NA"/>
    <n v="412"/>
    <s v="LCD3-V2 dim issue"/>
    <x v="1"/>
    <x v="0"/>
    <s v="Updated LCD software manually and test OK"/>
    <x v="0"/>
    <x v="0"/>
    <d v="2022-01-27T00:00:00"/>
    <s v="NCR0412"/>
    <x v="0"/>
    <x v="0"/>
    <x v="0"/>
  </r>
  <r>
    <d v="2021-12-20T00:00:00"/>
    <s v="TIR0260"/>
    <x v="0"/>
    <s v="PM2094"/>
    <n v="411"/>
    <s v="HC2-near door3 one seat not closing"/>
    <x v="1"/>
    <x v="1"/>
    <m/>
    <x v="0"/>
    <x v="0"/>
    <m/>
    <s v="NCR0424"/>
    <x v="0"/>
    <x v="0"/>
    <x v="0"/>
  </r>
  <r>
    <d v="2021-12-20T00:00:00"/>
    <s v="TIR1036"/>
    <x v="0"/>
    <s v="PM2098"/>
    <n v="609"/>
    <s v="HC2 PANEL NO1 ALLEN SCREW MISSING._x000a_HC2 NEAR DOOR2 SEALING PANEL ALLEN SCREW MISSING._x000a_HC1&amp;HC2NEAR TO GANGWAY PANEL ALLEN SCREWS ARE MISSING."/>
    <x v="1"/>
    <x v="1"/>
    <m/>
    <x v="3"/>
    <x v="1"/>
    <m/>
    <s v="NCR1076"/>
    <x v="0"/>
    <x v="0"/>
    <x v="0"/>
  </r>
  <r>
    <d v="2021-12-20T00:00:00"/>
    <s v="TIR1037"/>
    <x v="0"/>
    <s v="PM2098"/>
    <n v="609"/>
    <s v="Gangway 2 Locks are missing."/>
    <x v="1"/>
    <x v="1"/>
    <m/>
    <x v="3"/>
    <x v="1"/>
    <m/>
    <s v="NCR0446"/>
    <x v="0"/>
    <x v="0"/>
    <x v="0"/>
  </r>
  <r>
    <d v="2021-12-21T00:00:00"/>
    <s v="TIR0270"/>
    <x v="6"/>
    <m/>
    <n v="618"/>
    <s v="LCD1-V1 offline and error display;SWD3-V1 offline"/>
    <x v="0"/>
    <x v="0"/>
    <s v="Updated software manually and test OK"/>
    <x v="0"/>
    <x v="0"/>
    <d v="2021-12-30T00:00:00"/>
    <s v="NCR423"/>
    <x v="0"/>
    <x v="0"/>
    <x v="0"/>
  </r>
  <r>
    <d v="2021-12-21T00:00:00"/>
    <s v="TIR0273"/>
    <x v="0"/>
    <s v="PM2104"/>
    <n v="605"/>
    <s v="HC2 NEAR GANGWAY PANEL1-1ALLEN SREW 1DAMAGE._x000a_HC1 NEAR GANGWAY PANEL1-1ALLEN SREW 1DAMAGE._x000a_HC2 ROOF PANEL1-1ALLEN SCREW MISSING._x000a_HC2 HANDRAIL SCREW ONE DAMAGE."/>
    <x v="0"/>
    <x v="1"/>
    <s v="all issue solved"/>
    <x v="0"/>
    <x v="0"/>
    <d v="2021-12-23T00:00:00"/>
    <m/>
    <x v="0"/>
    <x v="0"/>
    <x v="0"/>
  </r>
  <r>
    <d v="2021-12-21T00:00:00"/>
    <s v="TIR0275"/>
    <x v="0"/>
    <s v="PM2105"/>
    <n v="606"/>
    <s v="Display Status: lcd1.v2(err),swd1.v1(err)"/>
    <x v="0"/>
    <x v="0"/>
    <s v="Updated software manually and test OK"/>
    <x v="0"/>
    <x v="0"/>
    <d v="2021-12-30T00:00:00"/>
    <s v="NCR373"/>
    <x v="0"/>
    <x v="0"/>
    <x v="0"/>
  </r>
  <r>
    <d v="2021-12-21T00:00:00"/>
    <s v="TIR1038"/>
    <x v="0"/>
    <s v="PM2102"/>
    <n v="415"/>
    <s v="HC1 ROOF PANEL1 ALLEN SREW 1MISSING AND 1DAMAGE_x000a_HC2 ROOF PANEL1 ALLEN SREW1DAMAGE."/>
    <x v="1"/>
    <x v="1"/>
    <s v="Need to fixed nut missing not in stock 02-01-2022"/>
    <x v="3"/>
    <x v="1"/>
    <m/>
    <s v="NCR1038"/>
    <x v="0"/>
    <x v="0"/>
    <x v="0"/>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1T00:00:00"/>
    <s v="TIR1040"/>
    <x v="0"/>
    <s v="PM2104"/>
    <n v="605"/>
    <s v="hc2 sanding reservoir for re-filling (empty)"/>
    <x v="1"/>
    <x v="3"/>
    <s v="16/02 : level HC1 very low and HC2 also need to normalize"/>
    <x v="4"/>
    <x v="1"/>
    <m/>
    <m/>
    <x v="0"/>
    <x v="0"/>
    <x v="0"/>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x v="1"/>
    <m/>
    <s v="NCR1041"/>
    <x v="0"/>
    <x v="0"/>
    <x v="0"/>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2T00:00:00"/>
    <s v="TIR0279"/>
    <x v="0"/>
    <s v="PM2109"/>
    <n v="403"/>
    <s v="HC1 PANEL 1- 1 ALLEN SCREW MISSING"/>
    <x v="0"/>
    <x v="1"/>
    <s v="fixed the issue "/>
    <x v="0"/>
    <x v="0"/>
    <m/>
    <m/>
    <x v="0"/>
    <x v="0"/>
    <x v="0"/>
  </r>
  <r>
    <d v="2021-12-22T00:00:00"/>
    <s v="TIR0281"/>
    <x v="0"/>
    <s v="PM2110"/>
    <n v="407"/>
    <s v="HVAC1.V2_loss of communication ;IOS250 : One HVAC have a communication fault"/>
    <x v="0"/>
    <x v="2"/>
    <s v="Checked  by MPU logs and also by train tracer. No issues were observed. "/>
    <x v="0"/>
    <x v="0"/>
    <d v="2022-01-05T00:00:00"/>
    <m/>
    <x v="0"/>
    <x v="0"/>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x v="0"/>
    <d v="2022-01-05T00:00:00"/>
    <m/>
    <x v="0"/>
    <x v="0"/>
    <x v="0"/>
  </r>
  <r>
    <d v="2021-12-22T00:00:00"/>
    <s v="TIR0283"/>
    <x v="0"/>
    <s v="PM2110"/>
    <n v="407"/>
    <s v="HC2 PANEL 1 - 1 ALLEN SCREW MISSING_x000a_HC1 PANEL NEAR TO GANGWAY - 1 ALLEN SCREW MISSING"/>
    <x v="0"/>
    <x v="1"/>
    <s v="fixed the screw"/>
    <x v="0"/>
    <x v="0"/>
    <d v="2022-01-02T00:00:00"/>
    <m/>
    <x v="0"/>
    <x v="0"/>
    <x v="0"/>
  </r>
  <r>
    <d v="2021-12-22T00:00:00"/>
    <s v="TIR0284"/>
    <x v="0"/>
    <s v="PM2112"/>
    <n v="617"/>
    <s v="HC1 PANEL 1 - 1 ALLEN SCREW MISSING"/>
    <x v="0"/>
    <x v="1"/>
    <s v="issue solved"/>
    <x v="0"/>
    <x v="0"/>
    <d v="2021-12-23T00:00:00"/>
    <m/>
    <x v="0"/>
    <x v="0"/>
    <x v="0"/>
  </r>
  <r>
    <d v="2021-12-22T00:00:00"/>
    <s v="TIR0285"/>
    <x v="0"/>
    <s v="PM2112"/>
    <n v="617"/>
    <s v="HVAC1.V2(NOT successful in MonA TEST PROTCOL)"/>
    <x v="0"/>
    <x v="0"/>
    <s v="Updated software and test HVAC 4 compressors working ok"/>
    <x v="0"/>
    <x v="0"/>
    <d v="2022-01-02T00:00:00"/>
    <m/>
    <x v="0"/>
    <x v="0"/>
    <x v="0"/>
  </r>
  <r>
    <d v="2021-12-22T00:00:00"/>
    <s v="TIR0286"/>
    <x v="0"/>
    <s v="PM2114"/>
    <n v="503"/>
    <s v="IOS243 : One TRS Or NETBOX have a communication fault"/>
    <x v="0"/>
    <x v="2"/>
    <s v="Found CB72Q04 were off."/>
    <x v="0"/>
    <x v="0"/>
    <m/>
    <m/>
    <x v="0"/>
    <x v="0"/>
    <x v="0"/>
  </r>
  <r>
    <d v="2021-12-22T00:00:00"/>
    <s v="TIR0280"/>
    <x v="0"/>
    <s v="PM2110"/>
    <n v="407"/>
    <s v="hc2 gb#1 leakage"/>
    <x v="1"/>
    <x v="2"/>
    <m/>
    <x v="3"/>
    <x v="1"/>
    <m/>
    <s v="NCR0443"/>
    <x v="0"/>
    <x v="0"/>
    <x v="0"/>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x v="0"/>
    <m/>
    <s v="NCR0435"/>
    <x v="0"/>
    <x v="0"/>
    <x v="0"/>
  </r>
  <r>
    <d v="2021-12-22T00:00:00"/>
    <s v="TIR1043"/>
    <x v="0"/>
    <s v="PM2109"/>
    <n v="403"/>
    <s v="IOS1 : One compressor out of service indication"/>
    <x v="2"/>
    <x v="2"/>
    <m/>
    <x v="1"/>
    <x v="0"/>
    <d v="2022-01-06T00:00:00"/>
    <m/>
    <x v="0"/>
    <x v="0"/>
    <x v="0"/>
  </r>
  <r>
    <d v="2021-12-23T00:00:00"/>
    <s v="TIR0288"/>
    <x v="0"/>
    <s v="NA"/>
    <n v="410"/>
    <s v="LCD2-V2 dim issue"/>
    <x v="1"/>
    <x v="0"/>
    <s v="Updated LCD software manually and test OK"/>
    <x v="0"/>
    <x v="0"/>
    <d v="2022-01-27T00:00:00"/>
    <s v="NCR0428"/>
    <x v="0"/>
    <x v="0"/>
    <x v="0"/>
  </r>
  <r>
    <d v="2021-12-23T00:00:00"/>
    <s v="TIR0289"/>
    <x v="3"/>
    <s v="Mail"/>
    <n v="624"/>
    <s v="door open immediately in UTO.Door#2, hc2 DCU ios 18."/>
    <x v="0"/>
    <x v="1"/>
    <s v="in mpu logs on 23-Dec EED was failure after rest no more issue ."/>
    <x v="1"/>
    <x v="0"/>
    <d v="2021-12-23T00:00:00"/>
    <m/>
    <x v="0"/>
    <x v="0"/>
    <x v="0"/>
  </r>
  <r>
    <d v="2021-12-26T00:00:00"/>
    <s v="TIR0292"/>
    <x v="0"/>
    <s v="PM2118"/>
    <n v="612"/>
    <s v="HC1 Panel 1 allenkey screw missing"/>
    <x v="0"/>
    <x v="1"/>
    <s v="used new Screw"/>
    <x v="0"/>
    <x v="0"/>
    <d v="2022-01-04T00:00:00"/>
    <m/>
    <x v="0"/>
    <x v="0"/>
    <x v="0"/>
  </r>
  <r>
    <d v="2021-12-26T00:00:00"/>
    <s v="TIR0293"/>
    <x v="0"/>
    <s v="PM2119"/>
    <n v="618"/>
    <s v="Swd3-V1 NOK , Lcd1.V1 Error"/>
    <x v="0"/>
    <x v="0"/>
    <s v="Updated software manually and test OK"/>
    <x v="0"/>
    <x v="0"/>
    <d v="2021-12-30T00:00:00"/>
    <m/>
    <x v="0"/>
    <x v="0"/>
    <x v="0"/>
  </r>
  <r>
    <d v="2021-12-26T00:00:00"/>
    <s v="TIR0294"/>
    <x v="0"/>
    <s v="PM2120"/>
    <n v="618"/>
    <s v="HC2 Panel near to door 3 one allenkey screw missing"/>
    <x v="0"/>
    <x v="1"/>
    <s v="fixed the screw"/>
    <x v="0"/>
    <x v="0"/>
    <d v="2022-01-02T00:00:00"/>
    <m/>
    <x v="0"/>
    <x v="0"/>
    <x v="0"/>
  </r>
  <r>
    <d v="2021-12-26T00:00:00"/>
    <s v="TIR0295"/>
    <x v="0"/>
    <s v="PM2121"/>
    <n v="622"/>
    <s v="HC2 Panel near to door 3 one allenkey screw missing"/>
    <x v="0"/>
    <x v="1"/>
    <s v="fixed the screw"/>
    <x v="0"/>
    <x v="0"/>
    <d v="2022-01-02T00:00:00"/>
    <m/>
    <x v="0"/>
    <x v="0"/>
    <x v="0"/>
  </r>
  <r>
    <d v="2021-12-26T00:00:00"/>
    <s v="TIR0298"/>
    <x v="0"/>
    <s v="PM2124"/>
    <n v="518"/>
    <s v="Inter Glass door not  closed completely."/>
    <x v="0"/>
    <x v="2"/>
    <s v="The door leaf were not aligned, after make adjustment and test no more issue."/>
    <x v="0"/>
    <x v="0"/>
    <d v="2022-01-06T00:00:00"/>
    <m/>
    <x v="0"/>
    <x v="0"/>
    <x v="0"/>
  </r>
  <r>
    <d v="2021-12-26T00:00:00"/>
    <s v="TIR1044"/>
    <x v="0"/>
    <s v="PM2116"/>
    <n v="402"/>
    <s v="HC1 Panel 1 allenkey screw missing"/>
    <x v="1"/>
    <x v="1"/>
    <s v="need to replace the 3 nut(out of stock 05-Jan-2022)"/>
    <x v="3"/>
    <x v="1"/>
    <m/>
    <s v="NCR1044"/>
    <x v="0"/>
    <x v="0"/>
    <x v="0"/>
  </r>
  <r>
    <d v="2021-12-26T00:00:00"/>
    <s v="TIR1045"/>
    <x v="0"/>
    <s v="PM2117"/>
    <n v="610"/>
    <s v="HVAC2-V2 Exaust air fan low and high faulty."/>
    <x v="1"/>
    <x v="1"/>
    <m/>
    <x v="2"/>
    <x v="1"/>
    <m/>
    <m/>
    <x v="0"/>
    <x v="0"/>
    <x v="0"/>
  </r>
  <r>
    <d v="2021-12-26T00:00:00"/>
    <s v="TIR1046"/>
    <x v="0"/>
    <s v="PM2122"/>
    <n v="517"/>
    <s v="HC2-B2 -Axle4 minor leakge from top door of  gearbox.(GASKET )-s.no C484"/>
    <x v="1"/>
    <x v="3"/>
    <m/>
    <x v="2"/>
    <x v="1"/>
    <m/>
    <m/>
    <x v="0"/>
    <x v="0"/>
    <x v="0"/>
  </r>
  <r>
    <d v="2021-12-26T00:00:00"/>
    <s v="TIR1047"/>
    <x v="0"/>
    <s v="PM2123"/>
    <n v="518"/>
    <s v="HC2-LCD3 not available"/>
    <x v="1"/>
    <x v="0"/>
    <m/>
    <x v="2"/>
    <x v="1"/>
    <m/>
    <m/>
    <x v="0"/>
    <x v="0"/>
    <x v="0"/>
  </r>
  <r>
    <d v="2021-12-28T00:00:00"/>
    <s v="TIR0299"/>
    <x v="0"/>
    <s v="PM2087"/>
    <n v="410"/>
    <s v="lcd2.v2 not clear display"/>
    <x v="0"/>
    <x v="0"/>
    <s v="Checked in NCR428"/>
    <x v="0"/>
    <x v="0"/>
    <d v="2021-12-30T00:00:00"/>
    <m/>
    <x v="0"/>
    <x v="0"/>
    <x v="0"/>
  </r>
  <r>
    <d v="2021-12-28T00:00:00"/>
    <s v="TIR0302"/>
    <x v="0"/>
    <s v="PM2088"/>
    <n v="418"/>
    <s v="HC2 ROOF PANEL 1-2ALLEN SCREWS ARE MISSING._x000a_HC1 ROOF PANEL 1-2ALLEN SCREWS ARE MISSING."/>
    <x v="0"/>
    <x v="1"/>
    <s v="  new Screw putted"/>
    <x v="0"/>
    <x v="0"/>
    <d v="2021-12-30T00:00:00"/>
    <m/>
    <x v="0"/>
    <x v="0"/>
    <x v="0"/>
  </r>
  <r>
    <d v="2021-12-28T00:00:00"/>
    <s v="TIR0303"/>
    <x v="0"/>
    <s v="PM2090"/>
    <n v="422"/>
    <s v="HC2 PANEL 1 - 1ALLEN SCREW MISSING, 1 DAMAGE_x000a_HC1 PANEL NEAR TO GANGWAY - 1 ALLEN SCREW MISSING"/>
    <x v="0"/>
    <x v="1"/>
    <s v="used the new screw "/>
    <x v="0"/>
    <x v="0"/>
    <d v="2022-01-09T00:00:00"/>
    <m/>
    <x v="0"/>
    <x v="0"/>
    <x v="0"/>
  </r>
  <r>
    <d v="2021-12-28T00:00:00"/>
    <s v="TIR0308"/>
    <x v="0"/>
    <s v="PM2140"/>
    <n v="616"/>
    <s v="HC1 PANEL 1 -1 ALLEN SCREW MISSING_x000a_HC2 PANEL 1 -1ALLEN SCREW MISSING_x000a_HC2 HAND RAIL SCREW 1 MISSING"/>
    <x v="0"/>
    <x v="1"/>
    <s v="used new Screw"/>
    <x v="0"/>
    <x v="0"/>
    <d v="2022-01-04T00:00:00"/>
    <m/>
    <x v="0"/>
    <x v="0"/>
    <x v="0"/>
  </r>
  <r>
    <d v="2021-12-28T00:00:00"/>
    <s v="TIR0309"/>
    <x v="0"/>
    <s v="PM2140"/>
    <n v="616"/>
    <s v="IP- lcd3-v1 offline ,Display status-Not WORKING_x000a_LCD3 HC1"/>
    <x v="0"/>
    <x v="0"/>
    <s v="Update LCD sofware manually and test ok"/>
    <x v="0"/>
    <x v="0"/>
    <d v="2022-01-06T00:00:00"/>
    <m/>
    <x v="0"/>
    <x v="0"/>
    <x v="0"/>
  </r>
  <r>
    <d v="2021-12-28T00:00:00"/>
    <s v="TIR0314"/>
    <x v="0"/>
    <s v="PM2132"/>
    <n v="601"/>
    <s v="HC1_ battery switch not working."/>
    <x v="0"/>
    <x v="2"/>
    <s v="Checked the switch were working properly but no battery voltage available due to 52Q14 in LVB were switch off."/>
    <x v="0"/>
    <x v="0"/>
    <d v="2022-01-05T00:00:00"/>
    <m/>
    <x v="0"/>
    <x v="0"/>
    <x v="0"/>
  </r>
  <r>
    <d v="2021-12-28T00:00:00"/>
    <s v="TIR0316"/>
    <x v="0"/>
    <s v="PM2134"/>
    <n v="615"/>
    <s v="lcd1 v1 showing not available-OFFLINE and Blank display"/>
    <x v="0"/>
    <x v="0"/>
    <s v="Update software manually and test Ok"/>
    <x v="0"/>
    <x v="0"/>
    <d v="2022-01-03T00:00:00"/>
    <m/>
    <x v="0"/>
    <x v="0"/>
    <x v="0"/>
  </r>
  <r>
    <d v="2021-12-28T00:00:00"/>
    <s v="TIR0321"/>
    <x v="0"/>
    <s v="PM2126"/>
    <n v="611"/>
    <s v="HVAC AND UMC IN RED COLOR AUTOTEST"/>
    <x v="0"/>
    <x v="0"/>
    <s v="Found HVAC1-V2 offline and recovered it and  HVAC autotest OK"/>
    <x v="0"/>
    <x v="0"/>
    <d v="2022-01-09T00:00:00"/>
    <m/>
    <x v="0"/>
    <x v="0"/>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x v="0"/>
    <d v="2022-01-05T00:00:00"/>
    <m/>
    <x v="0"/>
    <x v="0"/>
    <x v="0"/>
  </r>
  <r>
    <d v="2021-12-28T00:00:00"/>
    <s v="TIR0323"/>
    <x v="0"/>
    <s v="PM2126"/>
    <n v="611"/>
    <s v="HC2 PANEL NEAR TO DOOR 3 - 1 ALLEN SCREW IS DAMAGE"/>
    <x v="0"/>
    <x v="1"/>
    <s v="repaired the screw"/>
    <x v="0"/>
    <x v="0"/>
    <d v="2021-12-30T00:00:00"/>
    <m/>
    <x v="0"/>
    <x v="0"/>
    <x v="0"/>
  </r>
  <r>
    <d v="2021-12-28T00:00:00"/>
    <s v="TIR0327"/>
    <x v="0"/>
    <s v="PM2129"/>
    <n v="507"/>
    <s v="IOS243 : One TRS Or NETBOX have a communication fault,netmm2.local IP offline"/>
    <x v="0"/>
    <x v="2"/>
    <s v="Checked and found power connector were wrongly connected."/>
    <x v="0"/>
    <x v="0"/>
    <d v="2022-01-02T00:00:00"/>
    <m/>
    <x v="0"/>
    <x v="0"/>
    <x v="0"/>
  </r>
  <r>
    <d v="2021-12-28T00:00:00"/>
    <s v="TIR0302"/>
    <x v="0"/>
    <s v="PM2090"/>
    <n v="620"/>
    <s v="ONE INTERNAL GANG COVER MISSING"/>
    <x v="1"/>
    <x v="1"/>
    <m/>
    <x v="3"/>
    <x v="1"/>
    <m/>
    <s v="NCR0439"/>
    <x v="0"/>
    <x v="0"/>
    <x v="0"/>
  </r>
  <r>
    <d v="2021-12-28T00:00:00"/>
    <s v="TIR0307"/>
    <x v="0"/>
    <s v="PM2139"/>
    <n v="613"/>
    <s v="Display Status: Not WORKING_x000a_LCD 4 HC1"/>
    <x v="1"/>
    <x v="0"/>
    <s v="Updated LCD software manually and test OK"/>
    <x v="1"/>
    <x v="0"/>
    <d v="2022-01-27T00:00:00"/>
    <s v="NCR413"/>
    <x v="0"/>
    <x v="0"/>
    <x v="0"/>
  </r>
  <r>
    <d v="2021-12-28T00:00:00"/>
    <s v="TIR0313"/>
    <x v="0"/>
    <s v="PM2132"/>
    <n v="601"/>
    <s v="gangways panels are not able to closed"/>
    <x v="1"/>
    <x v="1"/>
    <s v="Need to replace the side panel drum"/>
    <x v="3"/>
    <x v="1"/>
    <m/>
    <s v="NCR0441"/>
    <x v="0"/>
    <x v="0"/>
    <x v="0"/>
  </r>
  <r>
    <d v="2021-12-28T00:00:00"/>
    <s v="TIR0315"/>
    <x v="0"/>
    <s v="PM2133"/>
    <n v="607"/>
    <s v="HC1 GEAR BOX 2 OIL LEVEL IS BELOW MIN"/>
    <x v="3"/>
    <x v="3"/>
    <m/>
    <x v="0"/>
    <x v="0"/>
    <m/>
    <s v="NCR450"/>
    <x v="0"/>
    <x v="0"/>
    <x v="0"/>
  </r>
  <r>
    <d v="2021-12-28T00:00:00"/>
    <s v="TIR0325"/>
    <x v="0"/>
    <s v="PM2128"/>
    <n v="504"/>
    <s v="Gangway Panel has  scractch &amp;Lock missing"/>
    <x v="1"/>
    <x v="3"/>
    <s v="Gangway cover need to paint and change the lock according to new retofit process."/>
    <x v="3"/>
    <x v="1"/>
    <m/>
    <s v="NCR0437"/>
    <x v="0"/>
    <x v="0"/>
    <x v="0"/>
  </r>
  <r>
    <d v="2021-12-28T00:00:00"/>
    <s v="TIR0326"/>
    <x v="0"/>
    <s v="PM2129"/>
    <n v="507"/>
    <s v="CCD to JB_ HV  cable support clamp missing,HC1_bogie2 Left,HC2-Bogie1,2-Right "/>
    <x v="1"/>
    <x v="3"/>
    <m/>
    <x v="3"/>
    <x v="1"/>
    <m/>
    <s v="NCR0436"/>
    <x v="0"/>
    <x v="0"/>
    <x v="0"/>
  </r>
  <r>
    <d v="2021-12-28T00:00:00"/>
    <s v="TIR0300"/>
    <x v="0"/>
    <s v="PM2088"/>
    <n v="418"/>
    <s v="hc1 ace box 1 lock defective"/>
    <x v="0"/>
    <x v="1"/>
    <s v="all locks are good"/>
    <x v="1"/>
    <x v="0"/>
    <d v="2021-12-30T00:00:00"/>
    <m/>
    <x v="0"/>
    <x v="0"/>
    <x v="0"/>
  </r>
  <r>
    <d v="2021-12-28T00:00:00"/>
    <s v="TIR1048"/>
    <x v="0"/>
    <s v="PM2088"/>
    <n v="418"/>
    <s v="lcd1.v1,equipement not responding with IP scanner"/>
    <x v="1"/>
    <x v="0"/>
    <s v="Update software manually and test Ok"/>
    <x v="0"/>
    <x v="0"/>
    <d v="2022-01-19T00:00:00"/>
    <m/>
    <x v="0"/>
    <x v="0"/>
    <x v="0"/>
  </r>
  <r>
    <d v="2021-12-28T00:00:00"/>
    <s v="TIR1049"/>
    <x v="0"/>
    <s v="PM2132"/>
    <n v="601"/>
    <s v="Hc2- gearbox #2 oil level below minimum"/>
    <x v="1"/>
    <x v="3"/>
    <m/>
    <x v="4"/>
    <x v="1"/>
    <m/>
    <m/>
    <x v="3"/>
    <x v="0"/>
    <x v="0"/>
  </r>
  <r>
    <d v="2021-12-28T00:00:00"/>
    <s v="TIR1050"/>
    <x v="0"/>
    <s v="PM2137"/>
    <n v="406"/>
    <s v="IP-OFFLINE- ledi4-v2   Display Status: not working SWD-2&amp;6 HC1_x000a_LED 4 HC2"/>
    <x v="1"/>
    <x v="5"/>
    <m/>
    <x v="1"/>
    <x v="0"/>
    <d v="2022-03-17T00:00:00"/>
    <m/>
    <x v="0"/>
    <x v="0"/>
    <x v="0"/>
  </r>
  <r>
    <d v="2021-12-28T00:00:00"/>
    <s v="TIR1051"/>
    <x v="0"/>
    <s v="PM2141"/>
    <n v="505"/>
    <s v="HC1-HVAC1_compressor2 Loud noise"/>
    <x v="1"/>
    <x v="1"/>
    <m/>
    <x v="2"/>
    <x v="1"/>
    <m/>
    <m/>
    <x v="0"/>
    <x v="0"/>
    <x v="0"/>
  </r>
  <r>
    <d v="2021-12-28T00:00:00"/>
    <s v="TIR1052"/>
    <x v="0"/>
    <s v="PM2141"/>
    <n v="505"/>
    <s v="HC1-swd.4-Half broken ,Ledi4-blank"/>
    <x v="1"/>
    <x v="0"/>
    <m/>
    <x v="2"/>
    <x v="1"/>
    <m/>
    <m/>
    <x v="0"/>
    <x v="0"/>
    <x v="0"/>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x v="0"/>
    <d v="2022-01-24T00:00:00"/>
    <m/>
    <x v="0"/>
    <x v="0"/>
    <x v="0"/>
  </r>
  <r>
    <d v="2021-12-28T00:00:00"/>
    <s v="TIR1054"/>
    <x v="0"/>
    <s v="PM2134"/>
    <n v="615"/>
    <s v="hvac2 car1 heater 1 not released"/>
    <x v="1"/>
    <x v="1"/>
    <m/>
    <x v="1"/>
    <x v="0"/>
    <d v="2022-01-17T00:00:00"/>
    <m/>
    <x v="0"/>
    <x v="0"/>
    <x v="0"/>
  </r>
  <r>
    <d v="2021-12-28T00:00:00"/>
    <s v="TIR1055"/>
    <x v="0"/>
    <s v="PM2135"/>
    <n v="508"/>
    <s v="Hc2-Hvac2 Low pressure in Line2"/>
    <x v="2"/>
    <x v="2"/>
    <m/>
    <x v="0"/>
    <x v="0"/>
    <m/>
    <s v="NCR1055"/>
    <x v="0"/>
    <x v="0"/>
    <x v="0"/>
  </r>
  <r>
    <d v="2021-12-28T00:00:00"/>
    <s v="TIR1056"/>
    <x v="0"/>
    <s v="PM2123"/>
    <n v="404"/>
    <s v="hc1 gearbox 1&amp;2 oil level below minimum"/>
    <x v="1"/>
    <x v="2"/>
    <s v="Checked and no leakage were found and only need to topup the gearbox oil."/>
    <x v="0"/>
    <x v="0"/>
    <m/>
    <s v="NCR1056"/>
    <x v="0"/>
    <x v="0"/>
    <x v="0"/>
  </r>
  <r>
    <d v="2021-12-28T00:00:00"/>
    <s v="TIR1057"/>
    <x v="0"/>
    <s v="PM2124"/>
    <n v="408"/>
    <s v="LED5 CAR1 ON PLAM TREE NOT OK BUT IP STATUS OK"/>
    <x v="1"/>
    <x v="0"/>
    <s v="Updated software manuall and test OK"/>
    <x v="0"/>
    <x v="0"/>
    <d v="2022-01-11T00:00:00"/>
    <m/>
    <x v="0"/>
    <x v="0"/>
    <x v="0"/>
  </r>
  <r>
    <d v="2021-12-28T00:00:00"/>
    <s v="TIR1058"/>
    <x v="0"/>
    <s v="PM2127"/>
    <n v="614"/>
    <s v="Display Status [ HC2 {SWD2-blank }  { SWD5- No image }"/>
    <x v="1"/>
    <x v="0"/>
    <s v="Update software manually and test Ok"/>
    <x v="0"/>
    <x v="0"/>
    <d v="2022-02-06T00:00:00"/>
    <m/>
    <x v="4"/>
    <x v="0"/>
    <x v="0"/>
  </r>
  <r>
    <d v="2021-12-29T00:00:00"/>
    <s v="TIR0329"/>
    <x v="0"/>
    <s v="PM2147"/>
    <n v="619"/>
    <s v="swd4-v2 not ok, ledi5-v2 not ok"/>
    <x v="0"/>
    <x v="0"/>
    <s v="update software manually and test OK"/>
    <x v="0"/>
    <x v="0"/>
    <d v="2022-01-03T00:00:00"/>
    <m/>
    <x v="0"/>
    <x v="0"/>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x v="0"/>
    <d v="2022-01-02T00:00:00"/>
    <m/>
    <x v="0"/>
    <x v="0"/>
    <x v="0"/>
  </r>
  <r>
    <d v="2021-12-29T00:00:00"/>
    <s v="TIR0335"/>
    <x v="0"/>
    <s v="PM2156"/>
    <n v="501"/>
    <s v="TCN-BRIO4/HC2 RED,Brio4/v2 IP offline;IOS244 : Communication Loss with one other BRIO"/>
    <x v="0"/>
    <x v="2"/>
    <s v="Checked and observed Etheret cable were not connected, after reconnect check by IP scanner and all online."/>
    <x v="0"/>
    <x v="0"/>
    <d v="2022-01-02T00:00:00"/>
    <m/>
    <x v="0"/>
    <x v="0"/>
    <x v="0"/>
  </r>
  <r>
    <d v="2021-12-29T00:00:00"/>
    <s v="TIR0339"/>
    <x v="0"/>
    <s v="PM2154"/>
    <n v="623"/>
    <s v="led6 car2 not ok -IP offline and led6 car2 on condition. its showing no signal."/>
    <x v="0"/>
    <x v="0"/>
    <s v="Update the software manually and test OK"/>
    <x v="0"/>
    <x v="0"/>
    <d v="2022-01-02T00:00:00"/>
    <m/>
    <x v="0"/>
    <x v="0"/>
    <x v="0"/>
  </r>
  <r>
    <d v="2021-12-29T00:00:00"/>
    <s v="TIR0336"/>
    <x v="0"/>
    <s v="PM2156"/>
    <n v="501"/>
    <s v="HC2- Bogie1 left side derailment sensor cable clamp missing"/>
    <x v="2"/>
    <x v="2"/>
    <m/>
    <x v="3"/>
    <x v="1"/>
    <m/>
    <s v="NCR0438"/>
    <x v="0"/>
    <x v="0"/>
    <x v="0"/>
  </r>
  <r>
    <d v="2021-12-29T00:00:00"/>
    <s v="TIR0341"/>
    <x v="0"/>
    <s v="PM2155"/>
    <n v="625"/>
    <s v="swd3 car1 blank not powered up and ip scanner shown ok"/>
    <x v="1"/>
    <x v="0"/>
    <s v="Updated software manually and test OK"/>
    <x v="0"/>
    <x v="0"/>
    <d v="2022-01-19T00:00:00"/>
    <s v="NCR440"/>
    <x v="0"/>
    <x v="0"/>
    <x v="0"/>
  </r>
  <r>
    <d v="2021-12-29T00:00:00"/>
    <s v="TIR0331"/>
    <x v="0"/>
    <s v="PM2150"/>
    <n v="519"/>
    <s v="HC2-Using Battery2 can not wakeup the train from both HC"/>
    <x v="1"/>
    <x v="3"/>
    <m/>
    <x v="1"/>
    <x v="0"/>
    <m/>
    <m/>
    <x v="0"/>
    <x v="0"/>
    <x v="0"/>
  </r>
  <r>
    <d v="2021-12-29T00:00:00"/>
    <s v="TIR0340"/>
    <x v="0"/>
    <s v="PM2154"/>
    <n v="623"/>
    <s v="hvac1 car1 heater1 not released"/>
    <x v="0"/>
    <x v="1"/>
    <m/>
    <x v="1"/>
    <x v="0"/>
    <d v="2022-01-05T00:00:00"/>
    <m/>
    <x v="0"/>
    <x v="0"/>
    <x v="0"/>
  </r>
  <r>
    <d v="2021-12-29T00:00:00"/>
    <s v="TIR1059"/>
    <x v="0"/>
    <s v="PM2144"/>
    <n v="414"/>
    <s v="Semi Permanent coupler grounding bolt missing"/>
    <x v="1"/>
    <x v="1"/>
    <m/>
    <x v="0"/>
    <x v="0"/>
    <m/>
    <s v="NCR1059"/>
    <x v="0"/>
    <x v="0"/>
    <x v="0"/>
  </r>
  <r>
    <d v="2021-12-29T00:00:00"/>
    <s v="TIR1060"/>
    <x v="0"/>
    <s v="PM2147"/>
    <n v="619"/>
    <s v="HVAC1 CAR2 TEST PROTOCOL SHOWING default :  DF1005_EXFL,DF1006_EmExF"/>
    <x v="2"/>
    <x v="1"/>
    <m/>
    <x v="1"/>
    <x v="0"/>
    <d v="2022-01-31T00:00:00"/>
    <m/>
    <x v="0"/>
    <x v="0"/>
    <x v="0"/>
  </r>
  <r>
    <d v="2021-12-29T00:00:00"/>
    <s v="TIR1061"/>
    <x v="0"/>
    <s v="PM2144"/>
    <n v="414"/>
    <s v="Swd4-V1 Dark, Lcd5-V1 offline"/>
    <x v="1"/>
    <x v="0"/>
    <s v="Updated software manually and test OK"/>
    <x v="0"/>
    <x v="0"/>
    <d v="2022-01-13T00:00:00"/>
    <m/>
    <x v="0"/>
    <x v="0"/>
    <x v="0"/>
  </r>
  <r>
    <d v="2021-12-29T00:00:00"/>
    <s v="TIR1062"/>
    <x v="0"/>
    <s v="PM2147"/>
    <n v="619"/>
    <s v="HC2-CCC rubber missing."/>
    <x v="1"/>
    <x v="1"/>
    <m/>
    <x v="2"/>
    <x v="1"/>
    <m/>
    <m/>
    <x v="0"/>
    <x v="0"/>
    <x v="0"/>
  </r>
  <r>
    <d v="2021-12-29T00:00:00"/>
    <s v="TIR1063"/>
    <x v="0"/>
    <s v="PM2152"/>
    <n v="419"/>
    <s v="IOS21 : Minor fault on 1 brake unit"/>
    <x v="1"/>
    <x v="3"/>
    <s v="20/01/2022: Test in the mainline , No issue found"/>
    <x v="1"/>
    <x v="0"/>
    <d v="2022-01-20T00:00:00"/>
    <m/>
    <x v="0"/>
    <x v="0"/>
    <x v="0"/>
  </r>
  <r>
    <d v="2021-12-29T00:00:00"/>
    <s v="TIR1064"/>
    <x v="0"/>
    <s v="PM2153"/>
    <n v="423"/>
    <s v="car2 swd2 one display blank no image"/>
    <x v="1"/>
    <x v="0"/>
    <s v="Updated SWD2-V2 and test ok"/>
    <x v="0"/>
    <x v="0"/>
    <d v="2022-01-19T00:00:00"/>
    <m/>
    <x v="0"/>
    <x v="0"/>
    <x v="0"/>
  </r>
  <r>
    <d v="2021-12-30T00:00:00"/>
    <s v="TIR0343"/>
    <x v="0"/>
    <s v="PM2158"/>
    <n v="410"/>
    <s v="gangway internal cover is missing"/>
    <x v="1"/>
    <x v="1"/>
    <m/>
    <x v="3"/>
    <x v="1"/>
    <m/>
    <s v="NCR0445"/>
    <x v="0"/>
    <x v="0"/>
    <x v="0"/>
  </r>
  <r>
    <d v="2021-12-30T00:00:00"/>
    <s v="TIR1066"/>
    <x v="0"/>
    <s v="PM2160"/>
    <n v="421"/>
    <s v="CAR2 HVAC1,HVAC2,DF 1005_EXFL,DF 1006_EMEXF,_x000a_EXHAUST AIR FAN LOW,_x000a_EXHAUST AIR FAN HIGH."/>
    <x v="1"/>
    <x v="1"/>
    <m/>
    <x v="2"/>
    <x v="1"/>
    <m/>
    <m/>
    <x v="0"/>
    <x v="0"/>
    <x v="0"/>
  </r>
  <r>
    <d v="2021-12-30T00:00:00"/>
    <s v="TIR1067"/>
    <x v="0"/>
    <s v="PM2161"/>
    <n v="422"/>
    <s v="led1 car2 physically off condition and ip also off"/>
    <x v="1"/>
    <x v="0"/>
    <s v="1/13/2022:To update LED software manually _x000a_2/23/2022:Updated software manually and test ok"/>
    <x v="0"/>
    <x v="0"/>
    <d v="2022-02-23T00:00:00"/>
    <m/>
    <x v="0"/>
    <x v="0"/>
    <x v="0"/>
  </r>
  <r>
    <d v="2021-12-30T00:00:00"/>
    <s v="TIR1068"/>
    <x v="0"/>
    <s v="PM2163"/>
    <n v="511"/>
    <s v="Gangway 2 Lock Nok"/>
    <x v="1"/>
    <x v="3"/>
    <m/>
    <x v="3"/>
    <x v="1"/>
    <m/>
    <s v="NCR1068"/>
    <x v="0"/>
    <x v="0"/>
    <x v="0"/>
  </r>
  <r>
    <d v="2022-01-02T00:00:00"/>
    <s v="TIR0350"/>
    <x v="0"/>
    <s v="PM2165"/>
    <n v="412"/>
    <s v="Pei1 car2(physically activated)-IP offline,IOS_195,196,202,203"/>
    <x v="0"/>
    <x v="0"/>
    <s v="Found PEI1-V2 component failure and replaced a new PEI and test no more ios report"/>
    <x v="0"/>
    <x v="0"/>
    <d v="2022-01-10T00:00:00"/>
    <s v="NCR0451"/>
    <x v="2"/>
    <x v="2"/>
    <x v="0"/>
  </r>
  <r>
    <d v="2022-01-02T00:00:00"/>
    <s v="TIR0349"/>
    <x v="0"/>
    <s v="PM2165"/>
    <n v="412"/>
    <s v="GANGWAY INTERNAL PANELS ARE MISSING"/>
    <x v="1"/>
    <x v="1"/>
    <m/>
    <x v="3"/>
    <x v="1"/>
    <m/>
    <s v="NCR0444"/>
    <x v="5"/>
    <x v="3"/>
    <x v="0"/>
  </r>
  <r>
    <d v="2022-01-02T00:00:00"/>
    <s v="TIR1065"/>
    <x v="4"/>
    <s v="NA"/>
    <n v="412"/>
    <s v="more then 10kph speed on WM/DM"/>
    <x v="3"/>
    <x v="1"/>
    <s v="Update the MPU software"/>
    <x v="0"/>
    <x v="0"/>
    <m/>
    <m/>
    <x v="6"/>
    <x v="3"/>
    <x v="0"/>
  </r>
  <r>
    <d v="2022-01-02T00:00:00"/>
    <s v="TIR1069"/>
    <x v="0"/>
    <s v="PM2169"/>
    <n v="516"/>
    <s v="Gangway Panel Lock 3 no.s Nok"/>
    <x v="1"/>
    <x v="3"/>
    <m/>
    <x v="3"/>
    <x v="1"/>
    <m/>
    <s v="NCR1069"/>
    <x v="5"/>
    <x v="3"/>
    <x v="0"/>
  </r>
  <r>
    <d v="2022-01-02T00:00:00"/>
    <s v="TIR1070"/>
    <x v="0"/>
    <s v="PM2164"/>
    <n v="411"/>
    <s v="HC1-Bogie2 Oil level AXLE 1 LOW, AXLE 2 VERY LOW"/>
    <x v="1"/>
    <x v="3"/>
    <s v="31/01 : checked and level is not too low. Maybe it was normalize between."/>
    <x v="4"/>
    <x v="1"/>
    <m/>
    <m/>
    <x v="3"/>
    <x v="3"/>
    <x v="0"/>
  </r>
  <r>
    <d v="2022-01-02T00:00:00"/>
    <s v="TIR1071"/>
    <x v="0"/>
    <s v="PM2166"/>
    <n v="603"/>
    <s v="hc2 bogie1 left CC corner was damaged"/>
    <x v="2"/>
    <x v="1"/>
    <m/>
    <x v="0"/>
    <x v="0"/>
    <m/>
    <s v="NCR1071"/>
    <x v="3"/>
    <x v="4"/>
    <x v="0"/>
  </r>
  <r>
    <d v="2022-01-02T00:00:00"/>
    <s v="TIR1072"/>
    <x v="0"/>
    <s v="PM2166"/>
    <n v="603"/>
    <s v="hc2 left sanding hose missing"/>
    <x v="1"/>
    <x v="1"/>
    <m/>
    <x v="3"/>
    <x v="1"/>
    <m/>
    <s v=" NCR0362"/>
    <x v="3"/>
    <x v="0"/>
    <x v="0"/>
  </r>
  <r>
    <d v="2022-01-02T00:00:00"/>
    <s v="TIR1073"/>
    <x v="0"/>
    <s v="PM2166"/>
    <n v="603"/>
    <s v="GANGWAY INTERNAL cover missing hc1 right"/>
    <x v="1"/>
    <x v="1"/>
    <m/>
    <x v="3"/>
    <x v="1"/>
    <m/>
    <s v="NCR1073"/>
    <x v="5"/>
    <x v="3"/>
    <x v="0"/>
  </r>
  <r>
    <d v="2022-01-02T00:00:00"/>
    <s v="TIR1074"/>
    <x v="0"/>
    <s v="PM2167"/>
    <n v="609"/>
    <s v="Hc2 gb# 3 oil level below minimum"/>
    <x v="3"/>
    <x v="1"/>
    <m/>
    <x v="0"/>
    <x v="0"/>
    <m/>
    <s v="NCR1074"/>
    <x v="3"/>
    <x v="3"/>
    <x v="0"/>
  </r>
  <r>
    <d v="2022-01-02T00:00:00"/>
    <s v="TIR1075"/>
    <x v="0"/>
    <s v="PM2167"/>
    <n v="609"/>
    <s v="Hc1 axle 2 gasket leaKed"/>
    <x v="1"/>
    <x v="3"/>
    <m/>
    <x v="3"/>
    <x v="1"/>
    <m/>
    <s v="NCR1075"/>
    <x v="3"/>
    <x v="3"/>
    <x v="0"/>
  </r>
  <r>
    <d v="2022-01-02T00:00:00"/>
    <s v="TIR1076"/>
    <x v="0"/>
    <s v="PM2167"/>
    <n v="609"/>
    <s v="HC2 PANEL NO1 ALLEN SCREW MISSING._x000a_HC2 NEAR DOOR2 SEALING PANEL ALLEN SCREW MISSING._x000a_HC1&amp;HC2NEAR TO GANGWAY PANEL ALLEN SCREWS ARE MISSING "/>
    <x v="1"/>
    <x v="1"/>
    <s v="need to replace the 3 nut(out of stock 05-Jan-2022)"/>
    <x v="3"/>
    <x v="1"/>
    <m/>
    <s v="NCR1076"/>
    <x v="5"/>
    <x v="3"/>
    <x v="0"/>
  </r>
  <r>
    <d v="2022-01-02T00:00:00"/>
    <s v="TIR1077"/>
    <x v="0"/>
    <s v="PM2165"/>
    <n v="412"/>
    <s v="HC2 bogie 1 axle 1 &amp;2 oil level is low"/>
    <x v="1"/>
    <x v="3"/>
    <s v="31/01 : level is low. No leakage found. Need to normalize the oil level."/>
    <x v="4"/>
    <x v="1"/>
    <m/>
    <m/>
    <x v="3"/>
    <x v="3"/>
    <x v="0"/>
  </r>
  <r>
    <d v="2022-01-03T00:00:00"/>
    <s v="TIR0363"/>
    <x v="2"/>
    <s v="NA"/>
    <n v="404"/>
    <s v="One internal smoke detector activated ( IOS124 is existing )"/>
    <x v="0"/>
    <x v="1"/>
    <s v="After clean no more IOS"/>
    <x v="0"/>
    <x v="0"/>
    <d v="2022-01-05T00:00:00"/>
    <m/>
    <x v="5"/>
    <x v="0"/>
    <x v="0"/>
  </r>
  <r>
    <d v="2022-01-03T00:00:00"/>
    <s v="TIR0366"/>
    <x v="0"/>
    <s v="PM2170"/>
    <n v="604"/>
    <s v="IOS86 : The dead man relays discordance "/>
    <x v="0"/>
    <x v="1"/>
    <m/>
    <x v="0"/>
    <x v="0"/>
    <d v="2022-01-04T00:00:00"/>
    <m/>
    <x v="7"/>
    <x v="3"/>
    <x v="0"/>
  </r>
  <r>
    <d v="2022-01-03T00:00:00"/>
    <s v="TIR0375"/>
    <x v="4"/>
    <s v="NA"/>
    <n v="609"/>
    <s v="Gangway locks missing"/>
    <x v="1"/>
    <x v="1"/>
    <m/>
    <x v="3"/>
    <x v="1"/>
    <m/>
    <s v="NCR0446"/>
    <x v="5"/>
    <x v="3"/>
    <x v="0"/>
  </r>
  <r>
    <d v="2022-01-03T00:00:00"/>
    <s v="TIR0365"/>
    <x v="0"/>
    <s v="PM2170"/>
    <n v="604"/>
    <s v="hc2 bogie1 left CC corner  was damaged"/>
    <x v="0"/>
    <x v="1"/>
    <m/>
    <x v="1"/>
    <x v="0"/>
    <d v="2022-01-04T00:00:00"/>
    <m/>
    <x v="3"/>
    <x v="4"/>
    <x v="0"/>
  </r>
  <r>
    <d v="2022-01-03T00:00:00"/>
    <s v="TIR0368"/>
    <x v="0"/>
    <s v="PM2172"/>
    <n v="606"/>
    <s v="hc2 bogie1 left CC corner was damaged"/>
    <x v="0"/>
    <x v="1"/>
    <m/>
    <x v="1"/>
    <x v="0"/>
    <d v="2022-01-04T00:00:00"/>
    <m/>
    <x v="3"/>
    <x v="4"/>
    <x v="0"/>
  </r>
  <r>
    <d v="2022-01-03T00:00:00"/>
    <s v="TIR0369"/>
    <x v="0"/>
    <s v="PM2172"/>
    <n v="606"/>
    <s v="hc2 left sanding hose missing"/>
    <x v="0"/>
    <x v="1"/>
    <m/>
    <x v="1"/>
    <x v="0"/>
    <d v="2022-01-04T00:00:00"/>
    <m/>
    <x v="3"/>
    <x v="0"/>
    <x v="0"/>
  </r>
  <r>
    <d v="2022-01-03T00:00:00"/>
    <s v="TIR0370"/>
    <x v="0"/>
    <s v="PM2172"/>
    <n v="606"/>
    <s v="GANGWAY INTERNAL cover missing hc1 right"/>
    <x v="0"/>
    <x v="1"/>
    <m/>
    <x v="1"/>
    <x v="0"/>
    <d v="2022-01-04T00:00:00"/>
    <m/>
    <x v="5"/>
    <x v="3"/>
    <x v="0"/>
  </r>
  <r>
    <d v="2022-01-03T00:00:00"/>
    <s v="TIR1078"/>
    <x v="2"/>
    <s v="NA"/>
    <n v="402"/>
    <s v="HC1 Mechanical coupler got stuck while uncoupling"/>
    <x v="1"/>
    <x v="1"/>
    <m/>
    <x v="0"/>
    <x v="0"/>
    <m/>
    <m/>
    <x v="8"/>
    <x v="3"/>
    <x v="0"/>
  </r>
  <r>
    <d v="2022-01-03T00:00:00"/>
    <s v="TIR1079"/>
    <x v="2"/>
    <s v="NA"/>
    <n v="403"/>
    <s v="HC2 Mechanical coupler got stuck while uncoupling"/>
    <x v="1"/>
    <x v="1"/>
    <m/>
    <x v="0"/>
    <x v="0"/>
    <m/>
    <s v="NCR1079"/>
    <x v="8"/>
    <x v="3"/>
    <x v="0"/>
  </r>
  <r>
    <d v="2022-01-03T00:00:00"/>
    <s v="TIR1080"/>
    <x v="2"/>
    <s v="NA"/>
    <n v="413"/>
    <s v="HC2 Mechanical coupler got stuck while uncoupling"/>
    <x v="1"/>
    <x v="2"/>
    <s v="Checked and no uncoupling issue detected."/>
    <x v="1"/>
    <x v="0"/>
    <m/>
    <m/>
    <x v="8"/>
    <x v="3"/>
    <x v="0"/>
  </r>
  <r>
    <d v="2022-01-03T00:00:00"/>
    <s v="TIR1081"/>
    <x v="2"/>
    <s v="NA"/>
    <n v="620"/>
    <s v="HC1 EAD switch not working"/>
    <x v="1"/>
    <x v="1"/>
    <s v="adjust the EAD cable we can open the door "/>
    <x v="0"/>
    <x v="0"/>
    <d v="2022-02-01T00:00:00"/>
    <m/>
    <x v="7"/>
    <x v="0"/>
    <x v="0"/>
  </r>
  <r>
    <d v="2022-01-03T00:00:00"/>
    <s v="TIR1082"/>
    <x v="2"/>
    <s v="NA"/>
    <n v="610"/>
    <s v="HC1 EAD switch not working"/>
    <x v="2"/>
    <x v="1"/>
    <s v="4 cable was not connected after normalise working fine"/>
    <x v="0"/>
    <x v="0"/>
    <d v="2022-01-10T00:00:00"/>
    <m/>
    <x v="7"/>
    <x v="0"/>
    <x v="0"/>
  </r>
  <r>
    <d v="2022-01-03T00:00:00"/>
    <s v="TIR1083"/>
    <x v="2"/>
    <s v="NA"/>
    <n v="610"/>
    <s v="HC1 side can not uncouple "/>
    <x v="1"/>
    <x v="1"/>
    <s v="we open the UNCOUPLING MAGNET VALVE and closed back issue no more present "/>
    <x v="0"/>
    <x v="0"/>
    <d v="2022-01-10T00:00:00"/>
    <m/>
    <x v="8"/>
    <x v="0"/>
    <x v="0"/>
  </r>
  <r>
    <d v="2022-01-03T00:00:00"/>
    <s v="TIR1084"/>
    <x v="0"/>
    <s v="PM2171"/>
    <n v="605"/>
    <s v="LED I6. v1, LCD v1, SWD 6, v1-IP NOK"/>
    <x v="1"/>
    <x v="0"/>
    <s v="Restart train 2 times and checked all of them good"/>
    <x v="1"/>
    <x v="0"/>
    <d v="2022-01-11T00:00:00"/>
    <m/>
    <x v="2"/>
    <x v="0"/>
    <x v="0"/>
  </r>
  <r>
    <d v="2022-01-03T00:00:00"/>
    <s v="TIR1085"/>
    <x v="0"/>
    <s v="PM2173"/>
    <n v="621"/>
    <s v="HC2 axle 2 oil level lessthan min"/>
    <x v="1"/>
    <x v="3"/>
    <m/>
    <x v="4"/>
    <x v="1"/>
    <m/>
    <m/>
    <x v="3"/>
    <x v="3"/>
    <x v="0"/>
  </r>
  <r>
    <d v="2022-01-03T00:00:00"/>
    <s v="TIR1086"/>
    <x v="0"/>
    <s v="PM2173"/>
    <n v="621"/>
    <s v="Torque mark damage in bolts of half coupler(gear box and motor) HC1-Axle4-"/>
    <x v="1"/>
    <x v="3"/>
    <m/>
    <x v="4"/>
    <x v="1"/>
    <m/>
    <m/>
    <x v="3"/>
    <x v="3"/>
    <x v="0"/>
  </r>
  <r>
    <d v="2022-01-03T00:00:00"/>
    <s v="TIR1087"/>
    <x v="0"/>
    <s v="PM2174"/>
    <n v="502"/>
    <s v="Gangway 1 lock is broken"/>
    <x v="1"/>
    <x v="1"/>
    <m/>
    <x v="3"/>
    <x v="1"/>
    <m/>
    <s v="NCR1087"/>
    <x v="5"/>
    <x v="0"/>
    <x v="0"/>
  </r>
  <r>
    <d v="2022-01-03T00:00:00"/>
    <s v="TIR1088"/>
    <x v="0"/>
    <s v="PM2175"/>
    <n v="512"/>
    <s v="Gangway 1 lock is broken"/>
    <x v="1"/>
    <x v="1"/>
    <m/>
    <x v="3"/>
    <x v="1"/>
    <m/>
    <s v="NCR1088"/>
    <x v="5"/>
    <x v="0"/>
    <x v="0"/>
  </r>
  <r>
    <d v="2022-01-04T00:00:00"/>
    <s v="TIR0376"/>
    <x v="2"/>
    <s v="NA"/>
    <n v="408"/>
    <s v="HC2 Door#1 Jarking while closing manually"/>
    <x v="0"/>
    <x v="1"/>
    <s v="After Adjust working good."/>
    <x v="0"/>
    <x v="0"/>
    <d v="2022-01-05T00:00:00"/>
    <m/>
    <x v="9"/>
    <x v="0"/>
    <x v="0"/>
  </r>
  <r>
    <d v="2022-01-04T00:00:00"/>
    <s v="TIR0387"/>
    <x v="4"/>
    <s v="NA"/>
    <n v="624"/>
    <s v="Hc1 Lighting cover not ok"/>
    <x v="0"/>
    <x v="1"/>
    <s v="Fixed the cover"/>
    <x v="0"/>
    <x v="0"/>
    <d v="2022-01-09T00:00:00"/>
    <m/>
    <x v="5"/>
    <x v="0"/>
    <x v="0"/>
  </r>
  <r>
    <d v="2022-01-04T00:00:00"/>
    <s v="TIR0391"/>
    <x v="0"/>
    <s v="Mail"/>
    <n v="604"/>
    <s v="Issue Detected Train 604: Roof Panel was not closing properly."/>
    <x v="0"/>
    <x v="1"/>
    <s v="after Alignment cover closed properly"/>
    <x v="0"/>
    <x v="0"/>
    <d v="2022-01-09T00:00:00"/>
    <m/>
    <x v="5"/>
    <x v="0"/>
    <x v="0"/>
  </r>
  <r>
    <d v="2022-01-04T00:00:00"/>
    <s v="TIR0378"/>
    <x v="2"/>
    <s v="NA"/>
    <n v="415"/>
    <s v="WM in hc1 no active, cant move train in WM in hc1."/>
    <x v="3"/>
    <x v="3"/>
    <s v="To replace 61K07"/>
    <x v="0"/>
    <x v="0"/>
    <m/>
    <s v="NCR448"/>
    <x v="10"/>
    <x v="0"/>
    <x v="0"/>
  </r>
  <r>
    <d v="2022-01-04T00:00:00"/>
    <s v="TIR1089"/>
    <x v="2"/>
    <s v="NA"/>
    <n v="415"/>
    <s v="Door#5, hc2 iOS65 Door  intrlock fault indiction and iOS262: communication fault."/>
    <x v="1"/>
    <x v="1"/>
    <s v="Checked and from the DCU logs, found data bus communication failure and waiting for supplier feedback for this issue."/>
    <x v="1"/>
    <x v="0"/>
    <m/>
    <m/>
    <x v="9"/>
    <x v="0"/>
    <x v="0"/>
  </r>
  <r>
    <d v="2022-01-04T00:00:00"/>
    <s v="TIR1090"/>
    <x v="2"/>
    <s v="NA"/>
    <n v="618"/>
    <s v="HC1 &amp; HC2 Both side mechanical coupler got stuck while uncoupling of the train"/>
    <x v="1"/>
    <x v="1"/>
    <m/>
    <x v="2"/>
    <x v="1"/>
    <m/>
    <m/>
    <x v="8"/>
    <x v="0"/>
    <x v="0"/>
  </r>
  <r>
    <d v="2022-01-04T00:00:00"/>
    <s v="TIR1091"/>
    <x v="2"/>
    <s v="NA"/>
    <n v="618"/>
    <s v="Train is not getting sleep through PB from HC2 side."/>
    <x v="1"/>
    <x v="3"/>
    <m/>
    <x v="0"/>
    <x v="0"/>
    <m/>
    <s v="NCR1091"/>
    <x v="7"/>
    <x v="0"/>
    <x v="0"/>
  </r>
  <r>
    <d v="2022-01-04T00:00:00"/>
    <s v="TIR1092"/>
    <x v="0"/>
    <s v="PM2176"/>
    <n v="602"/>
    <s v="HC1 BOGIE2 RHS -the 750 v (HV)cable from the fuse box to the junction box is missing "/>
    <x v="3"/>
    <x v="2"/>
    <s v="18/01 : missing part , To create NCR_x000a_23/01 : the train will be not ready fo 33 train of Wednesday_x000a_"/>
    <x v="0"/>
    <x v="0"/>
    <d v="2021-01-18T00:00:00"/>
    <s v="NCR1092"/>
    <x v="3"/>
    <x v="0"/>
    <x v="0"/>
  </r>
  <r>
    <d v="2022-01-04T00:00:00"/>
    <s v="TIR1093"/>
    <x v="0"/>
    <s v="PM2176"/>
    <n v="602"/>
    <s v="HC1-Bogie2 Oil level AXLE 1 LOW, AXLE 2 VERY LOW"/>
    <x v="1"/>
    <x v="2"/>
    <s v="02/01/2022 : Checked level is ok now "/>
    <x v="1"/>
    <x v="0"/>
    <d v="2022-02-01T00:00:00"/>
    <m/>
    <x v="3"/>
    <x v="3"/>
    <x v="0"/>
  </r>
  <r>
    <d v="2022-01-04T00:00:00"/>
    <s v="TIR1094"/>
    <x v="0"/>
    <s v="PM2178"/>
    <n v="617"/>
    <s v="HC-02, Both BOG-1 and BOG-2 - Gear oil level is low."/>
    <x v="1"/>
    <x v="2"/>
    <s v="02/01/2022 : checked no leakage found. Need to normalize the oil level"/>
    <x v="4"/>
    <x v="1"/>
    <m/>
    <m/>
    <x v="3"/>
    <x v="3"/>
    <x v="0"/>
  </r>
  <r>
    <d v="2022-01-04T00:00:00"/>
    <s v="TIR1095"/>
    <x v="0"/>
    <s v="PM2179"/>
    <n v="624"/>
    <s v="HC2 swd3 not working and IP also offline"/>
    <x v="1"/>
    <x v="0"/>
    <s v="Updaed software manually and test ok"/>
    <x v="0"/>
    <x v="0"/>
    <d v="2022-01-26T00:00:00"/>
    <m/>
    <x v="2"/>
    <x v="5"/>
    <x v="0"/>
  </r>
  <r>
    <d v="2022-01-04T00:00:00"/>
    <s v="TIR1096"/>
    <x v="0"/>
    <s v="PM2179"/>
    <n v="624"/>
    <s v="HC-02,BG-01, axle-01, gear oil low."/>
    <x v="1"/>
    <x v="2"/>
    <s v="02/01/2022 : checked no leakage found. Need to normalize the oil level"/>
    <x v="4"/>
    <x v="1"/>
    <m/>
    <m/>
    <x v="3"/>
    <x v="3"/>
    <x v="0"/>
  </r>
  <r>
    <d v="2022-01-04T00:00:00"/>
    <s v="TIR1097"/>
    <x v="4"/>
    <s v="NA"/>
    <n v="617"/>
    <s v="HC2 Ceiling panel cover not fixed ( support bracket missing )"/>
    <x v="1"/>
    <x v="1"/>
    <m/>
    <x v="3"/>
    <x v="1"/>
    <m/>
    <s v="NCR1097"/>
    <x v="5"/>
    <x v="3"/>
    <x v="0"/>
  </r>
  <r>
    <d v="2022-01-04T00:00:00"/>
    <s v="TIR1098"/>
    <x v="0"/>
    <s v="Mail"/>
    <n v="408"/>
    <s v="Issue Detected Train 408: Broken side panel sheet gangway."/>
    <x v="1"/>
    <x v="1"/>
    <m/>
    <x v="3"/>
    <x v="1"/>
    <m/>
    <s v="NCR1098"/>
    <x v="5"/>
    <x v="0"/>
    <x v="0"/>
  </r>
  <r>
    <d v="2022-01-04T00:00:00"/>
    <s v="TIR1099"/>
    <x v="0"/>
    <s v="Mail"/>
    <n v="611"/>
    <s v="Detected during Battery Visual Inspection _x000a_Trainset 611A -  Door tubular seal was found having some damaged."/>
    <x v="1"/>
    <x v="1"/>
    <s v="1/13/2022:To replace the rubber"/>
    <x v="3"/>
    <x v="1"/>
    <m/>
    <s v="NCR1099"/>
    <x v="11"/>
    <x v="0"/>
    <x v="0"/>
  </r>
  <r>
    <d v="2022-01-04T00:00:00"/>
    <s v="TIR1101"/>
    <x v="0"/>
    <s v="Mail"/>
    <n v="602"/>
    <s v="Detected during BOGIE VISUAL INSPECTION GLOBAL – Inspection of the Wheel Slide Protection (WSP) Sensor _x000a_Train 602A, Bogie 2 Right Side – WSP cable was found damaged."/>
    <x v="1"/>
    <x v="3"/>
    <m/>
    <x v="0"/>
    <x v="0"/>
    <d v="2022-02-13T00:00:00"/>
    <s v="NCR1101"/>
    <x v="3"/>
    <x v="6"/>
    <x v="0"/>
  </r>
  <r>
    <d v="2022-01-05T00:00:00"/>
    <s v="TIR1102"/>
    <x v="0"/>
    <s v="PM2187"/>
    <n v="518"/>
    <s v="Primary suspension protection bottom cover missing 10 no.s"/>
    <x v="1"/>
    <x v="2"/>
    <m/>
    <x v="2"/>
    <x v="1"/>
    <m/>
    <m/>
    <x v="3"/>
    <x v="0"/>
    <x v="0"/>
  </r>
  <r>
    <d v="2022-01-05T00:00:00"/>
    <s v="TIR1103"/>
    <x v="0"/>
    <s v="PM2186"/>
    <n v="517"/>
    <s v="Primary suspension protection bottom cover missing 8 no.s"/>
    <x v="1"/>
    <x v="2"/>
    <m/>
    <x v="2"/>
    <x v="1"/>
    <m/>
    <m/>
    <x v="3"/>
    <x v="0"/>
    <x v="0"/>
  </r>
  <r>
    <d v="2022-01-05T00:00:00"/>
    <s v="TIR1104"/>
    <x v="0"/>
    <s v="PM2186"/>
    <n v="517"/>
    <s v="HC1-B1 -Axle2 minor leakge from top door of gear box .(GASKET )-s.no C447"/>
    <x v="1"/>
    <x v="2"/>
    <m/>
    <x v="2"/>
    <x v="1"/>
    <m/>
    <m/>
    <x v="3"/>
    <x v="0"/>
    <x v="0"/>
  </r>
  <r>
    <d v="2022-01-05T00:00:00"/>
    <s v="TIR1105"/>
    <x v="0"/>
    <s v="PM2182"/>
    <n v="402"/>
    <s v="HC-02, Both AXLE-3 and AXLE-4 - Gear oil level is low"/>
    <x v="1"/>
    <x v="2"/>
    <m/>
    <x v="4"/>
    <x v="1"/>
    <m/>
    <m/>
    <x v="3"/>
    <x v="0"/>
    <x v="0"/>
  </r>
  <r>
    <d v="2022-01-05T00:00:00"/>
    <s v="TIR1106"/>
    <x v="0"/>
    <s v="PM2182"/>
    <n v="402"/>
    <s v="swd3 car2,lcd3 car2,led3 car2.-IP nok "/>
    <x v="1"/>
    <x v="0"/>
    <s v="Update software manually and test Ok"/>
    <x v="0"/>
    <x v="0"/>
    <d v="2022-02-06T00:00:00"/>
    <m/>
    <x v="2"/>
    <x v="0"/>
    <x v="0"/>
  </r>
  <r>
    <d v="2022-01-05T00:00:00"/>
    <s v="TIR1107"/>
    <x v="0"/>
    <s v="PM2184"/>
    <n v="408"/>
    <s v="HC-01, axle 2 , Gear oil level is low."/>
    <x v="1"/>
    <x v="2"/>
    <m/>
    <x v="4"/>
    <x v="1"/>
    <m/>
    <m/>
    <x v="3"/>
    <x v="0"/>
    <x v="0"/>
  </r>
  <r>
    <d v="2022-01-05T00:00:00"/>
    <s v="TIR1108"/>
    <x v="0"/>
    <s v="PM2185"/>
    <n v="610"/>
    <s v="car1 door 2 while closing time closing the door fastly compare to other doors."/>
    <x v="1"/>
    <x v="1"/>
    <m/>
    <x v="1"/>
    <x v="0"/>
    <d v="2022-01-10T00:00:00"/>
    <m/>
    <x v="9"/>
    <x v="0"/>
    <x v="0"/>
  </r>
  <r>
    <d v="2022-01-05T00:00:00"/>
    <s v="TIR1109"/>
    <x v="4"/>
    <s v="NA"/>
    <n v="402"/>
    <s v="Gangway cover one lock is broken"/>
    <x v="1"/>
    <x v="1"/>
    <m/>
    <x v="3"/>
    <x v="1"/>
    <m/>
    <s v="NCR1109"/>
    <x v="5"/>
    <x v="0"/>
    <x v="0"/>
  </r>
  <r>
    <d v="2022-01-06T00:00:00"/>
    <s v="TIR408"/>
    <x v="0"/>
    <s v="PM2188"/>
    <n v="611"/>
    <s v="HVAC1 lost communication"/>
    <x v="0"/>
    <x v="0"/>
    <s v="Found HVAC1-V2 offline and recovered it and  HVAC autotest OK"/>
    <x v="0"/>
    <x v="0"/>
    <d v="2022-01-09T00:00:00"/>
    <m/>
    <x v="1"/>
    <x v="0"/>
    <x v="0"/>
  </r>
  <r>
    <d v="2022-01-06T00:00:00"/>
    <s v="TIR1112"/>
    <x v="0"/>
    <s v="PM2194"/>
    <n v="507"/>
    <s v="HC1-HVAC2 LOW PRESSURE LP2 when forced Compressor2 "/>
    <x v="2"/>
    <x v="1"/>
    <m/>
    <x v="0"/>
    <x v="0"/>
    <m/>
    <s v="NCR1112"/>
    <x v="1"/>
    <x v="0"/>
    <x v="0"/>
  </r>
  <r>
    <d v="2022-01-06T00:00:00"/>
    <s v="TIR1113"/>
    <x v="0"/>
    <s v="PM2194"/>
    <n v="507"/>
    <s v="HC1-HVAC1-compressor 1&amp;3 making noise"/>
    <x v="1"/>
    <x v="2"/>
    <m/>
    <x v="2"/>
    <x v="1"/>
    <m/>
    <m/>
    <x v="1"/>
    <x v="0"/>
    <x v="0"/>
  </r>
  <r>
    <d v="2022-01-06T00:00:00"/>
    <s v="TIR1114"/>
    <x v="0"/>
    <s v="PM2194"/>
    <n v="507"/>
    <s v=" SOFTWARE invalid  UMC1-0.0.0"/>
    <x v="1"/>
    <x v="2"/>
    <s v="No issue related oberved after software update."/>
    <x v="1"/>
    <x v="0"/>
    <m/>
    <m/>
    <x v="2"/>
    <x v="0"/>
    <x v="0"/>
  </r>
  <r>
    <d v="2022-01-06T00:00:00"/>
    <s v="TIR1115"/>
    <x v="0"/>
    <s v="PM2189"/>
    <n v="612"/>
    <s v="HC+H79:O942-A3,A4-low oil level (just below the low mark ) ,HC1-A1(very low),A2,A3-low oil level "/>
    <x v="1"/>
    <x v="3"/>
    <m/>
    <x v="4"/>
    <x v="1"/>
    <m/>
    <m/>
    <x v="3"/>
    <x v="0"/>
    <x v="0"/>
  </r>
  <r>
    <d v="2022-01-06T00:00:00"/>
    <s v="TIR1116"/>
    <x v="0"/>
    <s v="PM2190"/>
    <n v="614"/>
    <s v="HC1 Axle 3,axle 4 , HC2 AXLE1 ,AXLE2 -oil level below minimum"/>
    <x v="1"/>
    <x v="3"/>
    <s v="02/16 : No leakage found, need to normalize the oil level "/>
    <x v="4"/>
    <x v="1"/>
    <m/>
    <m/>
    <x v="3"/>
    <x v="0"/>
    <x v="0"/>
  </r>
  <r>
    <d v="2022-01-06T00:00:00"/>
    <s v="TIR1117"/>
    <x v="0"/>
    <s v="PM2189"/>
    <n v="612"/>
    <s v="car2 2nd palmtree light off condition."/>
    <x v="1"/>
    <x v="1"/>
    <m/>
    <x v="0"/>
    <x v="0"/>
    <m/>
    <s v="NCR1117"/>
    <x v="5"/>
    <x v="0"/>
    <x v="0"/>
  </r>
  <r>
    <d v="2022-01-06T00:00:00"/>
    <s v="TIR1118"/>
    <x v="0"/>
    <s v="PM2191"/>
    <n v="618"/>
    <s v="HC2 Lcd 6 blinking"/>
    <x v="1"/>
    <x v="0"/>
    <s v="Updated software manually and test OK"/>
    <x v="0"/>
    <x v="0"/>
    <d v="2022-01-19T00:00:00"/>
    <m/>
    <x v="2"/>
    <x v="0"/>
    <x v="0"/>
  </r>
  <r>
    <d v="2022-01-06T00:00:00"/>
    <s v="TIR1119"/>
    <x v="0"/>
    <s v="PM2191"/>
    <n v="618"/>
    <s v="HC1 internal smoke detector 1 panel(panel near to palm tree ) is closed without fully tightnening the the two screws of the one end(the alignement of the panel is not good for full tight )"/>
    <x v="1"/>
    <x v="2"/>
    <m/>
    <x v="0"/>
    <x v="0"/>
    <m/>
    <m/>
    <x v="5"/>
    <x v="0"/>
    <x v="0"/>
  </r>
  <r>
    <d v="2022-01-06T00:00:00"/>
    <s v="TIR1120"/>
    <x v="0"/>
    <s v="PM2191"/>
    <n v="618"/>
    <s v="HC1 AXLE2 oil level below minimum"/>
    <x v="1"/>
    <x v="3"/>
    <m/>
    <x v="4"/>
    <x v="1"/>
    <m/>
    <m/>
    <x v="3"/>
    <x v="0"/>
    <x v="0"/>
  </r>
  <r>
    <d v="2022-01-06T00:00:00"/>
    <s v="TIR1121"/>
    <x v="0"/>
    <s v="PM2192"/>
    <n v="622"/>
    <s v="car2 swd3 physically off condition but ip status ok"/>
    <x v="1"/>
    <x v="0"/>
    <s v="Update software manually and test Ok"/>
    <x v="0"/>
    <x v="0"/>
    <d v="2022-02-06T00:00:00"/>
    <m/>
    <x v="2"/>
    <x v="0"/>
    <x v="0"/>
  </r>
  <r>
    <d v="2022-01-09T00:00:00"/>
    <s v="TIR401"/>
    <x v="4"/>
    <s v="NA"/>
    <n v="511"/>
    <s v="Roof antenna"/>
    <x v="3"/>
    <x v="4"/>
    <m/>
    <x v="0"/>
    <x v="0"/>
    <d v="2022-01-09T00:00:00"/>
    <s v="NCR0447"/>
    <x v="12"/>
    <x v="0"/>
    <x v="0"/>
  </r>
  <r>
    <d v="2022-01-09T00:00:00"/>
    <s v="TIR404"/>
    <x v="5"/>
    <s v="NA"/>
    <n v="607"/>
    <s v="HC1_gearbox 3 oil contaminated"/>
    <x v="3"/>
    <x v="2"/>
    <m/>
    <x v="0"/>
    <x v="0"/>
    <d v="2022-01-09T00:00:00"/>
    <s v="NCR449"/>
    <x v="3"/>
    <x v="0"/>
    <x v="0"/>
  </r>
  <r>
    <d v="2022-01-09T00:00:00"/>
    <s v="TIR1110"/>
    <x v="2"/>
    <s v="NA"/>
    <n v="415"/>
    <s v="relay 61k07 faulty need to replace"/>
    <x v="3"/>
    <x v="2"/>
    <m/>
    <x v="0"/>
    <x v="0"/>
    <d v="2022-01-09T00:00:00"/>
    <s v="NCR448"/>
    <x v="7"/>
    <x v="0"/>
    <x v="0"/>
  </r>
  <r>
    <d v="2022-01-09T00:00:00"/>
    <s v="TIR1111"/>
    <x v="2"/>
    <s v="NA"/>
    <n v="415"/>
    <s v="Door5 HC2 Faulty"/>
    <x v="1"/>
    <x v="1"/>
    <m/>
    <x v="0"/>
    <x v="0"/>
    <d v="2022-01-17T00:00:00"/>
    <s v="NCR1111"/>
    <x v="9"/>
    <x v="0"/>
    <x v="0"/>
  </r>
  <r>
    <d v="2022-01-09T00:00:00"/>
    <s v="TIR1122"/>
    <x v="0"/>
    <s v="PM2200"/>
    <n v="508"/>
    <s v="Missing 8 Suspension protection bottom cover"/>
    <x v="1"/>
    <x v="3"/>
    <m/>
    <x v="2"/>
    <x v="1"/>
    <m/>
    <m/>
    <x v="3"/>
    <x v="0"/>
    <x v="0"/>
  </r>
  <r>
    <d v="2022-01-09T00:00:00"/>
    <s v="TIR1123"/>
    <x v="0"/>
    <s v="PM2200"/>
    <n v="508"/>
    <s v="HC1-not able to sleep"/>
    <x v="1"/>
    <x v="3"/>
    <s v="20/02 : We found that the cable WF00062 was connected to the PIN 73 of the connector XR03+CCC instead of connector XR02+CCC"/>
    <x v="0"/>
    <x v="0"/>
    <d v="2022-02-20T00:00:00"/>
    <s v="CMN1123"/>
    <x v="7"/>
    <x v="0"/>
    <x v="0"/>
  </r>
  <r>
    <d v="2022-01-09T00:00:00"/>
    <s v="TIR1124"/>
    <x v="0"/>
    <s v="PM2201"/>
    <n v="515"/>
    <s v="HC1-becon Antenna Cable's clamp missing"/>
    <x v="1"/>
    <x v="1"/>
    <s v="waiting for DTR 14/02"/>
    <x v="3"/>
    <x v="1"/>
    <m/>
    <s v="NCR1124"/>
    <x v="3"/>
    <x v="0"/>
    <x v="0"/>
  </r>
  <r>
    <d v="2022-01-09T00:00:00"/>
    <s v="TIR1125"/>
    <x v="0"/>
    <s v="PM2195"/>
    <n v="415"/>
    <s v="IOS196 ,203 : Loss of at least 1 PEI in a class"/>
    <x v="1"/>
    <x v="5"/>
    <s v="Checked PEIs all online"/>
    <x v="1"/>
    <x v="0"/>
    <d v="2022-01-20T00:00:00"/>
    <m/>
    <x v="2"/>
    <x v="0"/>
    <x v="0"/>
  </r>
  <r>
    <d v="2022-01-09T00:00:00"/>
    <s v="TIR1126"/>
    <x v="0"/>
    <s v="PM2196"/>
    <n v="420"/>
    <s v="HC1 AXLE2 GEAR BOX OIL LEVEL IS LOW"/>
    <x v="1"/>
    <x v="3"/>
    <s v="checked and Oil ok now "/>
    <x v="1"/>
    <x v="0"/>
    <d v="2022-03-06T00:00:00"/>
    <m/>
    <x v="3"/>
    <x v="0"/>
    <x v="0"/>
  </r>
  <r>
    <d v="2022-01-09T00:00:00"/>
    <s v="TIR1127"/>
    <x v="0"/>
    <s v="PM2196"/>
    <n v="420"/>
    <s v="HC2 AXLE 4 GEAR BOX OIL IS DARK IN COLOUR"/>
    <x v="1"/>
    <x v="3"/>
    <s v="checked color ok and Oil ok now "/>
    <x v="1"/>
    <x v="0"/>
    <d v="2022-03-06T00:00:00"/>
    <m/>
    <x v="3"/>
    <x v="0"/>
    <x v="0"/>
  </r>
  <r>
    <d v="2022-01-09T00:00:00"/>
    <s v="TIR1128"/>
    <x v="0"/>
    <s v="PM2196"/>
    <n v="420"/>
    <s v="car2 lcd3 contrast low compare to other lcd displays"/>
    <x v="1"/>
    <x v="0"/>
    <s v="Updaed software manually and test ok"/>
    <x v="0"/>
    <x v="0"/>
    <d v="2022-01-19T00:00:00"/>
    <m/>
    <x v="2"/>
    <x v="0"/>
    <x v="0"/>
  </r>
  <r>
    <d v="2022-01-09T00:00:00"/>
    <s v="TIR1129"/>
    <x v="0"/>
    <s v="PM2198"/>
    <n v="607"/>
    <s v="IOS86 : The dead man relays discordance"/>
    <x v="1"/>
    <x v="0"/>
    <s v="Checked no ios86 reported. Do the deadman test in both cabs and test pass"/>
    <x v="1"/>
    <x v="0"/>
    <d v="2022-02-06T00:00:00"/>
    <m/>
    <x v="7"/>
    <x v="0"/>
    <x v="0"/>
  </r>
  <r>
    <d v="2022-01-09T00:00:00"/>
    <s v="TIR1130"/>
    <x v="0"/>
    <s v="PM2199"/>
    <n v="615"/>
    <s v="semi permanent coupler grounding bolt missing"/>
    <x v="1"/>
    <x v="1"/>
    <m/>
    <x v="3"/>
    <x v="1"/>
    <m/>
    <s v="NCR1130"/>
    <x v="13"/>
    <x v="0"/>
    <x v="0"/>
  </r>
  <r>
    <d v="2022-01-09T00:00:00"/>
    <s v="TIR1131"/>
    <x v="0"/>
    <s v="PM2199"/>
    <n v="615"/>
    <s v="swd3 one display physically off condition but ip status ok"/>
    <x v="1"/>
    <x v="0"/>
    <s v="Checked SWD online and display OK"/>
    <x v="1"/>
    <x v="0"/>
    <d v="2022-01-20T00:00:00"/>
    <m/>
    <x v="2"/>
    <x v="0"/>
    <x v="0"/>
  </r>
  <r>
    <d v="2022-01-09T00:00:00"/>
    <s v="TIR1132"/>
    <x v="0"/>
    <s v="PM2199"/>
    <n v="615"/>
    <s v="car2 door1 not closing full. Electrical and mechanically door isolated"/>
    <x v="2"/>
    <x v="1"/>
    <m/>
    <x v="1"/>
    <x v="0"/>
    <d v="2022-01-10T00:00:00"/>
    <m/>
    <x v="9"/>
    <x v="0"/>
    <x v="0"/>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x v="0"/>
    <d v="2022-01-11T00:00:00"/>
    <m/>
    <x v="6"/>
    <x v="0"/>
    <x v="0"/>
  </r>
  <r>
    <d v="2022-01-10T00:00:00"/>
    <s v="TIR1001"/>
    <x v="3"/>
    <s v="NA"/>
    <n v="414"/>
    <s v="IOS264 :  More than one UMC have a communication fault."/>
    <x v="3"/>
    <x v="0"/>
    <s v="Checked the issue no more reported"/>
    <x v="1"/>
    <x v="0"/>
    <d v="2022-01-26T00:00:00"/>
    <m/>
    <x v="2"/>
    <x v="0"/>
    <x v="0"/>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x v="0"/>
    <d v="2022-01-16T00:00:00"/>
    <s v="NCR1002"/>
    <x v="11"/>
    <x v="0"/>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d v="2021-09-19T00:00:00"/>
    <s v="TIR0002"/>
    <x v="0"/>
    <s v="PM1622"/>
    <n v="405"/>
    <s v="Ledi4-V1 display nok"/>
    <x v="0"/>
    <x v="0"/>
    <s v="Update software manually and test Ok"/>
    <x v="0"/>
    <x v="0"/>
    <d v="2022-01-03T00:00:00"/>
    <s v="NCR0306"/>
    <x v="0"/>
    <x v="0"/>
    <x v="0"/>
  </r>
  <r>
    <d v="2021-09-19T00:00:00"/>
    <s v="TIR0005"/>
    <x v="0"/>
    <s v="PM1624"/>
    <n v="414"/>
    <s v="HC1 ( Pei4,6 Ledi4,6 Lcd4,5,6 Swd4,5,6 ) IP Offline_x000a_NVR Offline ( Removed for retrofit)_x000a_HC1 ( Lcd4,5 Ledi4 Swd5 ) Display NOK"/>
    <x v="0"/>
    <x v="0"/>
    <s v="Checked  online and display OK"/>
    <x v="0"/>
    <x v="0"/>
    <d v="2021-12-22T00:00:00"/>
    <s v=""/>
    <x v="0"/>
    <x v="0"/>
    <x v="0"/>
  </r>
  <r>
    <d v="2021-09-19T00:00:00"/>
    <s v="TIR0006"/>
    <x v="0"/>
    <s v="PM1624"/>
    <n v="414"/>
    <s v="Gangway lights NOK in both cab"/>
    <x v="0"/>
    <x v="1"/>
    <s v="After the Adjustment of output Dc converter working fine  "/>
    <x v="0"/>
    <x v="0"/>
    <d v="2021-12-14T00:00:00"/>
    <s v=""/>
    <x v="0"/>
    <x v="0"/>
    <x v="0"/>
  </r>
  <r>
    <d v="2021-09-19T00:00:00"/>
    <s v="TIR0007"/>
    <x v="0"/>
    <s v="PM1625"/>
    <n v="417"/>
    <s v="HC2 Saloon Lights covers NOK"/>
    <x v="0"/>
    <x v="1"/>
    <s v="Fixed the light cover"/>
    <x v="0"/>
    <x v="0"/>
    <d v="2021-12-13T00:00:00"/>
    <s v=""/>
    <x v="0"/>
    <x v="0"/>
    <x v="0"/>
  </r>
  <r>
    <d v="2021-09-19T00:00:00"/>
    <s v="TIR0009"/>
    <x v="0"/>
    <s v="PM1626"/>
    <n v="423"/>
    <s v="HC2 Swd2 display half ( NOK)"/>
    <x v="0"/>
    <x v="0"/>
    <s v="Checked  online and display OK"/>
    <x v="0"/>
    <x v="0"/>
    <d v="2021-12-20T00:00:00"/>
    <s v=""/>
    <x v="0"/>
    <x v="0"/>
    <x v="0"/>
  </r>
  <r>
    <d v="2021-09-19T00:00:00"/>
    <s v="TIR0010"/>
    <x v="0"/>
    <s v="PM1627"/>
    <n v="619"/>
    <s v="HC1 ( Ledi5 , Lcd5, Swd5 ) IP Offline_x000a_HC2 ( Ledi5) IP Offline"/>
    <x v="0"/>
    <x v="0"/>
    <s v="See TIR168-TIR172"/>
    <x v="0"/>
    <x v="0"/>
    <d v="2021-12-21T00:00:00"/>
    <s v=""/>
    <x v="0"/>
    <x v="0"/>
    <x v="0"/>
  </r>
  <r>
    <d v="2021-09-19T00:00:00"/>
    <s v="TIR0013"/>
    <x v="0"/>
    <s v="PM1627"/>
    <n v="619"/>
    <s v="HC2- Palm Tree 3 lights dim."/>
    <x v="0"/>
    <x v="1"/>
    <s v="110v to 24v DC converter output emergency Switch was on worng position it should be on 100%"/>
    <x v="0"/>
    <x v="0"/>
    <d v="2021-12-12T00:00:00"/>
    <s v=""/>
    <x v="0"/>
    <x v="0"/>
    <x v="0"/>
  </r>
  <r>
    <d v="2021-09-19T00:00:00"/>
    <s v="TIR0004"/>
    <x v="0"/>
    <s v="PM1623"/>
    <n v="406"/>
    <s v="HC1 ( Ledi4,5, Lcd4,5, SWD4,5) IP Offline_x000a_HC2 ( Ledi4) IP Offline_x000a_HC1 ( Swd2,Lcd3 ) Display NOK_x000a_HC2 ( Ledi4) Display NOK"/>
    <x v="1"/>
    <x v="0"/>
    <m/>
    <x v="1"/>
    <x v="0"/>
    <d v="2022-03-17T00:00:00"/>
    <s v="NCR0307"/>
    <x v="0"/>
    <x v="0"/>
    <x v="0"/>
  </r>
  <r>
    <d v="2021-09-19T00:00:00"/>
    <s v="TIR0008"/>
    <x v="0"/>
    <s v="PM1625"/>
    <n v="417"/>
    <s v="HC2 Under seat fire extinguisher bracket &amp; Cylinder not available"/>
    <x v="1"/>
    <x v="1"/>
    <m/>
    <x v="0"/>
    <x v="0"/>
    <m/>
    <s v="NCR0385"/>
    <x v="0"/>
    <x v="0"/>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x v="0"/>
    <d v="2021-09-20T00:00:00"/>
    <s v=""/>
    <x v="1"/>
    <x v="0"/>
    <x v="0"/>
  </r>
  <r>
    <d v="2021-09-19T00:00:00"/>
    <s v="TIR0003"/>
    <x v="0"/>
    <s v="PM1623"/>
    <n v="406"/>
    <s v="HC1 Horn volume is low"/>
    <x v="0"/>
    <x v="1"/>
    <s v="Horn volume is good in both CAB"/>
    <x v="1"/>
    <x v="0"/>
    <d v="2021-12-21T00:00:00"/>
    <m/>
    <x v="0"/>
    <x v="0"/>
    <x v="0"/>
  </r>
  <r>
    <d v="2021-09-19T00:00:00"/>
    <s v="TIR1008"/>
    <x v="0"/>
    <s v="PM1628"/>
    <n v="510"/>
    <s v="HC1 Swd2 display half (NOK)"/>
    <x v="1"/>
    <x v="0"/>
    <m/>
    <x v="2"/>
    <x v="1"/>
    <m/>
    <s v=""/>
    <x v="0"/>
    <x v="0"/>
    <x v="0"/>
  </r>
  <r>
    <d v="2021-09-19T00:00:00"/>
    <s v="TIR1009"/>
    <x v="0"/>
    <s v="PM1629"/>
    <n v="511"/>
    <s v="HC1 Ledi2 display NOK"/>
    <x v="1"/>
    <x v="0"/>
    <m/>
    <x v="2"/>
    <x v="1"/>
    <m/>
    <s v=""/>
    <x v="0"/>
    <x v="0"/>
    <x v="0"/>
  </r>
  <r>
    <d v="2021-09-20T00:00:00"/>
    <s v="TIR0014"/>
    <x v="0"/>
    <s v="PM1630"/>
    <n v="401"/>
    <s v="HC1- Saloon lights NOK"/>
    <x v="0"/>
    <x v="1"/>
    <s v="Fixed the light cover and all lights are working fine"/>
    <x v="0"/>
    <x v="0"/>
    <d v="2021-12-13T00:00:00"/>
    <s v=""/>
    <x v="0"/>
    <x v="0"/>
    <x v="0"/>
  </r>
  <r>
    <d v="2021-09-20T00:00:00"/>
    <s v="TIR0015"/>
    <x v="0"/>
    <s v="PM1632"/>
    <n v="413"/>
    <s v="LCD3-V1 offline and display also NOK"/>
    <x v="0"/>
    <x v="0"/>
    <s v="updated software manually,cheched online and display  ok"/>
    <x v="0"/>
    <x v="0"/>
    <d v="2021-12-15T00:00:00"/>
    <s v=""/>
    <x v="0"/>
    <x v="0"/>
    <x v="0"/>
  </r>
  <r>
    <d v="2021-09-20T00:00:00"/>
    <s v="TIR0016"/>
    <x v="0"/>
    <s v="PM1632"/>
    <n v="413"/>
    <s v="HC2 Saloon Lights covers NOK"/>
    <x v="0"/>
    <x v="1"/>
    <s v="we fixed light cover"/>
    <x v="0"/>
    <x v="0"/>
    <d v="2021-12-21T00:00:00"/>
    <s v=""/>
    <x v="0"/>
    <x v="0"/>
    <x v="0"/>
  </r>
  <r>
    <d v="2021-09-20T00:00:00"/>
    <s v="TIR0018"/>
    <x v="0"/>
    <s v="PM1633"/>
    <n v="418"/>
    <s v="LCD1-V1 offline and display also NOK"/>
    <x v="0"/>
    <x v="0"/>
    <s v="updated software manually,cheched online and display  ok"/>
    <x v="0"/>
    <x v="0"/>
    <d v="2021-12-15T00:00:00"/>
    <s v=""/>
    <x v="0"/>
    <x v="0"/>
    <x v="0"/>
  </r>
  <r>
    <d v="2021-09-20T00:00:00"/>
    <s v="TIR0020"/>
    <x v="0"/>
    <s v="PM1634"/>
    <n v="419"/>
    <s v="HC2 Electrical coupler one spring missing"/>
    <x v="0"/>
    <x v="1"/>
    <s v="take the Spring from damaged coupler and fixed"/>
    <x v="0"/>
    <x v="0"/>
    <d v="2021-12-30T00:00:00"/>
    <s v=""/>
    <x v="0"/>
    <x v="0"/>
    <x v="0"/>
  </r>
  <r>
    <d v="2021-09-20T00:00:00"/>
    <s v="TIR0021"/>
    <x v="0"/>
    <s v="PM1634"/>
    <n v="419"/>
    <s v="HC2 { LEDI4,LCD4,SWD4} IP offline"/>
    <x v="0"/>
    <x v="0"/>
    <s v="Checked all devices online and display OK"/>
    <x v="0"/>
    <x v="0"/>
    <d v="2021-12-13T00:00:00"/>
    <s v=""/>
    <x v="0"/>
    <x v="0"/>
    <x v="0"/>
  </r>
  <r>
    <d v="2021-09-20T00:00:00"/>
    <s v="TIR0019"/>
    <x v="0"/>
    <s v="PM1633"/>
    <n v="418"/>
    <s v="HC1 Door1 glass found minor cracked"/>
    <x v="1"/>
    <x v="1"/>
    <m/>
    <x v="3"/>
    <x v="1"/>
    <m/>
    <s v="NCR0352"/>
    <x v="0"/>
    <x v="0"/>
    <x v="0"/>
  </r>
  <r>
    <d v="2021-09-20T00:00:00"/>
    <s v="TIR1010"/>
    <x v="0"/>
    <s v="PM1633"/>
    <n v="418"/>
    <s v="HVAC1-V2 Exhaust air fan high faulty."/>
    <x v="1"/>
    <x v="1"/>
    <m/>
    <x v="2"/>
    <x v="1"/>
    <m/>
    <s v=""/>
    <x v="0"/>
    <x v="0"/>
    <x v="0"/>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x v="0"/>
    <d v="2022-03-03T00:00:00"/>
    <s v=""/>
    <x v="2"/>
    <x v="0"/>
    <x v="0"/>
  </r>
  <r>
    <d v="2021-09-20T00:00:00"/>
    <s v="TIR1012"/>
    <x v="0"/>
    <s v="PM1636"/>
    <n v="501"/>
    <s v="HVAC2-V2 Low pressure1 reported ( Compressor1&amp;2)"/>
    <x v="2"/>
    <x v="2"/>
    <m/>
    <x v="0"/>
    <x v="0"/>
    <d v="2022-03-15T00:00:00"/>
    <s v="NCR1012"/>
    <x v="0"/>
    <x v="0"/>
    <x v="0"/>
  </r>
  <r>
    <d v="2021-09-20T00:00:00"/>
    <s v="TIR1013"/>
    <x v="0"/>
    <s v="PM1637"/>
    <n v="505"/>
    <s v="HC1- LEDI3 Display NOK_x000a_HC1- SWD3 Broken_x000a_HC2-LCD3 Display NOK_x000a_"/>
    <x v="1"/>
    <x v="0"/>
    <m/>
    <x v="2"/>
    <x v="1"/>
    <m/>
    <s v=""/>
    <x v="0"/>
    <x v="0"/>
    <x v="0"/>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x v="0"/>
    <d v="2021-11-28T00:00:00"/>
    <s v="NCR0340"/>
    <x v="0"/>
    <x v="0"/>
    <x v="0"/>
  </r>
  <r>
    <d v="2021-09-21T00:00:00"/>
    <s v="TIR0026"/>
    <x v="0"/>
    <s v="PM1639"/>
    <n v="422"/>
    <s v="IP offline { Papis.Ctrl2,Papis.Pa2 ,Ledi1-V2}_x000a_Display Status { SWD5-v2 Half, Ledi1-v2 NOK}"/>
    <x v="0"/>
    <x v="0"/>
    <s v="Updated again software manually and test it online and display OK"/>
    <x v="0"/>
    <x v="0"/>
    <d v="2021-12-15T00:00:00"/>
    <s v=""/>
    <x v="0"/>
    <x v="0"/>
    <x v="0"/>
  </r>
  <r>
    <d v="2021-09-21T00:00:00"/>
    <s v="TIR0028"/>
    <x v="0"/>
    <s v="PM1640"/>
    <n v="424"/>
    <s v="IP offline { Papis.Pa1 }_x000a_Display status { Swd5-v1 NOK }"/>
    <x v="0"/>
    <x v="0"/>
    <s v="updated software manually,cheched online and display  ok"/>
    <x v="0"/>
    <x v="0"/>
    <d v="2021-12-21T00:00:00"/>
    <s v=""/>
    <x v="0"/>
    <x v="0"/>
    <x v="0"/>
  </r>
  <r>
    <d v="2021-09-21T00:00:00"/>
    <s v="TIR0029"/>
    <x v="0"/>
    <s v="PM1641"/>
    <n v="607"/>
    <s v="IP offline-HC2 { Pei6,Ledi6,Lcd5,Swd6,NVR } _x000a_{ NVR removed for Retrofit }"/>
    <x v="0"/>
    <x v="0"/>
    <s v="Checked again the offline devices all good,_x000a_NVR also normalised."/>
    <x v="0"/>
    <x v="0"/>
    <d v="2021-12-12T00:00:00"/>
    <s v=""/>
    <x v="0"/>
    <x v="0"/>
    <x v="0"/>
  </r>
  <r>
    <d v="2021-09-21T00:00:00"/>
    <s v="TIR0030"/>
    <x v="0"/>
    <s v="PM1643"/>
    <n v="625"/>
    <s v="IP Offline { (Papis.Ctrl2,Pa2 )(Pei1,2,3-v2)(Ledi1,3,5-v2)(Lcd1,3,5-_x000a_v2)(Swd1,3,5)(Cami2-v2) }"/>
    <x v="0"/>
    <x v="0"/>
    <s v="updated software manually,cheched online and display  ok"/>
    <x v="0"/>
    <x v="0"/>
    <d v="2021-12-23T00:00:00"/>
    <s v=""/>
    <x v="0"/>
    <x v="0"/>
    <x v="0"/>
  </r>
  <r>
    <d v="2021-09-21T00:00:00"/>
    <s v="TIR0027"/>
    <x v="0"/>
    <s v="PM1639"/>
    <n v="422"/>
    <s v="HC1 Door-6 glass minor cracked"/>
    <x v="1"/>
    <x v="1"/>
    <m/>
    <x v="3"/>
    <x v="1"/>
    <m/>
    <s v="NCR0394"/>
    <x v="0"/>
    <x v="0"/>
    <x v="0"/>
  </r>
  <r>
    <d v="2021-09-21T00:00:00"/>
    <s v="TIR0033"/>
    <x v="0"/>
    <s v="PM1645"/>
    <n v="515"/>
    <s v="HC2 Bogie2 Left Fuse box glass minor cracked"/>
    <x v="1"/>
    <x v="3"/>
    <s v="27/12 : Fuse box glass cracked. Need to replace. No spare available"/>
    <x v="3"/>
    <x v="1"/>
    <m/>
    <s v="NCR0431"/>
    <x v="0"/>
    <x v="0"/>
    <x v="0"/>
  </r>
  <r>
    <d v="2021-09-21T00:00:00"/>
    <s v="TIR1014"/>
    <x v="0"/>
    <s v="PM1644"/>
    <n v="506"/>
    <s v="IP Offline - HC2 {Ledi1, Lcd3, Lcd4}_x000a_Display Status - HC2 { (Ledi1-White)(Lcd3-Nok)(Lcd4-Dim) "/>
    <x v="1"/>
    <x v="2"/>
    <s v="STE local support working on this issues (03/03)."/>
    <x v="4"/>
    <x v="1"/>
    <m/>
    <s v=""/>
    <x v="0"/>
    <x v="0"/>
    <x v="0"/>
  </r>
  <r>
    <d v="2021-09-21T00:00:00"/>
    <s v="TIR1015"/>
    <x v="0"/>
    <s v="PM1645"/>
    <n v="515"/>
    <s v="IP Offline { Papis.Ctrl2, Papis.Pa2 }_x000a_Display Status { Swd1-v1 Half "/>
    <x v="1"/>
    <x v="0"/>
    <m/>
    <x v="2"/>
    <x v="1"/>
    <m/>
    <s v=""/>
    <x v="0"/>
    <x v="0"/>
    <x v="0"/>
  </r>
  <r>
    <d v="2021-09-26T00:00:00"/>
    <s v="TIR0037"/>
    <x v="0"/>
    <s v="PM1647"/>
    <n v="601"/>
    <s v="HC2-Palm tree # 1 lights NOK"/>
    <x v="0"/>
    <x v="1"/>
    <s v="After ripeared tha LED strip working fine now"/>
    <x v="0"/>
    <x v="0"/>
    <d v="2021-12-15T00:00:00"/>
    <s v=""/>
    <x v="0"/>
    <x v="0"/>
    <x v="0"/>
  </r>
  <r>
    <d v="2021-09-26T00:00:00"/>
    <s v="TIR0034"/>
    <x v="0"/>
    <s v="PM1646"/>
    <n v="416"/>
    <s v="HC1- Wiper broken."/>
    <x v="1"/>
    <x v="1"/>
    <m/>
    <x v="3"/>
    <x v="1"/>
    <m/>
    <s v="NCR0227"/>
    <x v="0"/>
    <x v="0"/>
    <x v="0"/>
  </r>
  <r>
    <d v="2021-09-26T00:00:00"/>
    <s v="TIR0035"/>
    <x v="0"/>
    <s v="PM1647"/>
    <n v="601"/>
    <s v="TS601 HC2-Axle 2 leakage found from the spring brake part"/>
    <x v="3"/>
    <x v="3"/>
    <s v="12/12 : leakage found from the spring brake part. (BRAKE UNIT WITH PARKING BRAKE)._x000a_Need to normalize by replacing the brake part."/>
    <x v="0"/>
    <x v="0"/>
    <d v="2022-03-10T00:00:00"/>
    <s v="NCR0376"/>
    <x v="3"/>
    <x v="1"/>
    <x v="1"/>
  </r>
  <r>
    <d v="2021-09-26T00:00:00"/>
    <s v="TIR0036"/>
    <x v="0"/>
    <s v="PM1647"/>
    <n v="601"/>
    <s v="HC2- Saloon lights NOK"/>
    <x v="1"/>
    <x v="1"/>
    <m/>
    <x v="3"/>
    <x v="1"/>
    <m/>
    <s v="NCR0395"/>
    <x v="0"/>
    <x v="0"/>
    <x v="0"/>
  </r>
  <r>
    <d v="2021-09-26T00:00:00"/>
    <s v="TIR0038"/>
    <x v="0"/>
    <s v="PM1649"/>
    <n v="615"/>
    <s v="HVAC1-V1 Abnormal sound coming from compressors."/>
    <x v="0"/>
    <x v="1"/>
    <s v="Checked compressor by compressor no vibration found, GP level Ok, We need life line certificate to access roof of the train, need more investigation"/>
    <x v="1"/>
    <x v="0"/>
    <m/>
    <s v=""/>
    <x v="0"/>
    <x v="0"/>
    <x v="0"/>
  </r>
  <r>
    <d v="2021-09-26T00:00:00"/>
    <s v="TIR1016"/>
    <x v="0"/>
    <s v="PM1652"/>
    <n v="508"/>
    <s v="IP Offline and Display also NOK { Ledi4-V1, Swd2-V1 }"/>
    <x v="1"/>
    <x v="0"/>
    <m/>
    <x v="2"/>
    <x v="1"/>
    <m/>
    <s v=""/>
    <x v="0"/>
    <x v="0"/>
    <x v="0"/>
  </r>
  <r>
    <d v="2021-09-26T00:00:00"/>
    <s v="TIR1017"/>
    <x v="0"/>
    <s v="PM1653"/>
    <n v="509"/>
    <s v="Display Status { Ledi4-V2 - NOK }"/>
    <x v="1"/>
    <x v="0"/>
    <m/>
    <x v="2"/>
    <x v="1"/>
    <m/>
    <s v=""/>
    <x v="0"/>
    <x v="0"/>
    <x v="0"/>
  </r>
  <r>
    <d v="2021-09-26T00:00:00"/>
    <s v="TIR1018"/>
    <x v="0"/>
    <s v="PM1654"/>
    <n v="519"/>
    <s v="Display Status { Lcd6-V1 - Dim }"/>
    <x v="1"/>
    <x v="2"/>
    <s v="Checked and no dim issue observed."/>
    <x v="1"/>
    <x v="0"/>
    <m/>
    <s v=""/>
    <x v="0"/>
    <x v="0"/>
    <x v="0"/>
  </r>
  <r>
    <d v="2021-09-26T00:00:00"/>
    <s v="TIR1019"/>
    <x v="0"/>
    <s v="PM1654"/>
    <n v="519"/>
    <s v="HVAC2-V2 Low Pressure 1 NOK ( Compressor 1&amp;2 )"/>
    <x v="2"/>
    <x v="2"/>
    <m/>
    <x v="3"/>
    <x v="1"/>
    <m/>
    <s v="NCR1019"/>
    <x v="0"/>
    <x v="0"/>
    <x v="0"/>
  </r>
  <r>
    <d v="2021-09-28T00:00:00"/>
    <s v="TIR0043"/>
    <x v="1"/>
    <s v="NA"/>
    <n v="410"/>
    <s v="Doors unlocked issue "/>
    <x v="0"/>
    <x v="1"/>
    <m/>
    <x v="0"/>
    <x v="0"/>
    <m/>
    <s v="NCR309"/>
    <x v="0"/>
    <x v="0"/>
    <x v="0"/>
  </r>
  <r>
    <d v="2021-09-28T00:00:00"/>
    <s v="TIR0044"/>
    <x v="1"/>
    <s v="NA"/>
    <s v="422_x000a_602_x000a_608_x000a_612_x000a_615_x000a_617_x000a_503_x000a_509_x000a_512_x000a_514_x000a_519"/>
    <s v="Doors unlocked issue "/>
    <x v="0"/>
    <x v="1"/>
    <m/>
    <x v="0"/>
    <x v="0"/>
    <d v="2021-11-25T00:00:00"/>
    <s v="NCR310"/>
    <x v="0"/>
    <x v="0"/>
    <x v="0"/>
  </r>
  <r>
    <d v="2021-09-28T00:00:00"/>
    <s v="TIR0045"/>
    <x v="1"/>
    <s v="NA"/>
    <s v="601_x000a_607_x000a_624"/>
    <s v="Doors unlocked issue "/>
    <x v="0"/>
    <x v="1"/>
    <m/>
    <x v="0"/>
    <x v="0"/>
    <d v="2021-11-25T00:00:00"/>
    <s v="NCR311"/>
    <x v="0"/>
    <x v="0"/>
    <x v="0"/>
  </r>
  <r>
    <d v="2021-09-28T00:00:00"/>
    <s v="TIR0046"/>
    <x v="1"/>
    <s v="NA"/>
    <s v="_x000a_603_x000a_619_x000a_622_x000a_510"/>
    <s v="Doors unlocked issue "/>
    <x v="0"/>
    <x v="1"/>
    <m/>
    <x v="0"/>
    <x v="0"/>
    <d v="2021-11-25T00:00:00"/>
    <s v="NCR312"/>
    <x v="0"/>
    <x v="0"/>
    <x v="0"/>
  </r>
  <r>
    <d v="2021-09-28T00:00:00"/>
    <s v="TIR0047"/>
    <x v="1"/>
    <s v="NA"/>
    <n v="508"/>
    <s v="HC2_DOOR2not function properly, in UTO mode not getting open _x000a_( Motor brake issue)"/>
    <x v="0"/>
    <x v="1"/>
    <m/>
    <x v="0"/>
    <x v="0"/>
    <m/>
    <s v="NCR313"/>
    <x v="0"/>
    <x v="0"/>
    <x v="0"/>
  </r>
  <r>
    <d v="2021-10-28T00:00:00"/>
    <s v="TIR0048"/>
    <x v="2"/>
    <s v="NA"/>
    <n v="605"/>
    <s v="Train driver and preventive team reported when HC2 cab active,_x000a_ no cab actvie and EB not release."/>
    <x v="0"/>
    <x v="2"/>
    <m/>
    <x v="0"/>
    <x v="0"/>
    <m/>
    <s v="NCR314"/>
    <x v="0"/>
    <x v="0"/>
    <x v="0"/>
  </r>
  <r>
    <d v="2021-10-28T00:00:00"/>
    <s v="TIR0050"/>
    <x v="3"/>
    <s v="NA"/>
    <n v="615"/>
    <s v="IOS226 : Loss of traction and ED brajke on one PCE and issue reported_x000a_when train want to depart from satbling to mainline."/>
    <x v="0"/>
    <x v="2"/>
    <m/>
    <x v="0"/>
    <x v="0"/>
    <m/>
    <s v="NCR315"/>
    <x v="0"/>
    <x v="0"/>
    <x v="0"/>
  </r>
  <r>
    <d v="2021-10-28T00:00:00"/>
    <s v="TIR0051"/>
    <x v="2"/>
    <s v="NA"/>
    <n v="513"/>
    <s v="IOS274: Communication Loss of CRS. We found CRS42 HC_2 is totally death and unable to recover manually"/>
    <x v="3"/>
    <x v="2"/>
    <m/>
    <x v="0"/>
    <x v="0"/>
    <m/>
    <s v="NCR316"/>
    <x v="0"/>
    <x v="0"/>
    <x v="0"/>
  </r>
  <r>
    <d v="2021-10-28T00:00:00"/>
    <s v="TIR0052"/>
    <x v="2"/>
    <s v="NA"/>
    <n v="513"/>
    <s v=" IOS274: Communication Loss of CRS. We found CRS vs2 HC_2 is totally death and unable to recover manually"/>
    <x v="3"/>
    <x v="2"/>
    <m/>
    <x v="0"/>
    <x v="0"/>
    <m/>
    <s v="NCR317"/>
    <x v="0"/>
    <x v="0"/>
    <x v="0"/>
  </r>
  <r>
    <d v="2021-10-28T00:00:00"/>
    <s v="TIR0053"/>
    <x v="2"/>
    <s v="NA"/>
    <n v="424"/>
    <s v="CRS4_V2 offline"/>
    <x v="3"/>
    <x v="2"/>
    <m/>
    <x v="0"/>
    <x v="0"/>
    <m/>
    <s v="NCR318"/>
    <x v="0"/>
    <x v="0"/>
    <x v="0"/>
  </r>
  <r>
    <d v="2021-10-28T00:00:00"/>
    <s v="TIR0055"/>
    <x v="3"/>
    <m/>
    <s v="406_x000a_615_x000a_609_x000a_412"/>
    <s v="TOM issue"/>
    <x v="0"/>
    <x v="2"/>
    <s v="406 : 4/11/2021 : New NVR online and working normally._x000a_615 : 4/11/2021 : New NVR online and working normally."/>
    <x v="0"/>
    <x v="0"/>
    <d v="2021-11-04T00:00:00"/>
    <s v="NCR323_x000a_NCR324_x000a_NCR326_x000a_NCR328_x000a_NCR325"/>
    <x v="0"/>
    <x v="0"/>
    <x v="0"/>
  </r>
  <r>
    <d v="2021-10-28T00:00:00"/>
    <s v="TIR0049"/>
    <x v="4"/>
    <s v="N/A"/>
    <n v="404"/>
    <s v="Traction issue"/>
    <x v="0"/>
    <x v="2"/>
    <m/>
    <x v="1"/>
    <x v="0"/>
    <m/>
    <s v=""/>
    <x v="0"/>
    <x v="0"/>
    <x v="0"/>
  </r>
  <r>
    <d v="2021-10-28T00:00:00"/>
    <s v="TIR0054"/>
    <x v="3"/>
    <s v="NA"/>
    <n v="651"/>
    <s v="TS651 (coupled train) moved in UTO with one train door opened"/>
    <x v="0"/>
    <x v="1"/>
    <m/>
    <x v="1"/>
    <x v="0"/>
    <m/>
    <s v=""/>
    <x v="0"/>
    <x v="0"/>
    <x v="0"/>
  </r>
  <r>
    <d v="2021-10-31T00:00:00"/>
    <s v="TIR0057"/>
    <x v="2"/>
    <s v="NA"/>
    <n v="418"/>
    <s v=" We found pei fail to ping and unable to recover"/>
    <x v="0"/>
    <x v="0"/>
    <m/>
    <x v="0"/>
    <x v="0"/>
    <d v="2021-12-20T00:00:00"/>
    <s v="NCR321"/>
    <x v="0"/>
    <x v="0"/>
    <x v="0"/>
  </r>
  <r>
    <d v="2021-10-31T00:00:00"/>
    <s v="TIR0058"/>
    <x v="3"/>
    <s v="NA"/>
    <n v="422"/>
    <m/>
    <x v="1"/>
    <x v="2"/>
    <m/>
    <x v="0"/>
    <x v="0"/>
    <m/>
    <s v="NCR0320"/>
    <x v="0"/>
    <x v="0"/>
    <x v="0"/>
  </r>
  <r>
    <d v="2021-10-31T00:00:00"/>
    <s v="TIR0060"/>
    <x v="0"/>
    <s v="PM1684"/>
    <n v="407"/>
    <s v="HC1- While CVS transformer cables inspection, found leakage from the_x000a_input Capacitor on"/>
    <x v="3"/>
    <x v="2"/>
    <m/>
    <x v="0"/>
    <x v="0"/>
    <m/>
    <s v="NCR0322"/>
    <x v="0"/>
    <x v="0"/>
    <x v="0"/>
  </r>
  <r>
    <d v="2021-10-31T00:00:00"/>
    <s v="TIR0059"/>
    <x v="3"/>
    <s v="NA"/>
    <n v="417"/>
    <s v="TS417 stuck at neutral sec"/>
    <x v="0"/>
    <x v="2"/>
    <m/>
    <x v="1"/>
    <x v="0"/>
    <m/>
    <s v=""/>
    <x v="0"/>
    <x v="0"/>
    <x v="0"/>
  </r>
  <r>
    <d v="2021-10-31T00:00:00"/>
    <s v="TIR1020"/>
    <x v="5"/>
    <s v="NA"/>
    <s v="All"/>
    <s v="Harting brake connector improperly locked"/>
    <x v="1"/>
    <x v="3"/>
    <m/>
    <x v="2"/>
    <x v="1"/>
    <m/>
    <s v=""/>
    <x v="0"/>
    <x v="0"/>
    <x v="0"/>
  </r>
  <r>
    <d v="2021-11-03T00:00:00"/>
    <s v="TIR0061"/>
    <x v="3"/>
    <s v="NA"/>
    <s v="401_x000a_405"/>
    <s v="TOM issue : IOS 191 and F_N VR1Lostcom"/>
    <x v="0"/>
    <x v="2"/>
    <s v="405 - 3/11/2021 : Reprogram manually NVR by STE local support._x000a_401 - Hard disk was not properly inserted"/>
    <x v="0"/>
    <x v="0"/>
    <m/>
    <s v=""/>
    <x v="0"/>
    <x v="0"/>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x v="0"/>
    <d v="2021-11-13T00:00:00"/>
    <s v="NCR342"/>
    <x v="0"/>
    <x v="0"/>
    <x v="0"/>
  </r>
  <r>
    <d v="2021-11-13T00:00:00"/>
    <s v="TIR0063"/>
    <x v="3"/>
    <s v="Mail"/>
    <n v="423"/>
    <s v="13 Nov Mainline launching D4/6 :_x000a_IOS247: One ACE have a communication fault"/>
    <x v="0"/>
    <x v="2"/>
    <s v="6/12/2021 : No Issues observed after monitoring."/>
    <x v="1"/>
    <x v="0"/>
    <d v="2021-12-21T00:00:00"/>
    <m/>
    <x v="0"/>
    <x v="0"/>
    <x v="0"/>
  </r>
  <r>
    <d v="2021-11-13T00:00:00"/>
    <s v="TIR0065"/>
    <x v="3"/>
    <s v="Mail"/>
    <n v="421"/>
    <s v="17 train carrousel _ 13/11/2021_x000a_TS421: IOS179,185"/>
    <x v="0"/>
    <x v="2"/>
    <m/>
    <x v="1"/>
    <x v="0"/>
    <m/>
    <m/>
    <x v="0"/>
    <x v="0"/>
    <x v="0"/>
  </r>
  <r>
    <d v="2021-11-13T00:00:00"/>
    <s v="TIR0066"/>
    <x v="3"/>
    <s v="Mail"/>
    <n v="409"/>
    <s v="17 train carrousel _ 13/11/2021_x000a_IOS17"/>
    <x v="0"/>
    <x v="2"/>
    <s v="Performed test and checked MPU logs, found while daily brake test in progress. EAD were activated and EB applied."/>
    <x v="1"/>
    <x v="0"/>
    <m/>
    <m/>
    <x v="0"/>
    <x v="0"/>
    <x v="0"/>
  </r>
  <r>
    <d v="2021-11-14T00:00:00"/>
    <s v="TIR0067"/>
    <x v="3"/>
    <s v="Mail"/>
    <n v="421"/>
    <s v="15 Nov Mainline launching D4/6_x000a_Pei5 hc2 offline "/>
    <x v="0"/>
    <x v="0"/>
    <s v="Updated the pei software and online. To test "/>
    <x v="0"/>
    <x v="0"/>
    <d v="2021-11-16T00:00:00"/>
    <m/>
    <x v="0"/>
    <x v="0"/>
    <x v="0"/>
  </r>
  <r>
    <d v="2021-11-14T00:00:00"/>
    <s v="TIR0068"/>
    <x v="3"/>
    <s v="Mail"/>
    <n v="401"/>
    <s v="15 Nov Mainline launching D4/6_x000a_IOS94 : Zero velocity fault"/>
    <x v="0"/>
    <x v="2"/>
    <m/>
    <x v="0"/>
    <x v="0"/>
    <m/>
    <s v="NCR331_x000a_NCR329"/>
    <x v="0"/>
    <x v="0"/>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x v="0"/>
    <d v="2021-11-25T00:00:00"/>
    <s v="NCR345"/>
    <x v="0"/>
    <x v="0"/>
    <x v="0"/>
  </r>
  <r>
    <d v="2021-11-14T00:00:00"/>
    <s v="TIR0070"/>
    <x v="3"/>
    <s v="Mail"/>
    <n v="603"/>
    <s v="15 Nov Mainline launching D4/6_x000a_IOS196  "/>
    <x v="0"/>
    <x v="0"/>
    <s v="Updated pei software and no more IOS196 report"/>
    <x v="0"/>
    <x v="0"/>
    <d v="2021-12-09T00:00:00"/>
    <m/>
    <x v="0"/>
    <x v="0"/>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x v="0"/>
    <d v="2021-11-17T00:00:00"/>
    <s v="NCR330"/>
    <x v="0"/>
    <x v="0"/>
    <x v="0"/>
  </r>
  <r>
    <d v="2021-11-14T00:00:00"/>
    <s v="TIR0072"/>
    <x v="3"/>
    <s v="Mail"/>
    <n v="614"/>
    <s v="Alarms from CCR_x000a_IOS264:More than one UMC have a communication fault"/>
    <x v="0"/>
    <x v="0"/>
    <s v="Updated the pei software and online. To test "/>
    <x v="0"/>
    <x v="0"/>
    <d v="2021-11-22T00:00:00"/>
    <m/>
    <x v="0"/>
    <x v="0"/>
    <x v="0"/>
  </r>
  <r>
    <d v="2021-11-14T00:00:00"/>
    <s v="TIR0073"/>
    <x v="3"/>
    <s v="Mail"/>
    <n v="413"/>
    <s v="Alarms from CCR_x000a_IOS250:One HVAC has a communication fault"/>
    <x v="0"/>
    <x v="3"/>
    <s v="16/11 : Train in mainline today and no issue reported."/>
    <x v="0"/>
    <x v="0"/>
    <m/>
    <m/>
    <x v="0"/>
    <x v="0"/>
    <x v="0"/>
  </r>
  <r>
    <d v="2021-11-14T00:00:00"/>
    <s v="TIR0074"/>
    <x v="3"/>
    <s v="Mail"/>
    <n v="414"/>
    <s v="Alarms from CCR_x000a_IOS196:Loss of at least 1 PEI in a class"/>
    <x v="0"/>
    <x v="0"/>
    <s v="Checked and confirmed E2 port have communication issue. "/>
    <x v="0"/>
    <x v="0"/>
    <d v="2021-11-16T00:00:00"/>
    <s v="NCR335 "/>
    <x v="0"/>
    <x v="0"/>
    <x v="0"/>
  </r>
  <r>
    <d v="2021-11-15T00:00:00"/>
    <s v="TIR0075"/>
    <x v="3"/>
    <s v="Mail"/>
    <n v="617"/>
    <s v="15 Nov Mainline launching D4/6 :_x000a_IOS250 : HVAC1_V1 offline"/>
    <x v="0"/>
    <x v="3"/>
    <s v="16/11 : Train checked in the workshop : Train woke up and asleep 5 times =&gt; we have communication with all HVAC. There is no IOS250."/>
    <x v="0"/>
    <x v="0"/>
    <d v="2021-11-25T00:00:00"/>
    <m/>
    <x v="0"/>
    <x v="0"/>
    <x v="0"/>
  </r>
  <r>
    <d v="2021-11-15T00:00:00"/>
    <s v="TIR0076"/>
    <x v="3"/>
    <s v="Mail"/>
    <n v="612"/>
    <s v="15 Nov Mainline launching D4/6 :_x000a_IOS249 : Door6-hc1 no communication "/>
    <x v="0"/>
    <x v="1"/>
    <s v="we replaced the DCU because it was offline "/>
    <x v="0"/>
    <x v="0"/>
    <d v="2021-11-15T00:00:00"/>
    <s v="NCR332"/>
    <x v="0"/>
    <x v="0"/>
    <x v="0"/>
  </r>
  <r>
    <d v="2021-11-15T00:00:00"/>
    <s v="TIR0078"/>
    <x v="3"/>
    <s v="Mail"/>
    <n v="403"/>
    <s v="15 Nov Mainline launching D4/6 :_x000a_SWD4_V2 is offline after reset became OK"/>
    <x v="0"/>
    <x v="0"/>
    <s v="Reset it and SWD display OK."/>
    <x v="0"/>
    <x v="0"/>
    <d v="2021-11-16T00:00:00"/>
    <m/>
    <x v="0"/>
    <x v="0"/>
    <x v="0"/>
  </r>
  <r>
    <d v="2021-11-15T00:00:00"/>
    <s v="TIR0079"/>
    <x v="3"/>
    <s v="Mail"/>
    <n v="401"/>
    <s v="15 Nov PACIS issues on Mainline_x000a_TCCU 1 Faulty and PEI1 _V1 offline "/>
    <x v="0"/>
    <x v="0"/>
    <s v=" Replaced TCCU1 and PEI1-V1 and to test"/>
    <x v="0"/>
    <x v="0"/>
    <d v="2021-11-16T00:00:00"/>
    <s v="NCR336"/>
    <x v="0"/>
    <x v="0"/>
    <x v="0"/>
  </r>
  <r>
    <d v="2021-11-15T00:00:00"/>
    <s v="TIR0080"/>
    <x v="3"/>
    <s v="Mail"/>
    <n v="403"/>
    <s v="15 Nov PACIS issues on Mainline_x000a_Pei 1_v2 and Pei 6 _v1 Offline "/>
    <x v="0"/>
    <x v="2"/>
    <s v="Checked and confirmed both PEI E1,E2 port have communication issue. "/>
    <x v="0"/>
    <x v="0"/>
    <d v="2021-11-16T00:00:00"/>
    <s v="NCR333_x000a_NCR334"/>
    <x v="0"/>
    <x v="0"/>
    <x v="0"/>
  </r>
  <r>
    <d v="2021-11-15T00:00:00"/>
    <s v="TIR0081"/>
    <x v="3"/>
    <s v="Mail"/>
    <n v="421"/>
    <s v="15 Nov PACIS issues on Mainline_x000a_No CAM working(tccu 1 need to check)"/>
    <x v="0"/>
    <x v="0"/>
    <s v="Updated TCCU1 software and to test "/>
    <x v="0"/>
    <x v="0"/>
    <d v="2021-11-16T00:00:00"/>
    <m/>
    <x v="0"/>
    <x v="0"/>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x v="0"/>
    <d v="2021-11-24T00:00:00"/>
    <s v="NCR319"/>
    <x v="0"/>
    <x v="0"/>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x v="0"/>
    <d v="2021-12-19T00:00:00"/>
    <m/>
    <x v="0"/>
    <x v="0"/>
    <x v="0"/>
  </r>
  <r>
    <d v="2021-11-15T00:00:00"/>
    <s v="TIR0084"/>
    <x v="3"/>
    <s v="Mail"/>
    <n v="423"/>
    <s v="15 Nov PACIS issues on Mainline_x000a_No COM with ism reported on mainline "/>
    <x v="0"/>
    <x v="0"/>
    <s v="Updated TCCU1 software and no more report"/>
    <x v="0"/>
    <x v="0"/>
    <d v="2021-12-08T00:00:00"/>
    <m/>
    <x v="0"/>
    <x v="0"/>
    <x v="0"/>
  </r>
  <r>
    <d v="2021-11-15T00:00:00"/>
    <s v="TIR0085"/>
    <x v="3"/>
    <s v="Mail"/>
    <n v="414"/>
    <s v="15 Nov PACIS issues on Mainline_x000a_IOS196 :pei5_v1 offline"/>
    <x v="0"/>
    <x v="2"/>
    <s v="Checked and confirmed E2 port have communication issue. "/>
    <x v="0"/>
    <x v="0"/>
    <d v="2021-11-16T00:00:00"/>
    <s v="NCR335 "/>
    <x v="0"/>
    <x v="0"/>
    <x v="0"/>
  </r>
  <r>
    <d v="2021-11-15T00:00:00"/>
    <s v="TIR0077"/>
    <x v="3"/>
    <s v="Mail"/>
    <n v="602"/>
    <s v="15 Nov Mainline launching D4/6 :_x000a_IOS247: One ACE have a communication fault"/>
    <x v="0"/>
    <x v="2"/>
    <m/>
    <x v="1"/>
    <x v="0"/>
    <m/>
    <m/>
    <x v="0"/>
    <x v="0"/>
    <x v="0"/>
  </r>
  <r>
    <d v="2021-11-15T00:00:00"/>
    <s v="TIR0086"/>
    <x v="3"/>
    <s v="Mail"/>
    <n v="412"/>
    <s v="15 Nov Mainline launching D4/6 :_x000a_IOS250 : IOS252 and F_TCN_ATC2ComNOK"/>
    <x v="0"/>
    <x v="3"/>
    <s v="Confirmed SLV"/>
    <x v="1"/>
    <x v="0"/>
    <d v="2021-11-15T00:00:00"/>
    <s v="XXXX"/>
    <x v="0"/>
    <x v="0"/>
    <x v="0"/>
  </r>
  <r>
    <d v="2021-11-16T00:00:00"/>
    <s v="TIR0087"/>
    <x v="3"/>
    <s v="Mail"/>
    <n v="612"/>
    <s v="T612 report IOS253, The EVR have a communication fault"/>
    <x v="0"/>
    <x v="0"/>
    <s v="The issue is solved after we update evr software."/>
    <x v="0"/>
    <x v="0"/>
    <d v="2021-11-16T00:00:00"/>
    <s v="XXXX"/>
    <x v="0"/>
    <x v="0"/>
    <x v="0"/>
  </r>
  <r>
    <d v="2021-11-16T00:00:00"/>
    <s v="TIR0088"/>
    <x v="3"/>
    <s v="Mail"/>
    <n v="411"/>
    <s v="IOS196 : Loss of at least 1 PEI in a class, from the MPU logs shown that_x000a_PEI4_V2 communication not stable"/>
    <x v="0"/>
    <x v="0"/>
    <s v="Replaced a new PEI and updated software OK"/>
    <x v="0"/>
    <x v="0"/>
    <d v="2021-12-19T00:00:00"/>
    <s v="NCR0410"/>
    <x v="0"/>
    <x v="0"/>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x v="0"/>
    <d v="2021-11-24T00:00:00"/>
    <s v="NCR338"/>
    <x v="0"/>
    <x v="0"/>
    <x v="0"/>
  </r>
  <r>
    <d v="2021-11-17T00:00:00"/>
    <s v="TIR0090"/>
    <x v="3"/>
    <s v="Mail"/>
    <n v="404"/>
    <s v="IOS226 : Loss of traction and ED brake on one PCE."/>
    <x v="0"/>
    <x v="2"/>
    <s v="25/11/2021 : Isseu rectified, cable for discharging were wrongly connected."/>
    <x v="0"/>
    <x v="0"/>
    <d v="2021-11-25T00:00:00"/>
    <s v="NCR344"/>
    <x v="0"/>
    <x v="0"/>
    <x v="0"/>
  </r>
  <r>
    <d v="2021-11-17T00:00:00"/>
    <s v="TIR0091"/>
    <x v="3"/>
    <s v="Mail"/>
    <n v="401"/>
    <s v="IOS191 : Loss of video recorder."/>
    <x v="0"/>
    <x v="2"/>
    <s v="Recovered automatically , Reboot NVR to simulate the issue ._x000a_still NVR video recording "/>
    <x v="0"/>
    <x v="0"/>
    <m/>
    <m/>
    <x v="0"/>
    <x v="0"/>
    <x v="0"/>
  </r>
  <r>
    <d v="2021-11-17T00:00:00"/>
    <s v="TIR0103"/>
    <x v="3"/>
    <s v="RMDT"/>
    <n v="605"/>
    <s v="TS605 door did not open at 4C1 PF1. _x000a_TS605 dwelled and departed on time "/>
    <x v="0"/>
    <x v="3"/>
    <s v="SLV issue , issue is happen during ATC master changeover "/>
    <x v="1"/>
    <x v="0"/>
    <d v="2021-11-24T00:00:00"/>
    <s v=""/>
    <x v="0"/>
    <x v="0"/>
    <x v="0"/>
  </r>
  <r>
    <d v="2021-11-18T00:00:00"/>
    <s v="TIR0092"/>
    <x v="3"/>
    <s v="Mail"/>
    <n v="606"/>
    <s v="IOS264:more than one UMC have a communication fault"/>
    <x v="0"/>
    <x v="0"/>
    <s v="Found HC2 CRS42 fail to power up.Replaced a new CRS and test OK"/>
    <x v="0"/>
    <x v="0"/>
    <d v="2021-11-22T00:00:00"/>
    <s v="NCR339"/>
    <x v="0"/>
    <x v="0"/>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x v="0"/>
    <d v="2021-12-29T00:00:00"/>
    <s v=""/>
    <x v="0"/>
    <x v="0"/>
    <x v="0"/>
  </r>
  <r>
    <d v="2021-11-21T00:00:00"/>
    <s v="TIR0097"/>
    <x v="3"/>
    <s v="Mail"/>
    <n v="626"/>
    <s v="Mainline launching D4/6._x000a_IOS196 &quot; PEI of line &quot; , PEI1_V1 "/>
    <x v="0"/>
    <x v="0"/>
    <s v="updated software manually,cheched online and display  ok"/>
    <x v="0"/>
    <x v="0"/>
    <d v="2021-12-21T00:00:00"/>
    <s v=""/>
    <x v="0"/>
    <x v="0"/>
    <x v="0"/>
  </r>
  <r>
    <d v="2021-11-21T00:00:00"/>
    <s v="TIR0098"/>
    <x v="3"/>
    <s v="Mail"/>
    <n v="610"/>
    <s v="Mainline launching D4/6._x000a_LEDI1_V2 and (LEDI, LCD &amp; SWD 2_V2) are offline "/>
    <x v="0"/>
    <x v="0"/>
    <s v="See TIR205"/>
    <x v="0"/>
    <x v="0"/>
    <s v=""/>
    <s v=""/>
    <x v="0"/>
    <x v="0"/>
    <x v="0"/>
  </r>
  <r>
    <d v="2021-11-21T00:00:00"/>
    <s v="TIR0099"/>
    <x v="3"/>
    <s v="Mail"/>
    <n v="404"/>
    <s v="SWD1_V1 is offline and LCD2_V1 &amp; LCD2_V2 are dim"/>
    <x v="0"/>
    <x v="1"/>
    <s v="after manually update all now working fine"/>
    <x v="0"/>
    <x v="0"/>
    <d v="2021-11-23T00:00:00"/>
    <s v=""/>
    <x v="0"/>
    <x v="0"/>
    <x v="0"/>
  </r>
  <r>
    <d v="2021-11-21T00:00:00"/>
    <s v="TIR0100"/>
    <x v="3"/>
    <s v="Mail"/>
    <n v="601"/>
    <s v="LCD5_V2 Off line _x000a_LCD2_V1 &amp; SWD4_V1 are shown faulty screens"/>
    <x v="0"/>
    <x v="1"/>
    <s v="after manually update now working fine"/>
    <x v="0"/>
    <x v="0"/>
    <d v="2021-11-22T00:00:00"/>
    <s v=""/>
    <x v="0"/>
    <x v="0"/>
    <x v="0"/>
  </r>
  <r>
    <d v="2021-11-21T00:00:00"/>
    <s v="TIR0101"/>
    <x v="3"/>
    <s v="Mail"/>
    <n v="421"/>
    <s v="HVAC 1_V2 fault"/>
    <x v="0"/>
    <x v="2"/>
    <m/>
    <x v="0"/>
    <x v="0"/>
    <s v=""/>
    <s v="NCR0340"/>
    <x v="0"/>
    <x v="0"/>
    <x v="0"/>
  </r>
  <r>
    <d v="2021-11-21T00:00:00"/>
    <s v="TIR0102"/>
    <x v="3"/>
    <s v="Mail"/>
    <n v="421"/>
    <s v="Emergency ventilation fault _x000a_HVAC2-V2"/>
    <x v="1"/>
    <x v="2"/>
    <m/>
    <x v="2"/>
    <x v="1"/>
    <s v=""/>
    <s v="NCR0341"/>
    <x v="0"/>
    <x v="0"/>
    <x v="0"/>
  </r>
  <r>
    <d v="2021-11-21T00:00:00"/>
    <s v="TIR0095"/>
    <x v="3"/>
    <s v="Mail"/>
    <n v="602"/>
    <s v="Mainline launching D4/6._x000a_the driver noticed during departure from 6F1 train jerking and like sparking "/>
    <x v="3"/>
    <x v="1"/>
    <s v="CCD Cable missing _x000a_HC1-BOGIE2_Fuse box to JB one HV cable not available."/>
    <x v="0"/>
    <x v="0"/>
    <s v=""/>
    <s v="NCR1092"/>
    <x v="0"/>
    <x v="0"/>
    <x v="0"/>
  </r>
  <r>
    <d v="2021-11-21T00:00:00"/>
    <s v="TIR0093"/>
    <x v="2"/>
    <s v="CM"/>
    <n v="610"/>
    <s v="HC1 Horn not working"/>
    <x v="0"/>
    <x v="2"/>
    <s v="Horn connector not proeprly connected"/>
    <x v="1"/>
    <x v="0"/>
    <d v="2021-11-23T00:00:00"/>
    <s v=""/>
    <x v="0"/>
    <x v="0"/>
    <x v="0"/>
  </r>
  <r>
    <d v="2021-11-21T00:00:00"/>
    <s v="TIR1022"/>
    <x v="3"/>
    <s v="Mail"/>
    <n v="616"/>
    <s v="Mainline launching D4/6._x000a_IOS179"/>
    <x v="1"/>
    <x v="2"/>
    <m/>
    <x v="1"/>
    <x v="0"/>
    <d v="2022-02-28T00:00:00"/>
    <s v=""/>
    <x v="0"/>
    <x v="0"/>
    <x v="0"/>
  </r>
  <r>
    <d v="2021-11-23T00:00:00"/>
    <s v="TIR0104"/>
    <x v="0"/>
    <s v="NA"/>
    <n v="403"/>
    <s v="PEI4_V1 fault, lost com, "/>
    <x v="0"/>
    <x v="0"/>
    <s v="Updated software still pei lost communication. Replaced a new one and test ok."/>
    <x v="0"/>
    <x v="0"/>
    <d v="2021-11-23T00:00:00"/>
    <s v="NCR342"/>
    <x v="0"/>
    <x v="0"/>
    <x v="0"/>
  </r>
  <r>
    <d v="2021-11-23T00:00:00"/>
    <s v="TIR0105"/>
    <x v="0"/>
    <s v="NA"/>
    <n v="606"/>
    <s v="SWD1_V1 blinking issue"/>
    <x v="0"/>
    <x v="0"/>
    <s v="12/9/2021:To investigate_x000a_12/26/2021:Updated again software manually and test it online and display OK"/>
    <x v="0"/>
    <x v="0"/>
    <d v="2021-12-26T00:00:00"/>
    <s v="NCR373"/>
    <x v="0"/>
    <x v="0"/>
    <x v="0"/>
  </r>
  <r>
    <d v="2021-11-23T00:00:00"/>
    <s v="TIR0106"/>
    <x v="3"/>
    <s v="Mail"/>
    <n v="601"/>
    <s v="PEI2_V1,PEI1_V2,PEI3_V2,PEI5_V2"/>
    <x v="0"/>
    <x v="1"/>
    <s v="update the software Manually all PEI Online. Date:24/11/2021 again cross In ism(pei2_v1,pei1_v2,pei5_v2) need to replace "/>
    <x v="0"/>
    <x v="0"/>
    <d v="2021-11-23T00:00:00"/>
    <s v=""/>
    <x v="0"/>
    <x v="0"/>
    <x v="0"/>
  </r>
  <r>
    <d v="2021-11-23T00:00:00"/>
    <s v="TIR0108"/>
    <x v="3"/>
    <s v="Mail"/>
    <n v="420"/>
    <s v=" combine test RST NOK"/>
    <x v="0"/>
    <x v="1"/>
    <s v="Door #1 hc2 Found cable mechanically not connected in proper pulley"/>
    <x v="0"/>
    <x v="0"/>
    <d v="2021-11-23T00:00:00"/>
    <s v=""/>
    <x v="0"/>
    <x v="0"/>
    <x v="0"/>
  </r>
  <r>
    <d v="2021-11-23T00:00:00"/>
    <s v="TIR0107"/>
    <x v="3"/>
    <s v="Mail"/>
    <n v="603"/>
    <s v="Red light Door3 V1"/>
    <x v="0"/>
    <x v="1"/>
    <m/>
    <x v="1"/>
    <x v="0"/>
    <d v="2021-11-24T00:00:00"/>
    <s v=""/>
    <x v="0"/>
    <x v="0"/>
    <x v="0"/>
  </r>
  <r>
    <d v="2021-11-25T00:00:00"/>
    <s v="TIR0109"/>
    <x v="3"/>
    <s v="Mail"/>
    <n v="604"/>
    <s v="TOM issue : IOS 191 and F_N VR1Lostcom"/>
    <x v="0"/>
    <x v="2"/>
    <s v="Checekd and found NVR HDD1 faulty since 19/7/2021. Swapped HDD and confirmed HDD malfunction, already replaced and test it."/>
    <x v="0"/>
    <x v="0"/>
    <d v="2021-11-29T00:00:00"/>
    <s v="NCR343"/>
    <x v="0"/>
    <x v="0"/>
    <x v="0"/>
  </r>
  <r>
    <d v="2021-11-25T00:00:00"/>
    <s v="TIR0110"/>
    <x v="3"/>
    <s v="Mail"/>
    <n v="516"/>
    <s v="BRIO 72A32 faulty"/>
    <x v="1"/>
    <x v="2"/>
    <s v="Checked and confirmed that BRIO 72A32 faulty (Analog input and output) failure. Need to replace."/>
    <x v="0"/>
    <x v="0"/>
    <s v=""/>
    <s v="NCR0346"/>
    <x v="0"/>
    <x v="0"/>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x v="0"/>
    <d v="2022-02-07T00:00:00"/>
    <s v=""/>
    <x v="0"/>
    <x v="0"/>
    <x v="0"/>
  </r>
  <r>
    <d v="2021-11-29T00:00:00"/>
    <s v="TIR0112"/>
    <x v="2"/>
    <s v="NA"/>
    <n v="411"/>
    <s v="PEI5-V1 NOK from ISM"/>
    <x v="0"/>
    <x v="0"/>
    <s v="Updated PEI software and PEI status is good in ISM side,"/>
    <x v="0"/>
    <x v="0"/>
    <d v="2021-12-08T00:00:00"/>
    <s v=""/>
    <x v="0"/>
    <x v="0"/>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x v="0"/>
    <m/>
    <m/>
    <x v="0"/>
    <x v="0"/>
    <x v="0"/>
  </r>
  <r>
    <d v="2021-11-29T00:00:00"/>
    <s v="TIR0113"/>
    <x v="2"/>
    <s v="NA"/>
    <n v="610"/>
    <s v="CB 61Q05 trip during rescue coupling "/>
    <x v="0"/>
    <x v="1"/>
    <s v="During the Rescue coupling they coupled 612HC2 and 610HC1 side the problem we found in 612 HC2. two cables was cross in PB+RP3(WF00105\108 and WF00103_01\107)"/>
    <x v="1"/>
    <x v="0"/>
    <d v="2021-12-09T00:00:00"/>
    <s v=""/>
    <x v="0"/>
    <x v="0"/>
    <x v="0"/>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x v="0"/>
    <d v="2022-01-27T00:00:00"/>
    <m/>
    <x v="0"/>
    <x v="0"/>
    <x v="0"/>
  </r>
  <r>
    <d v="2021-11-30T00:00:00"/>
    <s v="TIR0115"/>
    <x v="3"/>
    <s v="Mail"/>
    <n v="418"/>
    <s v="IOS179 + IOS185"/>
    <x v="0"/>
    <x v="2"/>
    <s v="Found ACE2 has critical faults, after reset no more IOSs."/>
    <x v="0"/>
    <x v="0"/>
    <s v=""/>
    <s v=""/>
    <x v="0"/>
    <x v="0"/>
    <x v="0"/>
  </r>
  <r>
    <d v="2021-11-30T00:00:00"/>
    <s v="TIR0119"/>
    <x v="3"/>
    <s v="Mail"/>
    <n v="410"/>
    <s v="IOS191 : Loss of video recorder."/>
    <x v="0"/>
    <x v="2"/>
    <s v="Found NVR IP is online but TOM NOK also from the MPU logs shown_x000a_ “F_NVR1LostCom then F_NVR1Fault” and shown faulty LED light on the device"/>
    <x v="0"/>
    <x v="0"/>
    <s v=""/>
    <s v=""/>
    <x v="0"/>
    <x v="0"/>
    <x v="0"/>
  </r>
  <r>
    <d v="2021-11-30T00:00:00"/>
    <s v="TIR0121"/>
    <x v="6"/>
    <s v="NA"/>
    <n v="404"/>
    <s v="Both TCCU have not same software "/>
    <x v="0"/>
    <x v="0"/>
    <s v="Updated both TCCU to STR570 verstion"/>
    <x v="0"/>
    <x v="0"/>
    <d v="2021-12-08T00:00:00"/>
    <s v=""/>
    <x v="0"/>
    <x v="0"/>
    <x v="0"/>
  </r>
  <r>
    <d v="2021-11-30T00:00:00"/>
    <s v="TIR0122"/>
    <x v="3"/>
    <s v="Mail"/>
    <n v="651"/>
    <s v="WSP + Holding brake issue "/>
    <x v="0"/>
    <x v="3"/>
    <s v="05/12 : A-MATRIC of train 604 replaced and programmed."/>
    <x v="0"/>
    <x v="0"/>
    <d v="2021-12-05T00:00:00"/>
    <s v="NCR350"/>
    <x v="0"/>
    <x v="0"/>
    <x v="0"/>
  </r>
  <r>
    <d v="2021-11-30T00:00:00"/>
    <s v="TIR0123"/>
    <x v="3"/>
    <s v="Alarm Viewer Alarms Report"/>
    <n v="405"/>
    <s v="IOS196 &quot; PEI of line &quot;"/>
    <x v="0"/>
    <x v="5"/>
    <s v="Updated the pei software and online"/>
    <x v="0"/>
    <x v="0"/>
    <d v="2021-12-12T00:00:00"/>
    <m/>
    <x v="0"/>
    <x v="0"/>
    <x v="0"/>
  </r>
  <r>
    <d v="2021-11-30T00:00:00"/>
    <s v="TIR0118"/>
    <x v="3"/>
    <s v="Mail"/>
    <n v="623"/>
    <s v="IOS227"/>
    <x v="3"/>
    <x v="2"/>
    <s v="Highlighted by TC thru Irvin ~12:49 but train is moving,_x000a_ Checked and found in PCE1 have QNEB failure many times."/>
    <x v="0"/>
    <x v="0"/>
    <s v=""/>
    <s v="NCR409"/>
    <x v="0"/>
    <x v="0"/>
    <x v="0"/>
  </r>
  <r>
    <d v="2021-11-30T00:00:00"/>
    <s v="TIR0125"/>
    <x v="3"/>
    <s v="Alarm Viewer Alarms Report"/>
    <n v="601"/>
    <s v="IOS196 &quot; PEI of line &quot;_x000a_LCD5-V2 error display_x000a_LEDI5-V2 error display"/>
    <x v="1"/>
    <x v="0"/>
    <s v="Updaed software manually and test ok"/>
    <x v="1"/>
    <x v="0"/>
    <d v="2022-01-26T00:00:00"/>
    <s v="NCR0381"/>
    <x v="0"/>
    <x v="0"/>
    <x v="0"/>
  </r>
  <r>
    <d v="2021-11-30T00:00:00"/>
    <s v="TIR0126"/>
    <x v="3"/>
    <s v="NA"/>
    <n v="512"/>
    <s v="IOS179 + IOS180"/>
    <x v="2"/>
    <x v="2"/>
    <s v="CVS1 faulty due to HVAC2_V1 compressor fault and HVAC1_V1 ventilation fault (overcurrent). Switch off HVAC 52Q06 CB and reset CVS1, CVS working normal.Nedd to checked HVAC compressor."/>
    <x v="3"/>
    <x v="1"/>
    <m/>
    <s v="NCR348"/>
    <x v="0"/>
    <x v="0"/>
    <x v="0"/>
  </r>
  <r>
    <d v="2021-11-30T00:00:00"/>
    <s v="TIR0114"/>
    <x v="3"/>
    <s v="Mail"/>
    <n v="404"/>
    <s v="IOS263/IOS250_x000a_both V2 HVAC NOK then only HVAC1_V2 NOK"/>
    <x v="0"/>
    <x v="1"/>
    <s v="No issue found"/>
    <x v="1"/>
    <x v="0"/>
    <d v="2021-12-08T00:00:00"/>
    <s v=""/>
    <x v="0"/>
    <x v="0"/>
    <x v="0"/>
  </r>
  <r>
    <d v="2021-11-30T00:00:00"/>
    <s v="TIR0116"/>
    <x v="3"/>
    <s v="Mail"/>
    <n v="624"/>
    <s v="IOS061 + IOS071"/>
    <x v="0"/>
    <x v="1"/>
    <s v="Found EAD2_V2’s key not in proper position. After normalized it no more IOSs."/>
    <x v="1"/>
    <x v="0"/>
    <d v="2021-12-16T00:00:00"/>
    <s v=""/>
    <x v="0"/>
    <x v="0"/>
    <x v="0"/>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x v="0"/>
    <d v="2021-12-01T00:00:00"/>
    <s v=""/>
    <x v="0"/>
    <x v="0"/>
    <x v="0"/>
  </r>
  <r>
    <d v="2021-11-30T00:00:00"/>
    <s v="TIR0120"/>
    <x v="6"/>
    <s v="NA"/>
    <n v="414"/>
    <s v="Train communication issue see in the log"/>
    <x v="0"/>
    <x v="3"/>
    <s v="30/12 : Train checked and communication with all equipment ok. Issue happened last 14 November with communication lost with CRS1_V1 first."/>
    <x v="1"/>
    <x v="0"/>
    <s v=""/>
    <s v=""/>
    <x v="0"/>
    <x v="0"/>
    <x v="0"/>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x v="0"/>
    <m/>
    <m/>
    <x v="0"/>
    <x v="0"/>
    <x v="0"/>
  </r>
  <r>
    <d v="2021-11-30T00:00:00"/>
    <s v="TIR1023"/>
    <x v="3"/>
    <s v="Alarm Viewer Alarms Report"/>
    <n v="409"/>
    <s v="IOS196 &quot; PEI of line &quot;"/>
    <x v="1"/>
    <x v="5"/>
    <s v="Checked all PEIs online"/>
    <x v="1"/>
    <x v="0"/>
    <d v="2022-02-06T00:00:00"/>
    <m/>
    <x v="0"/>
    <x v="0"/>
    <x v="0"/>
  </r>
  <r>
    <d v="2021-12-01T00:00:00"/>
    <s v="TIR0128"/>
    <x v="2"/>
    <s v="Mail"/>
    <n v="603"/>
    <s v="TU4:EB in UTO/ATPM mode"/>
    <x v="0"/>
    <x v="3"/>
    <s v="Found one wire W56802 wrongly connected and correct it, and no more EB happened"/>
    <x v="0"/>
    <x v="0"/>
    <d v="2021-12-08T00:00:00"/>
    <s v="NCR349"/>
    <x v="0"/>
    <x v="0"/>
    <x v="0"/>
  </r>
  <r>
    <d v="2021-12-01T00:00:00"/>
    <s v="TIR0129"/>
    <x v="2"/>
    <s v="Mail"/>
    <n v="618"/>
    <s v="TU4:EB in UTO/ATPM mode"/>
    <x v="0"/>
    <x v="0"/>
    <s v="Checked the wires are OK, and no issue found, to test it"/>
    <x v="0"/>
    <x v="0"/>
    <d v="2021-12-08T00:00:00"/>
    <m/>
    <x v="0"/>
    <x v="0"/>
    <x v="0"/>
  </r>
  <r>
    <d v="2021-12-01T00:00:00"/>
    <s v="TIR0130"/>
    <x v="3"/>
    <s v="Mail"/>
    <n v="410"/>
    <s v="NVR fault"/>
    <x v="0"/>
    <x v="2"/>
    <s v="NVR lost communication and after checked by STE local support, confirmed NVR lost communication everytime train wake up. NVR will be replaced."/>
    <x v="0"/>
    <x v="0"/>
    <d v="2021-12-02T00:00:00"/>
    <s v="NCR351"/>
    <x v="0"/>
    <x v="0"/>
    <x v="0"/>
  </r>
  <r>
    <d v="2021-12-05T00:00:00"/>
    <s v="TIR0131"/>
    <x v="2"/>
    <s v="NA"/>
    <n v="414"/>
    <s v="DRM4 , DRM5 , LCD5 , LID4 , LID5 _x000a_loss of communication"/>
    <x v="0"/>
    <x v="0"/>
    <s v="Checked on 07/12/2021,and follow to  TIR173"/>
    <x v="0"/>
    <x v="0"/>
    <d v="2021-12-08T00:00:00"/>
    <m/>
    <x v="0"/>
    <x v="0"/>
    <x v="0"/>
  </r>
  <r>
    <d v="2021-12-05T00:00:00"/>
    <s v="TIR0132"/>
    <x v="2"/>
    <s v="NA"/>
    <n v="409"/>
    <s v="SWD2-V2 offline"/>
    <x v="0"/>
    <x v="0"/>
    <s v="Updated again software manually and test it online and display OK"/>
    <x v="0"/>
    <x v="0"/>
    <d v="2021-12-27T00:00:00"/>
    <s v="NCR363"/>
    <x v="0"/>
    <x v="0"/>
    <x v="0"/>
  </r>
  <r>
    <d v="2021-12-05T00:00:00"/>
    <s v="TIR0136"/>
    <x v="3"/>
    <s v="Mail"/>
    <n v="413"/>
    <s v="IOS264 : More than one MUC have a communication fault"/>
    <x v="0"/>
    <x v="0"/>
    <s v="Update the TCCU2 software and no more ios264"/>
    <x v="0"/>
    <x v="0"/>
    <d v="2021-12-08T00:00:00"/>
    <m/>
    <x v="0"/>
    <x v="0"/>
    <x v="0"/>
  </r>
  <r>
    <d v="2021-12-05T00:00:00"/>
    <s v="TIR0134"/>
    <x v="0"/>
    <s v="PM1950"/>
    <n v="418"/>
    <s v="Hc1- Door1 glass Minor cracked at corner"/>
    <x v="1"/>
    <x v="1"/>
    <s v="Need to Reapair "/>
    <x v="3"/>
    <x v="1"/>
    <m/>
    <s v="NCR0352"/>
    <x v="0"/>
    <x v="0"/>
    <x v="0"/>
  </r>
  <r>
    <d v="2021-12-05T00:00:00"/>
    <s v="TIR0135"/>
    <x v="3"/>
    <s v="NA"/>
    <n v="624"/>
    <s v="Hc1- Door4 and Window glass Scratches"/>
    <x v="1"/>
    <x v="1"/>
    <s v="Reapaired by Painter"/>
    <x v="3"/>
    <x v="1"/>
    <m/>
    <s v="NCR0353"/>
    <x v="0"/>
    <x v="0"/>
    <x v="0"/>
  </r>
  <r>
    <d v="2021-12-05T00:00:00"/>
    <s v="TIR0140"/>
    <x v="3"/>
    <s v="RMDT Report"/>
    <n v="623"/>
    <s v="IOS196 : Loss of PEI"/>
    <x v="1"/>
    <x v="5"/>
    <s v="PEI E2 port faulty - to be replaced with new one_x000a_2/6/2022: found PEI3-V1 report lost communication; Updated software manually and test ok"/>
    <x v="1"/>
    <x v="0"/>
    <d v="2022-02-06T00:00:00"/>
    <s v="NCR0356"/>
    <x v="0"/>
    <x v="0"/>
    <x v="0"/>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x v="0"/>
    <m/>
    <s v=""/>
    <x v="0"/>
    <x v="0"/>
    <x v="0"/>
  </r>
  <r>
    <d v="2021-12-05T00:00:00"/>
    <s v="TIR0138"/>
    <x v="3"/>
    <s v="RMDT Report"/>
    <n v="407"/>
    <s v="TS 407: “IOS96 : Discrepancy between K_ZeroVel relay and BCE or PCE or ATC”,_x000a_"/>
    <x v="0"/>
    <x v="3"/>
    <s v="07/12 : From MPU log no IOS96 triggered. Logs checked from 23 november to 7 december."/>
    <x v="1"/>
    <x v="0"/>
    <d v="2021-12-07T00:00:00"/>
    <m/>
    <x v="0"/>
    <x v="0"/>
    <x v="0"/>
  </r>
  <r>
    <d v="2021-12-05T00:00:00"/>
    <s v="TIR1024"/>
    <x v="2"/>
    <s v="NA"/>
    <n v="416"/>
    <s v="PEI2-V1 loss of communication"/>
    <x v="1"/>
    <x v="5"/>
    <s v="Checked and no issue found"/>
    <x v="1"/>
    <x v="0"/>
    <d v="2022-01-19T00:00:00"/>
    <m/>
    <x v="0"/>
    <x v="0"/>
    <x v="0"/>
  </r>
  <r>
    <d v="2021-12-05T00:00:00"/>
    <s v="TIR1025"/>
    <x v="3"/>
    <s v="RMDT Report"/>
    <n v="422"/>
    <s v="IOS196 : Loss of PEI"/>
    <x v="1"/>
    <x v="5"/>
    <s v="Checked PEIs all online"/>
    <x v="1"/>
    <x v="0"/>
    <d v="2022-01-20T00:00:00"/>
    <m/>
    <x v="0"/>
    <x v="0"/>
    <x v="0"/>
  </r>
  <r>
    <d v="2021-12-06T00:00:00"/>
    <s v="TIR0141"/>
    <x v="0"/>
    <s v="NA"/>
    <n v="605"/>
    <s v="LEDI fail to power up"/>
    <x v="0"/>
    <x v="0"/>
    <s v="Replaced a new LEDI and updated software OK"/>
    <x v="0"/>
    <x v="0"/>
    <d v="2021-12-06T00:00:00"/>
    <s v="NCR355"/>
    <x v="0"/>
    <x v="0"/>
    <x v="0"/>
  </r>
  <r>
    <d v="2021-12-06T00:00:00"/>
    <s v="TIR0150"/>
    <x v="0"/>
    <s v="PM2028"/>
    <n v="608"/>
    <s v="HC2-RHS Saloon lights Dim."/>
    <x v="0"/>
    <x v="1"/>
    <s v="110v to 24v DC converter output emergency Switch in 3 coverter was on worng position it should be on 100% "/>
    <x v="0"/>
    <x v="0"/>
    <d v="2021-12-12T00:00:00"/>
    <m/>
    <x v="0"/>
    <x v="0"/>
    <x v="0"/>
  </r>
  <r>
    <d v="2021-12-06T00:00:00"/>
    <s v="TIR0154"/>
    <x v="0"/>
    <s v="PM2026"/>
    <n v="412"/>
    <s v="hc1 axle 3 oil level low hc2 axle 2 oil level low"/>
    <x v="0"/>
    <x v="3"/>
    <s v="08/12 : visual inspection done. No leakage found, need to normalize the oil level. All other axle are close to the low level also. "/>
    <x v="0"/>
    <x v="0"/>
    <m/>
    <m/>
    <x v="0"/>
    <x v="0"/>
    <x v="0"/>
  </r>
  <r>
    <d v="2021-12-06T00:00:00"/>
    <s v="TIR0155"/>
    <x v="0"/>
    <s v="PM2026"/>
    <n v="412"/>
    <s v="HC1-CAB LIGHT DIM ,                                                                                                                                                       HC1-GANGWAY LIGHT DIM"/>
    <x v="0"/>
    <x v="0"/>
    <s v="12/9/2021:To investigate_x000a_12/19/2021:Adjust the light parameters and light is OK"/>
    <x v="0"/>
    <x v="0"/>
    <d v="2021-12-19T00:00:00"/>
    <m/>
    <x v="0"/>
    <x v="0"/>
    <x v="0"/>
  </r>
  <r>
    <d v="2021-12-06T00:00:00"/>
    <s v="TIR0156"/>
    <x v="0"/>
    <s v="PM2025"/>
    <n v="411"/>
    <s v="HC1- Cab light Dim, HC1&amp;2-GANGWAY LIGHT DIM"/>
    <x v="0"/>
    <x v="0"/>
    <s v="12/9/2021:To investigate_x000a_12/19/2021:Adjust the light parameters and light is OK"/>
    <x v="0"/>
    <x v="0"/>
    <d v="2021-12-19T00:00:00"/>
    <m/>
    <x v="0"/>
    <x v="0"/>
    <x v="0"/>
  </r>
  <r>
    <d v="2021-12-06T00:00:00"/>
    <s v="TIR0166"/>
    <x v="3"/>
    <s v="Mail"/>
    <n v="623"/>
    <s v="Ledi6_V2 - blank"/>
    <x v="0"/>
    <x v="0"/>
    <s v="Updated software manuall and test OK"/>
    <x v="0"/>
    <x v="0"/>
    <d v="2022-01-02T00:00:00"/>
    <s v="NCR0366"/>
    <x v="0"/>
    <x v="0"/>
    <x v="0"/>
  </r>
  <r>
    <d v="2021-12-06T00:00:00"/>
    <s v="TIR0168"/>
    <x v="6"/>
    <s v="Mail"/>
    <n v="619"/>
    <s v="Lcd1_V2, ledi1_V2, swd1_V2 &amp; ledi5_V2 blank &amp; multimedia not update"/>
    <x v="0"/>
    <x v="0"/>
    <s v="12/9/2021:To investigate_x000a_1/9/2022:update media OK,   checked other devices ok."/>
    <x v="0"/>
    <x v="0"/>
    <d v="2022-01-09T00:00:00"/>
    <s v="NCR0367"/>
    <x v="0"/>
    <x v="0"/>
    <x v="0"/>
  </r>
  <r>
    <d v="2021-12-06T00:00:00"/>
    <s v="TIR0169"/>
    <x v="3"/>
    <s v="Mail"/>
    <n v="613"/>
    <s v="IOS226: Loss of traction and ED brake on one PCE"/>
    <x v="0"/>
    <x v="2"/>
    <s v="Checked and found same issue with 404, logs already send and waiting for feedback. SW09"/>
    <x v="0"/>
    <x v="0"/>
    <m/>
    <s v="NCR399"/>
    <x v="0"/>
    <x v="0"/>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x v="0"/>
    <m/>
    <s v="NCR0354"/>
    <x v="0"/>
    <x v="0"/>
    <x v="0"/>
  </r>
  <r>
    <d v="2021-12-06T00:00:00"/>
    <s v="TIR0145"/>
    <x v="0"/>
    <s v="PM2030"/>
    <n v="623"/>
    <s v="HC1-GCR saloon light not lit"/>
    <x v="1"/>
    <x v="1"/>
    <m/>
    <x v="0"/>
    <x v="0"/>
    <m/>
    <s v="NCR0396"/>
    <x v="0"/>
    <x v="0"/>
    <x v="0"/>
  </r>
  <r>
    <d v="2021-12-06T00:00:00"/>
    <s v="TIR0146"/>
    <x v="0"/>
    <s v="PM2030"/>
    <n v="623"/>
    <s v="HC1-stinger cap cover broken"/>
    <x v="1"/>
    <x v="1"/>
    <m/>
    <x v="3"/>
    <x v="1"/>
    <m/>
    <s v="NCR0406"/>
    <x v="0"/>
    <x v="0"/>
    <x v="0"/>
  </r>
  <r>
    <d v="2021-12-06T00:00:00"/>
    <s v="TIR0148"/>
    <x v="0"/>
    <s v="PM2028"/>
    <n v="608"/>
    <s v="1.HVAC-Roof Panel gap filler  plate not fixed(near to Gangway)"/>
    <x v="1"/>
    <x v="1"/>
    <s v="Parts not available"/>
    <x v="3"/>
    <x v="1"/>
    <m/>
    <s v="NCR0372"/>
    <x v="0"/>
    <x v="0"/>
    <x v="0"/>
  </r>
  <r>
    <d v="2021-12-06T00:00:00"/>
    <s v="TIR0151"/>
    <x v="0"/>
    <s v="PM2027"/>
    <n v="603"/>
    <s v="HC2-Bogie1_Axle2 minor air leakage "/>
    <x v="1"/>
    <x v="3"/>
    <s v="19/12 : leakage found from the spring brake part. (BRAKE UNIT WITH PARKING BRAKE)._x000a_Need to normalize by replacing the brake part."/>
    <x v="3"/>
    <x v="1"/>
    <m/>
    <s v="NCR0403"/>
    <x v="0"/>
    <x v="0"/>
    <x v="0"/>
  </r>
  <r>
    <d v="2021-12-06T00:00:00"/>
    <s v="TIR0152"/>
    <x v="0"/>
    <s v="PM2027"/>
    <n v="603"/>
    <s v="Becon Antenna screw not there(4 missing),_x000a_HC2-Left side hose not availabe,"/>
    <x v="1"/>
    <x v="1"/>
    <m/>
    <x v="3"/>
    <x v="1"/>
    <m/>
    <s v="NCR0361 NCR0362"/>
    <x v="0"/>
    <x v="0"/>
    <x v="0"/>
  </r>
  <r>
    <d v="2021-12-06T00:00:00"/>
    <s v="TIR0158"/>
    <x v="0"/>
    <s v="PM2025"/>
    <n v="411"/>
    <s v="HC1- Electrical Coupler NOK. ( Required Fasteners )."/>
    <x v="1"/>
    <x v="2"/>
    <s v="Waiting for spare part."/>
    <x v="3"/>
    <x v="1"/>
    <m/>
    <s v="NCR0358"/>
    <x v="0"/>
    <x v="0"/>
    <x v="0"/>
  </r>
  <r>
    <d v="2021-12-06T00:00:00"/>
    <s v="TIR0160"/>
    <x v="0"/>
    <s v="PM2031"/>
    <n v="503"/>
    <s v="Gangway lights Dim in Hc1 and Hc2,working inversely"/>
    <x v="1"/>
    <x v="1"/>
    <m/>
    <x v="0"/>
    <x v="0"/>
    <m/>
    <s v="NCR0425"/>
    <x v="0"/>
    <x v="0"/>
    <x v="0"/>
  </r>
  <r>
    <d v="2021-12-06T00:00:00"/>
    <s v="TIR0161"/>
    <x v="0"/>
    <s v="PM2031"/>
    <n v="503"/>
    <s v="HC1 Bogie2 Right- Fuse box glass minor cracked."/>
    <x v="1"/>
    <x v="2"/>
    <m/>
    <x v="3"/>
    <x v="1"/>
    <m/>
    <s v="NCR0429"/>
    <x v="0"/>
    <x v="0"/>
    <x v="0"/>
  </r>
  <r>
    <d v="2021-12-06T00:00:00"/>
    <s v="TIR0162"/>
    <x v="0"/>
    <s v="NA"/>
    <n v="608"/>
    <s v="T608_HC2_AGTU filter locked nut tread damaged."/>
    <x v="1"/>
    <x v="3"/>
    <s v="06/12 : need to change it and normalize."/>
    <x v="0"/>
    <x v="0"/>
    <m/>
    <s v="NCR0357"/>
    <x v="0"/>
    <x v="0"/>
    <x v="0"/>
  </r>
  <r>
    <d v="2021-12-06T00:00:00"/>
    <s v="TIR0163"/>
    <x v="0"/>
    <s v="NA"/>
    <n v="623"/>
    <s v="T623_HC2_RHS_ Sanding rubber hoses damaged - _x000a_1 nos. (DTR0000550155)"/>
    <x v="1"/>
    <x v="1"/>
    <s v="Need to replace "/>
    <x v="3"/>
    <x v="1"/>
    <m/>
    <s v="NCR0361"/>
    <x v="0"/>
    <x v="0"/>
    <x v="0"/>
  </r>
  <r>
    <d v="2021-12-06T00:00:00"/>
    <s v="TIR0164"/>
    <x v="0"/>
    <s v="NA"/>
    <n v="502"/>
    <s v="Sanding rubber hoses missing - 4 nos, clamp - 4pcs. (RIY 000000370)"/>
    <x v="1"/>
    <x v="1"/>
    <s v="Sending hoses need to install "/>
    <x v="3"/>
    <x v="1"/>
    <m/>
    <s v="NCR0360"/>
    <x v="0"/>
    <x v="0"/>
    <x v="0"/>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x v="0"/>
    <m/>
    <s v="NCR409"/>
    <x v="0"/>
    <x v="0"/>
    <x v="0"/>
  </r>
  <r>
    <d v="2021-12-06T00:00:00"/>
    <s v="TIR0144"/>
    <x v="0"/>
    <s v="PM2030"/>
    <n v="623"/>
    <s v="Door-Inter glass Nok ( not closed and locked)"/>
    <x v="0"/>
    <x v="1"/>
    <m/>
    <x v="1"/>
    <x v="0"/>
    <d v="2021-12-19T00:00:00"/>
    <m/>
    <x v="0"/>
    <x v="0"/>
    <x v="0"/>
  </r>
  <r>
    <d v="2021-12-06T00:00:00"/>
    <s v="TIR0147"/>
    <x v="0"/>
    <s v="PM2028"/>
    <n v="608"/>
    <s v="HC1-Headligh LHS white led not ok."/>
    <x v="0"/>
    <x v="1"/>
    <s v="both head light are working fine no issue found "/>
    <x v="1"/>
    <x v="0"/>
    <d v="2021-12-08T00:00:00"/>
    <m/>
    <x v="0"/>
    <x v="0"/>
    <x v="0"/>
  </r>
  <r>
    <d v="2021-12-06T00:00:00"/>
    <s v="TIR0149"/>
    <x v="0"/>
    <s v="PM2028"/>
    <n v="608"/>
    <s v="2. Earth cable not fixed between Permanent coupler _Retofit "/>
    <x v="0"/>
    <x v="2"/>
    <m/>
    <x v="0"/>
    <x v="0"/>
    <m/>
    <s v="NCR359"/>
    <x v="0"/>
    <x v="0"/>
    <x v="0"/>
  </r>
  <r>
    <d v="2021-12-06T00:00:00"/>
    <s v="TIR0153"/>
    <x v="0"/>
    <s v="PM2027"/>
    <n v="603"/>
    <s v="HC1-CAB Headlight Nok(LHS) BLINK,HC2-UNDER seat Light Not lit"/>
    <x v="0"/>
    <x v="1"/>
    <m/>
    <x v="1"/>
    <x v="0"/>
    <d v="2021-12-19T00:00:00"/>
    <m/>
    <x v="0"/>
    <x v="0"/>
    <x v="0"/>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x v="0"/>
    <m/>
    <m/>
    <x v="0"/>
    <x v="0"/>
    <x v="0"/>
  </r>
  <r>
    <d v="2021-12-06T00:00:00"/>
    <s v="TIR0167"/>
    <x v="3"/>
    <s v="Mail"/>
    <n v="619"/>
    <s v="IOS185:1 APC LV Status false, _x000a_IOS179:1 APC MV Status false"/>
    <x v="0"/>
    <x v="2"/>
    <s v="Check logs in the webScope for ACE2 shown the CVS locked due to reversible mode failure.Waiting for CVS software."/>
    <x v="1"/>
    <x v="0"/>
    <m/>
    <m/>
    <x v="0"/>
    <x v="0"/>
    <x v="0"/>
  </r>
  <r>
    <d v="2021-12-06T00:00:00"/>
    <s v="TIR1026"/>
    <x v="3"/>
    <s v="Mail"/>
    <s v="All"/>
    <s v="fake derailment alarm in case of coupling."/>
    <x v="1"/>
    <x v="4"/>
    <s v="CR TCMS to open "/>
    <x v="1"/>
    <x v="0"/>
    <m/>
    <m/>
    <x v="0"/>
    <x v="0"/>
    <x v="0"/>
  </r>
  <r>
    <d v="2021-12-06T00:00:00"/>
    <s v="TIR1027"/>
    <x v="0"/>
    <s v="PM2025"/>
    <n v="411"/>
    <s v="IP offline [ HC1{ Pei5, ]  HC2-SWD.3 NOK"/>
    <x v="1"/>
    <x v="5"/>
    <s v="Replaced a new PEI and updated software OK"/>
    <x v="1"/>
    <x v="0"/>
    <d v="2022-03-15T00:00:00"/>
    <s v="NCR0410"/>
    <x v="0"/>
    <x v="0"/>
    <x v="0"/>
  </r>
  <r>
    <d v="2021-12-07T00:00:00"/>
    <s v="TIR0171"/>
    <x v="6"/>
    <s v="NA"/>
    <n v="403"/>
    <s v="LEDI6-V1 ,LEDI4-V2 error dispaly"/>
    <x v="0"/>
    <x v="0"/>
    <s v="12/9/2021:To investigat_x000a_1/2/2022:Updated LEDI software manually and OK"/>
    <x v="0"/>
    <x v="0"/>
    <d v="2022-01-02T00:00:00"/>
    <s v="NCR0368"/>
    <x v="0"/>
    <x v="0"/>
    <x v="0"/>
  </r>
  <r>
    <d v="2021-12-07T00:00:00"/>
    <s v="TIR0172"/>
    <x v="6"/>
    <s v="NA"/>
    <n v="619"/>
    <s v="LEDI5-V2 dark, and offline"/>
    <x v="0"/>
    <x v="0"/>
    <s v="12/9/2021:To investigate_x000a_1/3/2022:Updated software manually and test OK"/>
    <x v="0"/>
    <x v="0"/>
    <d v="2022-01-03T00:00:00"/>
    <s v="NCR0369"/>
    <x v="0"/>
    <x v="0"/>
    <x v="0"/>
  </r>
  <r>
    <d v="2021-12-07T00:00:00"/>
    <s v="TIR0170"/>
    <x v="3"/>
    <s v="Mail"/>
    <n v="411"/>
    <s v="coupler without electrical coupler cover"/>
    <x v="1"/>
    <x v="1"/>
    <s v="coupler without electrical coupler cover need to install"/>
    <x v="3"/>
    <x v="1"/>
    <m/>
    <s v="NCR0358"/>
    <x v="0"/>
    <x v="0"/>
    <x v="0"/>
  </r>
  <r>
    <d v="2021-12-07T00:00:00"/>
    <s v="TIR0173"/>
    <x v="6"/>
    <s v="NA"/>
    <n v="414"/>
    <s v="LEDI4-V1 dark and offline_x000a_SWD5-V1 dark and offline_x000a_LCD5-V1 error display and offline"/>
    <x v="1"/>
    <x v="0"/>
    <s v="12/9/2021:To investigate_x000a_1/26/2022:Updated software manually and test OK"/>
    <x v="1"/>
    <x v="0"/>
    <d v="2022-01-26T00:00:00"/>
    <s v="NCR0370"/>
    <x v="0"/>
    <x v="0"/>
    <x v="0"/>
  </r>
  <r>
    <d v="2021-12-08T00:00:00"/>
    <s v="TIR0174"/>
    <x v="6"/>
    <s v="NA"/>
    <n v="423"/>
    <s v="LCD6-V1,SWD6-V1,LEDI6-V1 offline_x000a_SWD4-V2 offline and dark_x000a_SWD2-V2 half display"/>
    <x v="0"/>
    <x v="0"/>
    <s v="12/9/2021:To investigate_x000a_1/5/2022:Updated software manually and test OK"/>
    <x v="0"/>
    <x v="0"/>
    <d v="2022-01-09T00:00:00"/>
    <s v="NCR0371"/>
    <x v="0"/>
    <x v="0"/>
    <x v="0"/>
  </r>
  <r>
    <d v="2021-12-08T00:00:00"/>
    <s v="TIR0177"/>
    <x v="0"/>
    <s v="PM2035"/>
    <n v="605"/>
    <s v="HC1-Traction box bottom  cover 1 screw threat issue and 1 screw  broken,_x000a_HC2-Palm 3 cover Nok."/>
    <x v="0"/>
    <x v="2"/>
    <s v="Found 3 screw damaged because not proper installed, make new retreat. Palm tree cover refit and done."/>
    <x v="0"/>
    <x v="0"/>
    <m/>
    <m/>
    <x v="0"/>
    <x v="0"/>
    <x v="0"/>
  </r>
  <r>
    <d v="2021-12-08T00:00:00"/>
    <s v="TIR0178"/>
    <x v="0"/>
    <s v="PM2035"/>
    <n v="605"/>
    <s v="Display Status [ SWD1-V1 NOK,LCD1/V2 ]"/>
    <x v="0"/>
    <x v="0"/>
    <s v="Updated software manually and test OK"/>
    <x v="0"/>
    <x v="0"/>
    <d v="2022-01-27T00:00:00"/>
    <m/>
    <x v="0"/>
    <x v="0"/>
    <x v="0"/>
  </r>
  <r>
    <d v="2021-12-08T00:00:00"/>
    <s v="TIR0183"/>
    <x v="0"/>
    <s v="PM2036"/>
    <n v="606"/>
    <s v="  Display status [ HC2-LCD2-NOK]"/>
    <x v="0"/>
    <x v="0"/>
    <s v="Updated again software manually and test it online and display OK"/>
    <x v="0"/>
    <x v="0"/>
    <d v="2021-12-27T00:00:00"/>
    <m/>
    <x v="0"/>
    <x v="0"/>
    <x v="0"/>
  </r>
  <r>
    <d v="2021-12-08T00:00:00"/>
    <s v="TIR0185"/>
    <x v="0"/>
    <s v="PM2037"/>
    <n v="621"/>
    <s v="DISPLAY -HC2-LCD.2 offline NOK"/>
    <x v="0"/>
    <x v="0"/>
    <s v="Updated again software manually and test it online and display OK"/>
    <x v="0"/>
    <x v="0"/>
    <d v="2021-12-24T00:00:00"/>
    <s v="NCR411"/>
    <x v="0"/>
    <x v="0"/>
    <x v="0"/>
  </r>
  <r>
    <d v="2021-12-08T00:00:00"/>
    <s v="TIR0187"/>
    <x v="0"/>
    <s v="PM2040"/>
    <n v="403"/>
    <s v="HC2 - Saloon lights Dim."/>
    <x v="0"/>
    <x v="1"/>
    <s v="After 110v To 24v coverter output setting now working fine. "/>
    <x v="0"/>
    <x v="0"/>
    <d v="2021-12-16T00:00:00"/>
    <m/>
    <x v="0"/>
    <x v="0"/>
    <x v="0"/>
  </r>
  <r>
    <d v="2021-12-08T00:00:00"/>
    <s v="TIR0188"/>
    <x v="0"/>
    <s v="PM2040"/>
    <n v="403"/>
    <s v="IP offline [ HC1 {  Ledi6 } HC2 { Ledi4 } ]_x000a_Display Status [ HC1 {Ledi6(NOK) } ,HC2 {Ledi4-ERROR} ]"/>
    <x v="0"/>
    <x v="0"/>
    <s v="See TIR171"/>
    <x v="0"/>
    <x v="0"/>
    <d v="2022-01-02T00:00:00"/>
    <m/>
    <x v="0"/>
    <x v="0"/>
    <x v="0"/>
  </r>
  <r>
    <d v="2021-12-08T00:00:00"/>
    <s v="TIR0189"/>
    <x v="0"/>
    <s v="PM2040"/>
    <n v="403"/>
    <s v="HC2 - flange lubricator screw tighten without saftey pin lock"/>
    <x v="0"/>
    <x v="3"/>
    <s v="21/12 : One Safety pin lock missing. Normalized by putting new one "/>
    <x v="0"/>
    <x v="0"/>
    <d v="2021-12-21T00:00:00"/>
    <m/>
    <x v="0"/>
    <x v="0"/>
    <x v="0"/>
  </r>
  <r>
    <d v="2021-12-08T00:00:00"/>
    <s v="TIR0192"/>
    <x v="0"/>
    <s v="PM2041"/>
    <n v="407"/>
    <s v="IP offline: HC1-SWD3, PEI3 HC2- ACE _x000a_                                                           Display Status: SWD3-V1"/>
    <x v="0"/>
    <x v="0"/>
    <s v="Updated software manually and test OK"/>
    <x v="0"/>
    <x v="0"/>
    <d v="2022-01-09T00:00:00"/>
    <m/>
    <x v="0"/>
    <x v="0"/>
    <x v="0"/>
  </r>
  <r>
    <d v="2021-12-08T00:00:00"/>
    <s v="TIR0193"/>
    <x v="0"/>
    <s v="PM2042"/>
    <n v="602"/>
    <s v="HC1-SWD3,LEDI3"/>
    <x v="0"/>
    <x v="0"/>
    <s v="Updated software manually and test OK"/>
    <x v="0"/>
    <x v="0"/>
    <d v="2022-01-09T00:00:00"/>
    <m/>
    <x v="0"/>
    <x v="0"/>
    <x v="0"/>
  </r>
  <r>
    <d v="2021-12-08T00:00:00"/>
    <s v="TIR0194"/>
    <x v="0"/>
    <s v="PM2043"/>
    <n v="617"/>
    <s v="Display status: SWD6 -HC1 ,SWD2-HC2 "/>
    <x v="0"/>
    <x v="0"/>
    <s v="Checked swd6-v1 display ok and online, But SWD2-V2 half display, need to replace it_x000a_1/9/2022:Updated SWD software manually and test OK"/>
    <x v="0"/>
    <x v="0"/>
    <d v="2022-01-09T00:00:00"/>
    <s v="NCR0380"/>
    <x v="0"/>
    <x v="0"/>
    <x v="0"/>
  </r>
  <r>
    <d v="2021-12-08T00:00:00"/>
    <s v="TIR0195"/>
    <x v="0"/>
    <s v="PM2044"/>
    <n v="624"/>
    <s v="Display status: SWD6 -HC1 ,SWD1-HC2 "/>
    <x v="0"/>
    <x v="0"/>
    <s v="Checked the SWD display OK and Online"/>
    <x v="0"/>
    <x v="0"/>
    <d v="2021-12-15T00:00:00"/>
    <m/>
    <x v="0"/>
    <x v="0"/>
    <x v="0"/>
  </r>
  <r>
    <d v="2021-12-08T00:00:00"/>
    <s v="TIR0175"/>
    <x v="0"/>
    <s v="PM2033"/>
    <n v="415"/>
    <s v="Earthing cable is not connected between permanent coupler"/>
    <x v="1"/>
    <x v="1"/>
    <m/>
    <x v="3"/>
    <x v="1"/>
    <m/>
    <s v="NCR0414"/>
    <x v="0"/>
    <x v="0"/>
    <x v="0"/>
  </r>
  <r>
    <d v="2021-12-08T00:00:00"/>
    <s v="TIR0179"/>
    <x v="0"/>
    <s v="PM2035"/>
    <n v="605"/>
    <s v="HC2 Bogie1 LHS Fuse box glass minor cracked."/>
    <x v="1"/>
    <x v="2"/>
    <m/>
    <x v="0"/>
    <x v="0"/>
    <m/>
    <s v="NCR415"/>
    <x v="0"/>
    <x v="0"/>
    <x v="0"/>
  </r>
  <r>
    <d v="2021-12-08T00:00:00"/>
    <s v="TIR0180"/>
    <x v="0"/>
    <s v="PM2035"/>
    <n v="605"/>
    <s v="Jumper MV cable's holding support Plate Not available"/>
    <x v="1"/>
    <x v="2"/>
    <m/>
    <x v="0"/>
    <x v="0"/>
    <m/>
    <s v="NCR416"/>
    <x v="0"/>
    <x v="0"/>
    <x v="0"/>
  </r>
  <r>
    <d v="2021-12-08T00:00:00"/>
    <s v="TIR0181"/>
    <x v="0"/>
    <s v="PM2036"/>
    <n v="606"/>
    <s v="HC2-Saloon Light nok"/>
    <x v="1"/>
    <x v="1"/>
    <m/>
    <x v="0"/>
    <x v="0"/>
    <m/>
    <s v="NCR0407"/>
    <x v="0"/>
    <x v="0"/>
    <x v="0"/>
  </r>
  <r>
    <d v="2021-12-08T00:00:00"/>
    <s v="TIR0182"/>
    <x v="0"/>
    <s v="PM2036"/>
    <n v="606"/>
    <s v="Gangway light mounting nok,there is a gap"/>
    <x v="1"/>
    <x v="1"/>
    <m/>
    <x v="3"/>
    <x v="1"/>
    <m/>
    <s v="NCR0408"/>
    <x v="0"/>
    <x v="0"/>
    <x v="0"/>
  </r>
  <r>
    <d v="2021-12-08T00:00:00"/>
    <s v="TIR0184"/>
    <x v="0"/>
    <s v="PM2036"/>
    <n v="606"/>
    <s v="HC2 Wiper broken."/>
    <x v="1"/>
    <x v="1"/>
    <m/>
    <x v="3"/>
    <x v="1"/>
    <m/>
    <s v="NCR0226"/>
    <x v="0"/>
    <x v="0"/>
    <x v="0"/>
  </r>
  <r>
    <d v="2021-12-08T00:00:00"/>
    <s v="TIR0186"/>
    <x v="0"/>
    <s v="PM2038"/>
    <n v="507"/>
    <s v="HC2-Single Class Fire extingusher not available"/>
    <x v="1"/>
    <x v="1"/>
    <m/>
    <x v="0"/>
    <x v="0"/>
    <m/>
    <s v="NCR0389"/>
    <x v="0"/>
    <x v="0"/>
    <x v="0"/>
  </r>
  <r>
    <d v="2021-12-08T00:00:00"/>
    <s v="TIR0190"/>
    <x v="0"/>
    <s v="PM2040"/>
    <n v="403"/>
    <s v="HC1 AXEL 1,2,3 GEAR BOX OIL LEVEL LOW"/>
    <x v="1"/>
    <x v="3"/>
    <s v="21/12 : leakage found from the inspection cover (gearbox) Axle 2 HC1"/>
    <x v="3"/>
    <x v="1"/>
    <m/>
    <s v="NCR0420"/>
    <x v="0"/>
    <x v="0"/>
    <x v="0"/>
  </r>
  <r>
    <d v="2021-12-08T00:00:00"/>
    <s v="TIR0191"/>
    <x v="0"/>
    <s v="PM2041"/>
    <n v="407"/>
    <s v="HC1:Driver Cab Light not Lit ,Passenger Saloon Light nok(+RP1,RP3),        _x000a_                                                                                                                                                                  HC1&amp;2-Gangway Light Dim"/>
    <x v="1"/>
    <x v="1"/>
    <s v="we fixed other issue but Cab light need to be replaced the Converter 110v to 24v"/>
    <x v="0"/>
    <x v="0"/>
    <m/>
    <s v="NCR0397"/>
    <x v="0"/>
    <x v="0"/>
    <x v="0"/>
  </r>
  <r>
    <d v="2021-12-08T00:00:00"/>
    <s v="TIR0197"/>
    <x v="0"/>
    <s v="PM2043"/>
    <n v="617"/>
    <s v="HC1-CAB HEAD LIGHT LHS_WHITE one LED NOT LIT                      _x000a_                                                                                                                                                                                    HC1-PALM TREE LIGHT NOT LIT           "/>
    <x v="1"/>
    <x v="1"/>
    <m/>
    <x v="0"/>
    <x v="0"/>
    <m/>
    <s v="NCR0378 NCR0379"/>
    <x v="0"/>
    <x v="0"/>
    <x v="0"/>
  </r>
  <r>
    <d v="2021-12-08T00:00:00"/>
    <s v="TIR0198"/>
    <x v="0"/>
    <s v="PM2042"/>
    <n v="502"/>
    <s v="HC2 Axle 4 found minor leakage from the gearbox."/>
    <x v="1"/>
    <x v="3"/>
    <s v="4/1/2022 - NCR create for the drain plug O-ring."/>
    <x v="3"/>
    <x v="1"/>
    <m/>
    <s v="NCR0439"/>
    <x v="0"/>
    <x v="0"/>
    <x v="0"/>
  </r>
  <r>
    <d v="2021-12-08T00:00:00"/>
    <s v="TIR0199"/>
    <x v="0"/>
    <s v="PM2045"/>
    <n v="502"/>
    <s v="Sand hose not available in both HC."/>
    <x v="1"/>
    <x v="3"/>
    <s v="7/12 : NCR open. Waiting the availaibility of parts"/>
    <x v="3"/>
    <x v="1"/>
    <m/>
    <s v="NCR0360"/>
    <x v="0"/>
    <x v="0"/>
    <x v="0"/>
  </r>
  <r>
    <d v="2021-12-08T00:00:00"/>
    <s v="TIR1028"/>
    <x v="0"/>
    <s v="PM2034"/>
    <n v="604"/>
    <s v="HC1-Axle1&amp;2 Gear box oil level low"/>
    <x v="1"/>
    <x v="3"/>
    <s v="02/14 : checked and no leakage found. Need to normalize, level very low for the axle2 Hc1. need to check also for 606 axle 1,3,4 Hc1 and axle3 hc2 level low."/>
    <x v="4"/>
    <x v="1"/>
    <m/>
    <m/>
    <x v="3"/>
    <x v="0"/>
    <x v="0"/>
  </r>
  <r>
    <d v="2021-12-08T00:00:00"/>
    <s v="TIR1029"/>
    <x v="0"/>
    <s v="PM2044"/>
    <n v="624"/>
    <s v="HVAC -Venting error"/>
    <x v="2"/>
    <x v="1"/>
    <m/>
    <x v="1"/>
    <x v="0"/>
    <m/>
    <m/>
    <x v="0"/>
    <x v="0"/>
    <x v="0"/>
  </r>
  <r>
    <d v="2021-12-09T00:00:00"/>
    <s v="TIR0203"/>
    <x v="0"/>
    <s v="Mail"/>
    <n v="616"/>
    <s v="SWD5-V1 half display"/>
    <x v="0"/>
    <x v="0"/>
    <s v="Updated again software manually,and replaced a card inside SWD,  and OK"/>
    <x v="0"/>
    <x v="0"/>
    <d v="2021-12-23T00:00:00"/>
    <s v="NCR374"/>
    <x v="0"/>
    <x v="0"/>
    <x v="0"/>
  </r>
  <r>
    <d v="2021-12-09T00:00:00"/>
    <s v="TIR0205"/>
    <x v="0"/>
    <s v="PM2048"/>
    <n v="610"/>
    <s v="IP-lcd2.v2,lcd5.v2,led5.v2,swd2.v2 offline, _x000a_Display status-LCD1.V1,LCD4.V1,LCD5.V2,LCD3.V2(low light)"/>
    <x v="0"/>
    <x v="0"/>
    <s v="Updated the software and they online, display OK."/>
    <x v="0"/>
    <x v="0"/>
    <m/>
    <m/>
    <x v="0"/>
    <x v="0"/>
    <x v="0"/>
  </r>
  <r>
    <d v="2021-12-09T00:00:00"/>
    <s v="TIR0202"/>
    <x v="3"/>
    <s v="Mail"/>
    <n v="601"/>
    <s v="T601_HC2- missing of sand filter assembly"/>
    <x v="1"/>
    <x v="3"/>
    <s v="12/12 : Confirmed part is missing. Need to normalize. Waiting to confirm the availablity of components from faively."/>
    <x v="3"/>
    <x v="1"/>
    <m/>
    <s v="NCR0375"/>
    <x v="0"/>
    <x v="0"/>
    <x v="0"/>
  </r>
  <r>
    <d v="2021-12-09T00:00:00"/>
    <s v="TIR0204"/>
    <x v="0"/>
    <s v="PM2048"/>
    <n v="610"/>
    <s v="HC1 Headlight one white led not ok."/>
    <x v="1"/>
    <x v="1"/>
    <m/>
    <x v="3"/>
    <x v="1"/>
    <m/>
    <s v="NCR0377"/>
    <x v="0"/>
    <x v="0"/>
    <x v="0"/>
  </r>
  <r>
    <d v="2021-12-09T00:00:00"/>
    <s v="TIR0207"/>
    <x v="0"/>
    <s v="PM2052"/>
    <n v="512"/>
    <s v="HC2- Head Light Nok(LHS 1 white LED not lit)"/>
    <x v="1"/>
    <x v="1"/>
    <m/>
    <x v="3"/>
    <x v="1"/>
    <m/>
    <s v="NCR0422"/>
    <x v="0"/>
    <x v="0"/>
    <x v="0"/>
  </r>
  <r>
    <d v="2021-12-09T00:00:00"/>
    <s v="TIR0208"/>
    <x v="0"/>
    <s v="PM2053"/>
    <n v="513"/>
    <s v="TCN NOK -several devices are  communcation fail "/>
    <x v="3"/>
    <x v="3"/>
    <m/>
    <x v="0"/>
    <x v="0"/>
    <m/>
    <s v="NCR0435"/>
    <x v="0"/>
    <x v="0"/>
    <x v="0"/>
  </r>
  <r>
    <d v="2021-12-09T00:00:00"/>
    <s v="TIR0209"/>
    <x v="0"/>
    <s v="PM2050"/>
    <n v="618"/>
    <s v="Semi permanent coupler earthing bolt is missing,and Earth _x000a_strip is lose both sides."/>
    <x v="1"/>
    <x v="1"/>
    <m/>
    <x v="3"/>
    <x v="1"/>
    <m/>
    <s v="NCR0417"/>
    <x v="0"/>
    <x v="0"/>
    <x v="0"/>
  </r>
  <r>
    <d v="2021-12-09T00:00:00"/>
    <s v="TIR0210"/>
    <x v="0"/>
    <s v="PM2051"/>
    <n v="622"/>
    <s v="Semi permanent coupler earthing bolt is missing."/>
    <x v="1"/>
    <x v="1"/>
    <m/>
    <x v="3"/>
    <x v="1"/>
    <m/>
    <s v="NCR0418"/>
    <x v="0"/>
    <x v="0"/>
    <x v="0"/>
  </r>
  <r>
    <d v="2021-12-09T00:00:00"/>
    <s v="TIR0201"/>
    <x v="3"/>
    <s v="Mail"/>
    <n v="617"/>
    <s v="IOS148 : IES consistency failure"/>
    <x v="0"/>
    <x v="2"/>
    <s v="Checked train in workshop and no issues observed with IES and traction working normal."/>
    <x v="1"/>
    <x v="0"/>
    <m/>
    <m/>
    <x v="0"/>
    <x v="0"/>
    <x v="0"/>
  </r>
  <r>
    <d v="2021-12-09T00:00:00"/>
    <s v="TIR0206"/>
    <x v="0"/>
    <s v="PM2052"/>
    <n v="512"/>
    <s v="HC1-HVAC1 venting error Supply fan 1&amp;2 low and high"/>
    <x v="0"/>
    <x v="1"/>
    <s v="checked by Ahmed"/>
    <x v="1"/>
    <x v="0"/>
    <d v="2022-01-04T00:00:00"/>
    <m/>
    <x v="0"/>
    <x v="0"/>
    <x v="0"/>
  </r>
  <r>
    <d v="2021-12-09T00:00:00"/>
    <s v="TIR0211"/>
    <x v="0"/>
    <s v="PM2049"/>
    <n v="612"/>
    <s v="Semi permanent coupler earthing bolt is missing."/>
    <x v="0"/>
    <x v="1"/>
    <m/>
    <x v="1"/>
    <x v="0"/>
    <d v="2021-12-22T00:00:00"/>
    <m/>
    <x v="0"/>
    <x v="0"/>
    <x v="0"/>
  </r>
  <r>
    <d v="2021-12-12T00:00:00"/>
    <s v="TIR0217"/>
    <x v="0"/>
    <s v="PM2055"/>
    <n v="408"/>
    <s v="HC1- underframe cable no.W07324  ground not connected"/>
    <x v="0"/>
    <x v="3"/>
    <s v="23/12 : Bolt was missing. Normalize by putting new one with 2 washer. "/>
    <x v="0"/>
    <x v="0"/>
    <d v="2021-12-23T00:00:00"/>
    <m/>
    <x v="0"/>
    <x v="0"/>
    <x v="0"/>
  </r>
  <r>
    <d v="2021-12-12T00:00:00"/>
    <s v="TIR0219"/>
    <x v="0"/>
    <s v="PM2056"/>
    <n v="409"/>
    <s v="IP offline - Swd2-v2 _x000a_Display status -Swd2-v2 ( NOK ) "/>
    <x v="0"/>
    <x v="0"/>
    <s v="Updated again software manually and test it online and display OK"/>
    <x v="0"/>
    <x v="0"/>
    <d v="2021-12-27T00:00:00"/>
    <m/>
    <x v="0"/>
    <x v="0"/>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x v="0"/>
    <d v="2022-01-10T00:00:00"/>
    <s v="NCR419"/>
    <x v="0"/>
    <x v="0"/>
    <x v="0"/>
  </r>
  <r>
    <d v="2021-12-12T00:00:00"/>
    <s v="TIR0224"/>
    <x v="0"/>
    <s v="PM2058"/>
    <n v="614"/>
    <s v="IP offline [ HC2 -SWD5  ]_x000a_Display Status [ HC2 {SWD2 HALF }  { SWD5 NOK }"/>
    <x v="0"/>
    <x v="0"/>
    <s v="Replaced a new card inside SWD and updated software manually and OK"/>
    <x v="0"/>
    <x v="0"/>
    <d v="2021-12-30T00:00:00"/>
    <s v="NCR0426"/>
    <x v="0"/>
    <x v="0"/>
    <x v="0"/>
  </r>
  <r>
    <d v="2021-12-12T00:00:00"/>
    <s v="TIR0214"/>
    <x v="0"/>
    <s v="PM2054"/>
    <n v="404"/>
    <s v="HC1 Bogie1- One HV cable gland missing from the underframe JB."/>
    <x v="1"/>
    <x v="2"/>
    <m/>
    <x v="3"/>
    <x v="1"/>
    <m/>
    <s v="NCR0405"/>
    <x v="0"/>
    <x v="0"/>
    <x v="0"/>
  </r>
  <r>
    <d v="2021-12-12T00:00:00"/>
    <s v="TIR0215"/>
    <x v="0"/>
    <s v="PM2054"/>
    <n v="404"/>
    <s v="HC1-GCL fire extinguisher holding plate not assembled_x000a_(so Fire extinguisher not available)"/>
    <x v="1"/>
    <x v="1"/>
    <m/>
    <x v="0"/>
    <x v="0"/>
    <m/>
    <s v="NCR0390"/>
    <x v="0"/>
    <x v="0"/>
    <x v="0"/>
  </r>
  <r>
    <d v="2021-12-12T00:00:00"/>
    <s v="TIR0216"/>
    <x v="0"/>
    <s v="PM2054"/>
    <n v="404"/>
    <s v="HC1-Saloon Light NOk.(Near door 4,black spot)"/>
    <x v="1"/>
    <x v="1"/>
    <m/>
    <x v="0"/>
    <x v="0"/>
    <m/>
    <s v="NCR0391"/>
    <x v="0"/>
    <x v="0"/>
    <x v="0"/>
  </r>
  <r>
    <d v="2021-12-12T00:00:00"/>
    <s v="TIR0218"/>
    <x v="0"/>
    <s v="PM2056"/>
    <n v="409"/>
    <s v="HC1-Gangway lights DIM   HC2- Some saloon lights not ok and some of them are dim."/>
    <x v="1"/>
    <x v="1"/>
    <s v="other issue we fixed but Hc2 saloon light need to be replaced the coverter 110v to 24v"/>
    <x v="0"/>
    <x v="0"/>
    <m/>
    <s v="NCR0398"/>
    <x v="0"/>
    <x v="0"/>
    <x v="0"/>
  </r>
  <r>
    <d v="2021-12-12T00:00:00"/>
    <s v="TIR0220"/>
    <x v="0"/>
    <s v="PM2057"/>
    <n v="611"/>
    <s v="HC2-LHS head light Nok(white one LED)"/>
    <x v="1"/>
    <x v="1"/>
    <m/>
    <x v="3"/>
    <x v="1"/>
    <m/>
    <s v="NCR0383"/>
    <x v="0"/>
    <x v="0"/>
    <x v="0"/>
  </r>
  <r>
    <d v="2021-12-12T00:00:00"/>
    <s v="TIR0221"/>
    <x v="0"/>
    <s v="PM2057"/>
    <n v="611"/>
    <s v="HC1- Near Door3 saloon light spot more brightness,Gangway Light Dim,    _x000a_ HC2-Passenger Saloon Light Not Lit(+RP3)"/>
    <x v="1"/>
    <x v="1"/>
    <s v="Gangway light now working fine but RP3 light converter need to replace "/>
    <x v="0"/>
    <x v="0"/>
    <m/>
    <s v="NCR0384"/>
    <x v="0"/>
    <x v="0"/>
    <x v="0"/>
  </r>
  <r>
    <d v="2021-12-12T00:00:00"/>
    <s v="TIR0223"/>
    <x v="0"/>
    <s v="PM2057"/>
    <n v="611"/>
    <s v="Hc2- gearbox #4oil level below minimum"/>
    <x v="3"/>
    <x v="3"/>
    <s v="13/12 : leakage found from the inspection cover (gearbox)"/>
    <x v="0"/>
    <x v="0"/>
    <m/>
    <s v="NCR0382"/>
    <x v="0"/>
    <x v="0"/>
    <x v="0"/>
  </r>
  <r>
    <d v="2021-12-13T00:00:00"/>
    <s v="TIR0228"/>
    <x v="0"/>
    <s v="PM2065"/>
    <n v="515"/>
    <s v="TCN-Fail  for Netbox,Netmm1.local,netmm2.local,netmm.virt.local-IP offline"/>
    <x v="0"/>
    <x v="3"/>
    <s v="28/12 : Breakers was OFF. All equipments are online after switch ON the breakers."/>
    <x v="0"/>
    <x v="0"/>
    <d v="2021-12-28T00:00:00"/>
    <m/>
    <x v="0"/>
    <x v="0"/>
    <x v="0"/>
  </r>
  <r>
    <d v="2021-12-13T00:00:00"/>
    <s v="TIR0225"/>
    <x v="6"/>
    <s v="NA"/>
    <n v="608"/>
    <s v="LEDI4-V1 Dark issue_x000a_LCD2-V2 deem issue                                                                                                                                                                                                                                                                                                                                SWD3-V1 half display"/>
    <x v="1"/>
    <x v="0"/>
    <s v="updated software manually and test ok"/>
    <x v="0"/>
    <x v="0"/>
    <d v="2022-01-19T00:00:00"/>
    <s v="NCR0386"/>
    <x v="0"/>
    <x v="0"/>
    <x v="0"/>
  </r>
  <r>
    <d v="2021-12-13T00:00:00"/>
    <s v="TIR0226"/>
    <x v="6"/>
    <s v="NA"/>
    <n v="626"/>
    <s v="LCD6-V2 dark issue"/>
    <x v="1"/>
    <x v="0"/>
    <s v="Updated LCD software manually and test OK"/>
    <x v="1"/>
    <x v="0"/>
    <d v="2022-01-26T00:00:00"/>
    <s v="NCR0387"/>
    <x v="0"/>
    <x v="0"/>
    <x v="0"/>
  </r>
  <r>
    <d v="2021-12-13T00:00:00"/>
    <s v="TIR0227"/>
    <x v="0"/>
    <s v="PM2065"/>
    <n v="508"/>
    <s v="HC1 1 bolt ,HC2 2 bolt not available in Becon Antenna"/>
    <x v="1"/>
    <x v="3"/>
    <s v="27/12 : Bolt missing. DTR sent to check if we have in the warehouse."/>
    <x v="3"/>
    <x v="1"/>
    <m/>
    <s v="NCR0432"/>
    <x v="0"/>
    <x v="0"/>
    <x v="0"/>
  </r>
  <r>
    <d v="2021-12-13T00:00:00"/>
    <s v="TIR0229"/>
    <x v="0"/>
    <s v="PM2065"/>
    <n v="515"/>
    <s v="HC1-flange lubricator saftey pin missing"/>
    <x v="1"/>
    <x v="3"/>
    <s v="27/12 : 2 safety pin missing. spare not available. Waiting to order and normalize by putting the missing part"/>
    <x v="3"/>
    <x v="1"/>
    <m/>
    <s v="NCR0433"/>
    <x v="0"/>
    <x v="0"/>
    <x v="0"/>
  </r>
  <r>
    <d v="2021-12-13T00:00:00"/>
    <s v="TIR0230"/>
    <x v="4"/>
    <s v="NA"/>
    <n v="625"/>
    <s v="IOS275: Communication Loss of CRS 1 (HC1)"/>
    <x v="3"/>
    <x v="3"/>
    <s v="14/12 : hardware issue coming from DC/DC converter. Need to replace it."/>
    <x v="0"/>
    <x v="0"/>
    <m/>
    <s v="NCR0388"/>
    <x v="0"/>
    <x v="0"/>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x v="0"/>
    <d v="2021-12-20T00:00:00"/>
    <s v="NCR404"/>
    <x v="0"/>
    <x v="0"/>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x v="1"/>
    <m/>
    <s v="NCR0427"/>
    <x v="0"/>
    <x v="0"/>
    <x v="0"/>
  </r>
  <r>
    <d v="2021-12-14T00:00:00"/>
    <s v="TIR0233"/>
    <x v="0"/>
    <s v="PM2072"/>
    <n v="619"/>
    <s v="HC1(CVS BOX) GASKET DAMAGE"/>
    <x v="0"/>
    <x v="2"/>
    <m/>
    <x v="1"/>
    <x v="0"/>
    <m/>
    <m/>
    <x v="0"/>
    <x v="0"/>
    <x v="0"/>
  </r>
  <r>
    <d v="2021-12-14T00:00:00"/>
    <s v="TIR1031"/>
    <x v="0"/>
    <s v="PM2068"/>
    <n v="406"/>
    <s v="HC-02, celling panel near to gangway screw is not alligned"/>
    <x v="1"/>
    <x v="5"/>
    <m/>
    <x v="1"/>
    <x v="0"/>
    <d v="2022-01-30T00:00:00"/>
    <m/>
    <x v="0"/>
    <x v="0"/>
    <x v="0"/>
  </r>
  <r>
    <d v="2021-12-15T00:00:00"/>
    <s v="TIR0235"/>
    <x v="6"/>
    <s v="NA"/>
    <n v="624"/>
    <s v="SWD4-V2 half display"/>
    <x v="0"/>
    <x v="0"/>
    <s v="Replaced a card and updated software manually OK"/>
    <x v="0"/>
    <x v="0"/>
    <d v="2022-01-02T00:00:00"/>
    <s v="NCR0392"/>
    <x v="0"/>
    <x v="0"/>
    <x v="0"/>
  </r>
  <r>
    <d v="2021-12-15T00:00:00"/>
    <s v="TIR0239"/>
    <x v="0"/>
    <s v="PM2076"/>
    <n v="416"/>
    <s v="HC1-Paration door interglass fail to close (stuck)"/>
    <x v="0"/>
    <x v="1"/>
    <s v="after the door Adjustments door working fine"/>
    <x v="0"/>
    <x v="0"/>
    <d v="2021-12-30T00:00:00"/>
    <m/>
    <x v="0"/>
    <x v="0"/>
    <x v="0"/>
  </r>
  <r>
    <d v="2021-12-15T00:00:00"/>
    <s v="TIR0240"/>
    <x v="0"/>
    <s v="PM2077"/>
    <n v="424"/>
    <s v="HC1-Palm Tree 2 Light-Dim"/>
    <x v="0"/>
    <x v="1"/>
    <s v="set the output of 110V TO 24V coverter now working fine"/>
    <x v="0"/>
    <x v="0"/>
    <d v="2021-12-19T00:00:00"/>
    <m/>
    <x v="0"/>
    <x v="0"/>
    <x v="0"/>
  </r>
  <r>
    <d v="2021-12-15T00:00:00"/>
    <s v="TIR0241"/>
    <x v="0"/>
    <s v="PM2077"/>
    <n v="424"/>
    <s v="IP-ledi4.v1 offline"/>
    <x v="0"/>
    <x v="0"/>
    <s v="Updated software manually and test OK"/>
    <x v="0"/>
    <x v="0"/>
    <d v="2021-12-30T00:00:00"/>
    <m/>
    <x v="0"/>
    <x v="0"/>
    <x v="0"/>
  </r>
  <r>
    <d v="2021-12-15T00:00:00"/>
    <s v="TIR0243"/>
    <x v="0"/>
    <s v="PM2077"/>
    <n v="424"/>
    <s v="HC2 : BOGIE NO 2  -WFL LOCKING SAFETY PIN IS MISSING"/>
    <x v="0"/>
    <x v="3"/>
    <s v="21/12 : Two saftey pin lock missing. Normalized by putting now one "/>
    <x v="0"/>
    <x v="0"/>
    <m/>
    <m/>
    <x v="0"/>
    <x v="0"/>
    <x v="0"/>
  </r>
  <r>
    <d v="2021-12-15T00:00:00"/>
    <s v="TIR0236"/>
    <x v="6"/>
    <s v="NA"/>
    <n v="612"/>
    <s v="LCD1_V1 ,LCD4-V1 ;LCD2-V2,LCD3-V2 deem issue_x000a_LCD5-V2 offline and dark issue"/>
    <x v="1"/>
    <x v="0"/>
    <s v="updated software manually and test ok"/>
    <x v="0"/>
    <x v="0"/>
    <d v="2022-01-19T00:00:00"/>
    <s v="NCR0393"/>
    <x v="0"/>
    <x v="0"/>
    <x v="0"/>
  </r>
  <r>
    <d v="2021-12-15T00:00:00"/>
    <s v="TIR0244"/>
    <x v="0"/>
    <s v="PM2078"/>
    <n v="613"/>
    <s v="Display status: lcd4.v1(dim)"/>
    <x v="1"/>
    <x v="0"/>
    <s v="Updated LCD software manually and test OK"/>
    <x v="0"/>
    <x v="0"/>
    <d v="2022-01-27T00:00:00"/>
    <s v="NCR413"/>
    <x v="0"/>
    <x v="0"/>
    <x v="0"/>
  </r>
  <r>
    <d v="2021-12-15T00:00:00"/>
    <s v="TIR0242"/>
    <x v="0"/>
    <s v="PM2077"/>
    <n v="424"/>
    <s v="HC1: TRACTION BOX PANEL COVER( LINE CONTACTING COVER)_x000a_ LOCK IS NOT WORKING )"/>
    <x v="0"/>
    <x v="2"/>
    <m/>
    <x v="1"/>
    <x v="0"/>
    <m/>
    <m/>
    <x v="0"/>
    <x v="0"/>
    <x v="0"/>
  </r>
  <r>
    <d v="2021-12-15T00:00:00"/>
    <s v="TIR0245"/>
    <x v="0"/>
    <s v="PM2078"/>
    <n v="613"/>
    <s v="HC1: CVS filter tap screw missing( Tap damage)"/>
    <x v="0"/>
    <x v="2"/>
    <m/>
    <x v="1"/>
    <x v="0"/>
    <m/>
    <m/>
    <x v="0"/>
    <x v="0"/>
    <x v="0"/>
  </r>
  <r>
    <d v="2021-12-15T00:00:00"/>
    <s v="TIR0246"/>
    <x v="0"/>
    <s v="PM2080"/>
    <n v="626"/>
    <s v="HC-02, celling panel near to gangway screw is not alligned"/>
    <x v="0"/>
    <x v="1"/>
    <m/>
    <x v="1"/>
    <x v="0"/>
    <d v="2022-01-02T00:00:00"/>
    <m/>
    <x v="0"/>
    <x v="0"/>
    <x v="0"/>
  </r>
  <r>
    <d v="2021-12-15T00:00:00"/>
    <s v="TIR1032"/>
    <x v="0"/>
    <s v="PM2075"/>
    <n v="414"/>
    <s v="HC2: WFL (Wheel flange Lubricator) SAFETY PIN IS MISSING( 2 NOS)"/>
    <x v="1"/>
    <x v="3"/>
    <m/>
    <x v="2"/>
    <x v="1"/>
    <m/>
    <m/>
    <x v="0"/>
    <x v="0"/>
    <x v="0"/>
  </r>
  <r>
    <d v="2021-12-15T00:00:00"/>
    <s v="TIR1033"/>
    <x v="0"/>
    <s v="PM2075"/>
    <n v="414"/>
    <s v="HC1-Inter glass door much noise when open."/>
    <x v="1"/>
    <x v="1"/>
    <s v="After Adjustment of door no more noise"/>
    <x v="0"/>
    <x v="0"/>
    <d v="2022-01-13T00:00:00"/>
    <m/>
    <x v="0"/>
    <x v="0"/>
    <x v="0"/>
  </r>
  <r>
    <d v="2021-12-15T00:00:00"/>
    <s v="TIR1034"/>
    <x v="0"/>
    <s v="PM2082"/>
    <n v="519"/>
    <s v="HC2-B2-Axle3 found minor leakage  "/>
    <x v="1"/>
    <x v="3"/>
    <m/>
    <x v="3"/>
    <x v="1"/>
    <m/>
    <s v="NCR1034"/>
    <x v="3"/>
    <x v="0"/>
    <x v="0"/>
  </r>
  <r>
    <d v="2021-12-16T00:00:00"/>
    <s v="TIR0249"/>
    <x v="6"/>
    <s v="NA"/>
    <n v="609"/>
    <s v="LCD5-V1 white display issue"/>
    <x v="0"/>
    <x v="0"/>
    <s v="Updated software manually and test OK"/>
    <x v="0"/>
    <x v="0"/>
    <d v="2021-12-30T00:00:00"/>
    <s v="NCR402"/>
    <x v="0"/>
    <x v="0"/>
    <x v="0"/>
  </r>
  <r>
    <d v="2021-12-16T00:00:00"/>
    <s v="TIR0250"/>
    <x v="6"/>
    <s v="NA"/>
    <n v="602"/>
    <s v="SWD2-V1,LEDI3-V1,swd5-v2 dark and offline"/>
    <x v="0"/>
    <x v="0"/>
    <s v="Updated software manually and test OK"/>
    <x v="0"/>
    <x v="0"/>
    <d v="2021-12-30T00:00:00"/>
    <s v="NCR400"/>
    <x v="0"/>
    <x v="0"/>
    <x v="0"/>
  </r>
  <r>
    <d v="2021-12-16T00:00:00"/>
    <s v="TIR0248"/>
    <x v="6"/>
    <s v="NA"/>
    <n v="416"/>
    <s v="LCD6-V2 deem issue"/>
    <x v="1"/>
    <x v="0"/>
    <s v="Update software manually and test Ok"/>
    <x v="0"/>
    <x v="0"/>
    <d v="2022-01-19T00:00:00"/>
    <s v="NCR0401"/>
    <x v="0"/>
    <x v="0"/>
    <x v="0"/>
  </r>
  <r>
    <d v="2021-12-16T00:00:00"/>
    <s v="TIR0251"/>
    <x v="0"/>
    <s v="PM2086"/>
    <n v="501"/>
    <s v="HC2-DOOR2 indication not lit"/>
    <x v="1"/>
    <x v="1"/>
    <m/>
    <x v="3"/>
    <x v="1"/>
    <m/>
    <s v="NCR0430"/>
    <x v="0"/>
    <x v="0"/>
    <x v="0"/>
  </r>
  <r>
    <d v="2021-12-16T00:00:00"/>
    <s v="TIR0253"/>
    <x v="0"/>
    <s v="PM2086"/>
    <n v="501"/>
    <s v="HC2-Sleep push button not working."/>
    <x v="1"/>
    <x v="3"/>
    <m/>
    <x v="0"/>
    <x v="0"/>
    <m/>
    <s v="NCR0434"/>
    <x v="0"/>
    <x v="0"/>
    <x v="0"/>
  </r>
  <r>
    <d v="2021-12-16T00:00:00"/>
    <s v="TIR0252"/>
    <x v="0"/>
    <s v="PM2086"/>
    <n v="501"/>
    <s v="HC2-Under seat Light not Lit in the  first class"/>
    <x v="0"/>
    <x v="1"/>
    <m/>
    <x v="1"/>
    <x v="0"/>
    <d v="2021-12-23T00:00:00"/>
    <m/>
    <x v="0"/>
    <x v="0"/>
    <x v="0"/>
  </r>
  <r>
    <d v="2021-12-19T00:00:00"/>
    <s v="TIR0255"/>
    <x v="6"/>
    <s v="NA"/>
    <s v="413_x000a_615_x000a_612"/>
    <s v="IOS071"/>
    <x v="0"/>
    <x v="4"/>
    <s v="EAD not correctly use"/>
    <x v="0"/>
    <x v="0"/>
    <m/>
    <m/>
    <x v="0"/>
    <x v="0"/>
    <x v="0"/>
  </r>
  <r>
    <d v="2021-12-19T00:00:00"/>
    <s v="TIR0254"/>
    <x v="6"/>
    <s v="NA"/>
    <n v="610"/>
    <s v="IOS14 : 19 Oct 2021"/>
    <x v="0"/>
    <x v="4"/>
    <m/>
    <x v="1"/>
    <x v="0"/>
    <m/>
    <m/>
    <x v="0"/>
    <x v="0"/>
    <x v="0"/>
  </r>
  <r>
    <d v="2021-12-19T00:00:00"/>
    <s v="TIR0256"/>
    <x v="6"/>
    <s v="NA"/>
    <n v="403"/>
    <s v="IOS084 : sleeping relays discordance"/>
    <x v="0"/>
    <x v="3"/>
    <s v="SLV : ATC live signal issue"/>
    <x v="1"/>
    <x v="0"/>
    <d v="2021-12-19T00:00:00"/>
    <m/>
    <x v="0"/>
    <x v="0"/>
    <x v="0"/>
  </r>
  <r>
    <d v="2021-12-20T00:00:00"/>
    <s v="TIR0259"/>
    <x v="4"/>
    <s v="NA"/>
    <n v="608"/>
    <s v="PM team IOS180 : 1 APC major failure"/>
    <x v="0"/>
    <x v="2"/>
    <s v="Found SI_XP-FAN3 connector disconnected as per picture below. _x000a_Normalized and tested. No more failure observed"/>
    <x v="0"/>
    <x v="0"/>
    <m/>
    <m/>
    <x v="0"/>
    <x v="0"/>
    <x v="0"/>
  </r>
  <r>
    <d v="2021-12-20T00:00:00"/>
    <s v="TIR0261"/>
    <x v="0"/>
    <s v="PM2095"/>
    <n v="412"/>
    <s v="HC2:SEALING PANEL ALLEN SCREW MISSING"/>
    <x v="0"/>
    <x v="1"/>
    <s v="fixed the scew no more issue "/>
    <x v="0"/>
    <x v="0"/>
    <d v="2021-12-23T00:00:00"/>
    <m/>
    <x v="0"/>
    <x v="0"/>
    <x v="0"/>
  </r>
  <r>
    <d v="2021-12-20T00:00:00"/>
    <s v="TIR0262"/>
    <x v="0"/>
    <s v="PM2096"/>
    <n v="603"/>
    <s v="IP-LCD1.V1,LED1.V1,SWD1.V1 OFFLINE Dispaly status_LCD5.V1 white screen"/>
    <x v="0"/>
    <x v="0"/>
    <m/>
    <x v="1"/>
    <x v="0"/>
    <d v="2022-03-16T00:00:00"/>
    <m/>
    <x v="0"/>
    <x v="0"/>
    <x v="0"/>
  </r>
  <r>
    <d v="2021-12-20T00:00:00"/>
    <s v="TIR0263"/>
    <x v="0"/>
    <s v="PM2096"/>
    <n v="603"/>
    <s v="HC1 SEALING PANEL NO 1  2ALLEN SCREWS ARE MISSING._x000a_HC2 SEALING PANEL NEAR TO GANGWAY ALLEN SCREW HEAD DAMAGE._x000a_HC2 PANEL 1  HAND RAIL SCREW MISSING AND 2ALLEN SCREW MISSING."/>
    <x v="0"/>
    <x v="1"/>
    <s v="all issue solved"/>
    <x v="0"/>
    <x v="0"/>
    <d v="2021-12-23T00:00:00"/>
    <m/>
    <x v="0"/>
    <x v="0"/>
    <x v="0"/>
  </r>
  <r>
    <d v="2021-12-20T00:00:00"/>
    <s v="TIR0264"/>
    <x v="0"/>
    <s v="PM2096"/>
    <n v="608"/>
    <s v="HC1&amp;HC2 NEAR TO GANGWAY SEALING PANEL 2ALLEN SCREW MISSING_x000a_HC2 HAND RAIL NEAR TO DOOR NO3 SCREW WAS MISSING"/>
    <x v="0"/>
    <x v="1"/>
    <s v="Fixed the all issue "/>
    <x v="0"/>
    <x v="0"/>
    <d v="2021-12-29T00:00:00"/>
    <m/>
    <x v="0"/>
    <x v="0"/>
    <x v="0"/>
  </r>
  <r>
    <d v="2021-12-20T00:00:00"/>
    <s v="TIR0265"/>
    <x v="0"/>
    <s v="PM2096"/>
    <n v="608"/>
    <s v="led6.v2-IP offline ;  Display status:  swd2.v2(half),swd3.v1(half)"/>
    <x v="1"/>
    <x v="0"/>
    <s v="SWD3-V1 half display issue, updated software manually and test ok"/>
    <x v="1"/>
    <x v="0"/>
    <d v="2022-01-19T00:00:00"/>
    <m/>
    <x v="0"/>
    <x v="0"/>
    <x v="0"/>
  </r>
  <r>
    <d v="2021-12-20T00:00:00"/>
    <s v="TIR0268"/>
    <x v="0"/>
    <s v="PM2099"/>
    <n v="623"/>
    <s v="one of the bolt is wrong threaded on the converter side panel -didn’t open this panel as we don’t have tapping bit for the M6 bolt          "/>
    <x v="0"/>
    <x v="1"/>
    <s v="Replaced the new Srew and fixer"/>
    <x v="0"/>
    <x v="0"/>
    <d v="2021-12-21T00:00:00"/>
    <s v="NCR421"/>
    <x v="0"/>
    <x v="0"/>
    <x v="0"/>
  </r>
  <r>
    <d v="2021-12-20T00:00:00"/>
    <s v="TIR0269"/>
    <x v="0"/>
    <s v="PM2099"/>
    <n v="623"/>
    <s v="led light cover not installed (close to RP3 carB)."/>
    <x v="0"/>
    <x v="0"/>
    <s v="removed out the cover beside and Installed again the cover OK"/>
    <x v="0"/>
    <x v="0"/>
    <d v="2021-12-20T00:00:00"/>
    <m/>
    <x v="0"/>
    <x v="0"/>
    <x v="0"/>
  </r>
  <r>
    <d v="2021-12-20T00:00:00"/>
    <s v="TIR0258"/>
    <x v="6"/>
    <s v="NA"/>
    <n v="412"/>
    <s v="LCD3-V2 dim issue"/>
    <x v="1"/>
    <x v="0"/>
    <s v="Updated LCD software manually and test OK"/>
    <x v="0"/>
    <x v="0"/>
    <d v="2022-01-27T00:00:00"/>
    <s v="NCR0412"/>
    <x v="0"/>
    <x v="0"/>
    <x v="0"/>
  </r>
  <r>
    <d v="2021-12-20T00:00:00"/>
    <s v="TIR0260"/>
    <x v="0"/>
    <s v="PM2094"/>
    <n v="411"/>
    <s v="HC2-near door3 one seat not closing"/>
    <x v="1"/>
    <x v="1"/>
    <m/>
    <x v="0"/>
    <x v="0"/>
    <m/>
    <s v="NCR0424"/>
    <x v="0"/>
    <x v="0"/>
    <x v="0"/>
  </r>
  <r>
    <d v="2021-12-20T00:00:00"/>
    <s v="TIR1036"/>
    <x v="0"/>
    <s v="PM2098"/>
    <n v="609"/>
    <s v="HC2 PANEL NO1 ALLEN SCREW MISSING._x000a_HC2 NEAR DOOR2 SEALING PANEL ALLEN SCREW MISSING._x000a_HC1&amp;HC2NEAR TO GANGWAY PANEL ALLEN SCREWS ARE MISSING."/>
    <x v="1"/>
    <x v="1"/>
    <m/>
    <x v="3"/>
    <x v="1"/>
    <m/>
    <s v="NCR1076"/>
    <x v="0"/>
    <x v="0"/>
    <x v="0"/>
  </r>
  <r>
    <d v="2021-12-20T00:00:00"/>
    <s v="TIR1037"/>
    <x v="0"/>
    <s v="PM2098"/>
    <n v="609"/>
    <s v="Gangway 2 Locks are missing."/>
    <x v="1"/>
    <x v="1"/>
    <m/>
    <x v="3"/>
    <x v="1"/>
    <m/>
    <s v="NCR0446"/>
    <x v="0"/>
    <x v="0"/>
    <x v="0"/>
  </r>
  <r>
    <d v="2021-12-21T00:00:00"/>
    <s v="TIR0270"/>
    <x v="6"/>
    <m/>
    <n v="618"/>
    <s v="LCD1-V1 offline and error display;SWD3-V1 offline"/>
    <x v="0"/>
    <x v="0"/>
    <s v="Updated software manually and test OK"/>
    <x v="0"/>
    <x v="0"/>
    <d v="2021-12-30T00:00:00"/>
    <s v="NCR423"/>
    <x v="0"/>
    <x v="0"/>
    <x v="0"/>
  </r>
  <r>
    <d v="2021-12-21T00:00:00"/>
    <s v="TIR0273"/>
    <x v="0"/>
    <s v="PM2104"/>
    <n v="605"/>
    <s v="HC2 NEAR GANGWAY PANEL1-1ALLEN SREW 1DAMAGE._x000a_HC1 NEAR GANGWAY PANEL1-1ALLEN SREW 1DAMAGE._x000a_HC2 ROOF PANEL1-1ALLEN SCREW MISSING._x000a_HC2 HANDRAIL SCREW ONE DAMAGE."/>
    <x v="0"/>
    <x v="1"/>
    <s v="all issue solved"/>
    <x v="0"/>
    <x v="0"/>
    <d v="2021-12-23T00:00:00"/>
    <m/>
    <x v="0"/>
    <x v="0"/>
    <x v="0"/>
  </r>
  <r>
    <d v="2021-12-21T00:00:00"/>
    <s v="TIR0275"/>
    <x v="0"/>
    <s v="PM2105"/>
    <n v="606"/>
    <s v="Display Status: lcd1.v2(err),swd1.v1(err)"/>
    <x v="0"/>
    <x v="0"/>
    <s v="Updated software manually and test OK"/>
    <x v="0"/>
    <x v="0"/>
    <d v="2021-12-30T00:00:00"/>
    <s v="NCR373"/>
    <x v="0"/>
    <x v="0"/>
    <x v="0"/>
  </r>
  <r>
    <d v="2021-12-21T00:00:00"/>
    <s v="TIR1038"/>
    <x v="0"/>
    <s v="PM2102"/>
    <n v="415"/>
    <s v="HC1 ROOF PANEL1 ALLEN SREW 1MISSING AND 1DAMAGE_x000a_HC2 ROOF PANEL1 ALLEN SREW1DAMAGE."/>
    <x v="1"/>
    <x v="1"/>
    <s v="Need to fixed nut missing not in stock 02-01-2022"/>
    <x v="3"/>
    <x v="1"/>
    <m/>
    <s v="NCR1038"/>
    <x v="0"/>
    <x v="0"/>
    <x v="0"/>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1T00:00:00"/>
    <s v="TIR1040"/>
    <x v="0"/>
    <s v="PM2104"/>
    <n v="605"/>
    <s v="hc2 sanding reservoir for re-filling (empty)"/>
    <x v="1"/>
    <x v="3"/>
    <s v="16/02 : level HC1 very low and HC2 also need to normalize"/>
    <x v="4"/>
    <x v="1"/>
    <m/>
    <m/>
    <x v="0"/>
    <x v="0"/>
    <x v="0"/>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x v="1"/>
    <m/>
    <s v="NCR1041"/>
    <x v="0"/>
    <x v="0"/>
    <x v="0"/>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2T00:00:00"/>
    <s v="TIR0279"/>
    <x v="0"/>
    <s v="PM2109"/>
    <n v="403"/>
    <s v="HC1 PANEL 1- 1 ALLEN SCREW MISSING"/>
    <x v="0"/>
    <x v="1"/>
    <s v="fixed the issue "/>
    <x v="0"/>
    <x v="0"/>
    <m/>
    <m/>
    <x v="0"/>
    <x v="0"/>
    <x v="0"/>
  </r>
  <r>
    <d v="2021-12-22T00:00:00"/>
    <s v="TIR0281"/>
    <x v="0"/>
    <s v="PM2110"/>
    <n v="407"/>
    <s v="HVAC1.V2_loss of communication ;IOS250 : One HVAC have a communication fault"/>
    <x v="0"/>
    <x v="2"/>
    <s v="Checked  by MPU logs and also by train tracer. No issues were observed. "/>
    <x v="0"/>
    <x v="0"/>
    <d v="2022-01-05T00:00:00"/>
    <m/>
    <x v="0"/>
    <x v="0"/>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x v="0"/>
    <d v="2022-01-05T00:00:00"/>
    <m/>
    <x v="0"/>
    <x v="0"/>
    <x v="0"/>
  </r>
  <r>
    <d v="2021-12-22T00:00:00"/>
    <s v="TIR0283"/>
    <x v="0"/>
    <s v="PM2110"/>
    <n v="407"/>
    <s v="HC2 PANEL 1 - 1 ALLEN SCREW MISSING_x000a_HC1 PANEL NEAR TO GANGWAY - 1 ALLEN SCREW MISSING"/>
    <x v="0"/>
    <x v="1"/>
    <s v="fixed the screw"/>
    <x v="0"/>
    <x v="0"/>
    <d v="2022-01-02T00:00:00"/>
    <m/>
    <x v="0"/>
    <x v="0"/>
    <x v="0"/>
  </r>
  <r>
    <d v="2021-12-22T00:00:00"/>
    <s v="TIR0284"/>
    <x v="0"/>
    <s v="PM2112"/>
    <n v="617"/>
    <s v="HC1 PANEL 1 - 1 ALLEN SCREW MISSING"/>
    <x v="0"/>
    <x v="1"/>
    <s v="issue solved"/>
    <x v="0"/>
    <x v="0"/>
    <d v="2021-12-23T00:00:00"/>
    <m/>
    <x v="0"/>
    <x v="0"/>
    <x v="0"/>
  </r>
  <r>
    <d v="2021-12-22T00:00:00"/>
    <s v="TIR0285"/>
    <x v="0"/>
    <s v="PM2112"/>
    <n v="617"/>
    <s v="HVAC1.V2(NOT successful in MonA TEST PROTCOL)"/>
    <x v="0"/>
    <x v="0"/>
    <s v="Updated software and test HVAC 4 compressors working ok"/>
    <x v="0"/>
    <x v="0"/>
    <d v="2022-01-02T00:00:00"/>
    <m/>
    <x v="0"/>
    <x v="0"/>
    <x v="0"/>
  </r>
  <r>
    <d v="2021-12-22T00:00:00"/>
    <s v="TIR0286"/>
    <x v="0"/>
    <s v="PM2114"/>
    <n v="503"/>
    <s v="IOS243 : One TRS Or NETBOX have a communication fault"/>
    <x v="0"/>
    <x v="2"/>
    <s v="Found CB72Q04 were off."/>
    <x v="0"/>
    <x v="0"/>
    <m/>
    <m/>
    <x v="0"/>
    <x v="0"/>
    <x v="0"/>
  </r>
  <r>
    <d v="2021-12-22T00:00:00"/>
    <s v="TIR0280"/>
    <x v="0"/>
    <s v="PM2110"/>
    <n v="407"/>
    <s v="hc2 gb#1 leakage"/>
    <x v="1"/>
    <x v="2"/>
    <m/>
    <x v="3"/>
    <x v="1"/>
    <m/>
    <s v="NCR0443"/>
    <x v="0"/>
    <x v="0"/>
    <x v="0"/>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x v="0"/>
    <m/>
    <s v="NCR0435"/>
    <x v="0"/>
    <x v="0"/>
    <x v="0"/>
  </r>
  <r>
    <d v="2021-12-22T00:00:00"/>
    <s v="TIR1043"/>
    <x v="0"/>
    <s v="PM2109"/>
    <n v="403"/>
    <s v="IOS1 : One compressor out of service indication"/>
    <x v="2"/>
    <x v="2"/>
    <m/>
    <x v="1"/>
    <x v="0"/>
    <d v="2022-01-06T00:00:00"/>
    <m/>
    <x v="0"/>
    <x v="0"/>
    <x v="0"/>
  </r>
  <r>
    <d v="2021-12-23T00:00:00"/>
    <s v="TIR0288"/>
    <x v="0"/>
    <s v="NA"/>
    <n v="410"/>
    <s v="LCD2-V2 dim issue"/>
    <x v="1"/>
    <x v="0"/>
    <s v="Updated LCD software manually and test OK"/>
    <x v="0"/>
    <x v="0"/>
    <d v="2022-01-27T00:00:00"/>
    <s v="NCR0428"/>
    <x v="0"/>
    <x v="0"/>
    <x v="0"/>
  </r>
  <r>
    <d v="2021-12-23T00:00:00"/>
    <s v="TIR0289"/>
    <x v="3"/>
    <s v="Mail"/>
    <n v="624"/>
    <s v="door open immediately in UTO.Door#2, hc2 DCU ios 18."/>
    <x v="0"/>
    <x v="1"/>
    <s v="in mpu logs on 23-Dec EED was failure after rest no more issue ."/>
    <x v="1"/>
    <x v="0"/>
    <d v="2021-12-23T00:00:00"/>
    <m/>
    <x v="0"/>
    <x v="0"/>
    <x v="0"/>
  </r>
  <r>
    <d v="2021-12-26T00:00:00"/>
    <s v="TIR0292"/>
    <x v="0"/>
    <s v="PM2118"/>
    <n v="612"/>
    <s v="HC1 Panel 1 allenkey screw missing"/>
    <x v="0"/>
    <x v="1"/>
    <s v="used new Screw"/>
    <x v="0"/>
    <x v="0"/>
    <d v="2022-01-04T00:00:00"/>
    <m/>
    <x v="0"/>
    <x v="0"/>
    <x v="0"/>
  </r>
  <r>
    <d v="2021-12-26T00:00:00"/>
    <s v="TIR0293"/>
    <x v="0"/>
    <s v="PM2119"/>
    <n v="618"/>
    <s v="Swd3-V1 NOK , Lcd1.V1 Error"/>
    <x v="0"/>
    <x v="0"/>
    <s v="Updated software manually and test OK"/>
    <x v="0"/>
    <x v="0"/>
    <d v="2021-12-30T00:00:00"/>
    <m/>
    <x v="0"/>
    <x v="0"/>
    <x v="0"/>
  </r>
  <r>
    <d v="2021-12-26T00:00:00"/>
    <s v="TIR0294"/>
    <x v="0"/>
    <s v="PM2120"/>
    <n v="618"/>
    <s v="HC2 Panel near to door 3 one allenkey screw missing"/>
    <x v="0"/>
    <x v="1"/>
    <s v="fixed the screw"/>
    <x v="0"/>
    <x v="0"/>
    <d v="2022-01-02T00:00:00"/>
    <m/>
    <x v="0"/>
    <x v="0"/>
    <x v="0"/>
  </r>
  <r>
    <d v="2021-12-26T00:00:00"/>
    <s v="TIR0295"/>
    <x v="0"/>
    <s v="PM2121"/>
    <n v="622"/>
    <s v="HC2 Panel near to door 3 one allenkey screw missing"/>
    <x v="0"/>
    <x v="1"/>
    <s v="fixed the screw"/>
    <x v="0"/>
    <x v="0"/>
    <d v="2022-01-02T00:00:00"/>
    <m/>
    <x v="0"/>
    <x v="0"/>
    <x v="0"/>
  </r>
  <r>
    <d v="2021-12-26T00:00:00"/>
    <s v="TIR0298"/>
    <x v="0"/>
    <s v="PM2124"/>
    <n v="518"/>
    <s v="Inter Glass door not  closed completely."/>
    <x v="0"/>
    <x v="2"/>
    <s v="The door leaf were not aligned, after make adjustment and test no more issue."/>
    <x v="0"/>
    <x v="0"/>
    <d v="2022-01-06T00:00:00"/>
    <m/>
    <x v="0"/>
    <x v="0"/>
    <x v="0"/>
  </r>
  <r>
    <d v="2021-12-26T00:00:00"/>
    <s v="TIR1044"/>
    <x v="0"/>
    <s v="PM2116"/>
    <n v="402"/>
    <s v="HC1 Panel 1 allenkey screw missing"/>
    <x v="1"/>
    <x v="1"/>
    <s v="need to replace the 3 nut(out of stock 05-Jan-2022)"/>
    <x v="3"/>
    <x v="1"/>
    <m/>
    <s v="NCR1044"/>
    <x v="0"/>
    <x v="0"/>
    <x v="0"/>
  </r>
  <r>
    <d v="2021-12-26T00:00:00"/>
    <s v="TIR1045"/>
    <x v="0"/>
    <s v="PM2117"/>
    <n v="610"/>
    <s v="HVAC2-V2 Exaust air fan low and high faulty."/>
    <x v="1"/>
    <x v="1"/>
    <m/>
    <x v="2"/>
    <x v="1"/>
    <m/>
    <m/>
    <x v="0"/>
    <x v="0"/>
    <x v="0"/>
  </r>
  <r>
    <d v="2021-12-26T00:00:00"/>
    <s v="TIR1046"/>
    <x v="0"/>
    <s v="PM2122"/>
    <n v="517"/>
    <s v="HC2-B2 -Axle4 minor leakge from top door of  gearbox.(GASKET )-s.no C484"/>
    <x v="1"/>
    <x v="3"/>
    <m/>
    <x v="2"/>
    <x v="1"/>
    <m/>
    <m/>
    <x v="0"/>
    <x v="0"/>
    <x v="0"/>
  </r>
  <r>
    <d v="2021-12-26T00:00:00"/>
    <s v="TIR1047"/>
    <x v="0"/>
    <s v="PM2123"/>
    <n v="518"/>
    <s v="HC2-LCD3 not available"/>
    <x v="1"/>
    <x v="0"/>
    <m/>
    <x v="2"/>
    <x v="1"/>
    <m/>
    <m/>
    <x v="0"/>
    <x v="0"/>
    <x v="0"/>
  </r>
  <r>
    <d v="2021-12-28T00:00:00"/>
    <s v="TIR0299"/>
    <x v="0"/>
    <s v="PM2087"/>
    <n v="410"/>
    <s v="lcd2.v2 not clear display"/>
    <x v="0"/>
    <x v="0"/>
    <s v="Checked in NCR428"/>
    <x v="0"/>
    <x v="0"/>
    <d v="2021-12-30T00:00:00"/>
    <m/>
    <x v="0"/>
    <x v="0"/>
    <x v="0"/>
  </r>
  <r>
    <d v="2021-12-28T00:00:00"/>
    <s v="TIR0302"/>
    <x v="0"/>
    <s v="PM2088"/>
    <n v="418"/>
    <s v="HC2 ROOF PANEL 1-2ALLEN SCREWS ARE MISSING._x000a_HC1 ROOF PANEL 1-2ALLEN SCREWS ARE MISSING."/>
    <x v="0"/>
    <x v="1"/>
    <s v="  new Screw putted"/>
    <x v="0"/>
    <x v="0"/>
    <d v="2021-12-30T00:00:00"/>
    <m/>
    <x v="0"/>
    <x v="0"/>
    <x v="0"/>
  </r>
  <r>
    <d v="2021-12-28T00:00:00"/>
    <s v="TIR0303"/>
    <x v="0"/>
    <s v="PM2090"/>
    <n v="422"/>
    <s v="HC2 PANEL 1 - 1ALLEN SCREW MISSING, 1 DAMAGE_x000a_HC1 PANEL NEAR TO GANGWAY - 1 ALLEN SCREW MISSING"/>
    <x v="0"/>
    <x v="1"/>
    <s v="used the new screw "/>
    <x v="0"/>
    <x v="0"/>
    <d v="2022-01-09T00:00:00"/>
    <m/>
    <x v="0"/>
    <x v="0"/>
    <x v="0"/>
  </r>
  <r>
    <d v="2021-12-28T00:00:00"/>
    <s v="TIR0308"/>
    <x v="0"/>
    <s v="PM2140"/>
    <n v="616"/>
    <s v="HC1 PANEL 1 -1 ALLEN SCREW MISSING_x000a_HC2 PANEL 1 -1ALLEN SCREW MISSING_x000a_HC2 HAND RAIL SCREW 1 MISSING"/>
    <x v="0"/>
    <x v="1"/>
    <s v="used new Screw"/>
    <x v="0"/>
    <x v="0"/>
    <d v="2022-01-04T00:00:00"/>
    <m/>
    <x v="0"/>
    <x v="0"/>
    <x v="0"/>
  </r>
  <r>
    <d v="2021-12-28T00:00:00"/>
    <s v="TIR0309"/>
    <x v="0"/>
    <s v="PM2140"/>
    <n v="616"/>
    <s v="IP- lcd3-v1 offline ,Display status-Not WORKING_x000a_LCD3 HC1"/>
    <x v="0"/>
    <x v="0"/>
    <s v="Update LCD sofware manually and test ok"/>
    <x v="0"/>
    <x v="0"/>
    <d v="2022-01-06T00:00:00"/>
    <m/>
    <x v="0"/>
    <x v="0"/>
    <x v="0"/>
  </r>
  <r>
    <d v="2021-12-28T00:00:00"/>
    <s v="TIR0314"/>
    <x v="0"/>
    <s v="PM2132"/>
    <n v="601"/>
    <s v="HC1_ battery switch not working."/>
    <x v="0"/>
    <x v="2"/>
    <s v="Checked the switch were working properly but no battery voltage available due to 52Q14 in LVB were switch off."/>
    <x v="0"/>
    <x v="0"/>
    <d v="2022-01-05T00:00:00"/>
    <m/>
    <x v="0"/>
    <x v="0"/>
    <x v="0"/>
  </r>
  <r>
    <d v="2021-12-28T00:00:00"/>
    <s v="TIR0316"/>
    <x v="0"/>
    <s v="PM2134"/>
    <n v="615"/>
    <s v="lcd1 v1 showing not available-OFFLINE and Blank display"/>
    <x v="0"/>
    <x v="0"/>
    <s v="Update software manually and test Ok"/>
    <x v="0"/>
    <x v="0"/>
    <d v="2022-01-03T00:00:00"/>
    <m/>
    <x v="0"/>
    <x v="0"/>
    <x v="0"/>
  </r>
  <r>
    <d v="2021-12-28T00:00:00"/>
    <s v="TIR0321"/>
    <x v="0"/>
    <s v="PM2126"/>
    <n v="611"/>
    <s v="HVAC AND UMC IN RED COLOR AUTOTEST"/>
    <x v="0"/>
    <x v="0"/>
    <s v="Found HVAC1-V2 offline and recovered it and  HVAC autotest OK"/>
    <x v="0"/>
    <x v="0"/>
    <d v="2022-01-09T00:00:00"/>
    <m/>
    <x v="0"/>
    <x v="0"/>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x v="0"/>
    <d v="2022-01-05T00:00:00"/>
    <m/>
    <x v="0"/>
    <x v="0"/>
    <x v="0"/>
  </r>
  <r>
    <d v="2021-12-28T00:00:00"/>
    <s v="TIR0323"/>
    <x v="0"/>
    <s v="PM2126"/>
    <n v="611"/>
    <s v="HC2 PANEL NEAR TO DOOR 3 - 1 ALLEN SCREW IS DAMAGE"/>
    <x v="0"/>
    <x v="1"/>
    <s v="repaired the screw"/>
    <x v="0"/>
    <x v="0"/>
    <d v="2021-12-30T00:00:00"/>
    <m/>
    <x v="0"/>
    <x v="0"/>
    <x v="0"/>
  </r>
  <r>
    <d v="2021-12-28T00:00:00"/>
    <s v="TIR0327"/>
    <x v="0"/>
    <s v="PM2129"/>
    <n v="507"/>
    <s v="IOS243 : One TRS Or NETBOX have a communication fault,netmm2.local IP offline"/>
    <x v="0"/>
    <x v="2"/>
    <s v="Checked and found power connector were wrongly connected."/>
    <x v="0"/>
    <x v="0"/>
    <d v="2022-01-02T00:00:00"/>
    <m/>
    <x v="0"/>
    <x v="0"/>
    <x v="0"/>
  </r>
  <r>
    <d v="2021-12-28T00:00:00"/>
    <s v="TIR0302"/>
    <x v="0"/>
    <s v="PM2090"/>
    <n v="620"/>
    <s v="ONE INTERNAL GANG COVER MISSING"/>
    <x v="1"/>
    <x v="1"/>
    <m/>
    <x v="3"/>
    <x v="1"/>
    <m/>
    <s v="NCR0439"/>
    <x v="0"/>
    <x v="0"/>
    <x v="0"/>
  </r>
  <r>
    <d v="2021-12-28T00:00:00"/>
    <s v="TIR0307"/>
    <x v="0"/>
    <s v="PM2139"/>
    <n v="613"/>
    <s v="Display Status: Not WORKING_x000a_LCD 4 HC1"/>
    <x v="1"/>
    <x v="0"/>
    <s v="Updated LCD software manually and test OK"/>
    <x v="1"/>
    <x v="0"/>
    <d v="2022-01-27T00:00:00"/>
    <s v="NCR413"/>
    <x v="0"/>
    <x v="0"/>
    <x v="0"/>
  </r>
  <r>
    <d v="2021-12-28T00:00:00"/>
    <s v="TIR0313"/>
    <x v="0"/>
    <s v="PM2132"/>
    <n v="601"/>
    <s v="gangways panels are not able to closed"/>
    <x v="1"/>
    <x v="1"/>
    <s v="Need to replace the side panel drum"/>
    <x v="3"/>
    <x v="1"/>
    <m/>
    <s v="NCR0441"/>
    <x v="0"/>
    <x v="0"/>
    <x v="0"/>
  </r>
  <r>
    <d v="2021-12-28T00:00:00"/>
    <s v="TIR0315"/>
    <x v="0"/>
    <s v="PM2133"/>
    <n v="607"/>
    <s v="HC1 GEAR BOX 2 OIL LEVEL IS BELOW MIN"/>
    <x v="3"/>
    <x v="3"/>
    <m/>
    <x v="0"/>
    <x v="0"/>
    <m/>
    <s v="NCR450"/>
    <x v="0"/>
    <x v="0"/>
    <x v="0"/>
  </r>
  <r>
    <d v="2021-12-28T00:00:00"/>
    <s v="TIR0325"/>
    <x v="0"/>
    <s v="PM2128"/>
    <n v="504"/>
    <s v="Gangway Panel has  scractch &amp;Lock missing"/>
    <x v="1"/>
    <x v="3"/>
    <s v="Gangway cover need to paint and change the lock according to new retofit process."/>
    <x v="3"/>
    <x v="1"/>
    <m/>
    <s v="NCR0437"/>
    <x v="0"/>
    <x v="0"/>
    <x v="0"/>
  </r>
  <r>
    <d v="2021-12-28T00:00:00"/>
    <s v="TIR0326"/>
    <x v="0"/>
    <s v="PM2129"/>
    <n v="507"/>
    <s v="CCD to JB_ HV  cable support clamp missing,HC1_bogie2 Left,HC2-Bogie1,2-Right "/>
    <x v="1"/>
    <x v="3"/>
    <m/>
    <x v="3"/>
    <x v="1"/>
    <m/>
    <s v="NCR0436"/>
    <x v="0"/>
    <x v="0"/>
    <x v="0"/>
  </r>
  <r>
    <d v="2021-12-28T00:00:00"/>
    <s v="TIR0300"/>
    <x v="0"/>
    <s v="PM2088"/>
    <n v="418"/>
    <s v="hc1 ace box 1 lock defective"/>
    <x v="0"/>
    <x v="1"/>
    <s v="all locks are good"/>
    <x v="1"/>
    <x v="0"/>
    <d v="2021-12-30T00:00:00"/>
    <m/>
    <x v="0"/>
    <x v="0"/>
    <x v="0"/>
  </r>
  <r>
    <d v="2021-12-28T00:00:00"/>
    <s v="TIR1048"/>
    <x v="0"/>
    <s v="PM2088"/>
    <n v="418"/>
    <s v="lcd1.v1,equipement not responding with IP scanner"/>
    <x v="1"/>
    <x v="0"/>
    <s v="Update software manually and test Ok"/>
    <x v="0"/>
    <x v="0"/>
    <d v="2022-01-19T00:00:00"/>
    <m/>
    <x v="0"/>
    <x v="0"/>
    <x v="0"/>
  </r>
  <r>
    <d v="2021-12-28T00:00:00"/>
    <s v="TIR1049"/>
    <x v="0"/>
    <s v="PM2132"/>
    <n v="601"/>
    <s v="Hc2- gearbox #2 oil level below minimum"/>
    <x v="1"/>
    <x v="3"/>
    <m/>
    <x v="4"/>
    <x v="1"/>
    <m/>
    <m/>
    <x v="3"/>
    <x v="0"/>
    <x v="0"/>
  </r>
  <r>
    <d v="2021-12-28T00:00:00"/>
    <s v="TIR1050"/>
    <x v="0"/>
    <s v="PM2137"/>
    <n v="406"/>
    <s v="IP-OFFLINE- ledi4-v2   Display Status: not working SWD-2&amp;6 HC1_x000a_LED 4 HC2"/>
    <x v="1"/>
    <x v="5"/>
    <m/>
    <x v="1"/>
    <x v="0"/>
    <d v="2022-03-17T00:00:00"/>
    <m/>
    <x v="0"/>
    <x v="0"/>
    <x v="0"/>
  </r>
  <r>
    <d v="2021-12-28T00:00:00"/>
    <s v="TIR1051"/>
    <x v="0"/>
    <s v="PM2141"/>
    <n v="505"/>
    <s v="HC1-HVAC1_compressor2 Loud noise"/>
    <x v="1"/>
    <x v="1"/>
    <m/>
    <x v="2"/>
    <x v="1"/>
    <m/>
    <m/>
    <x v="0"/>
    <x v="0"/>
    <x v="0"/>
  </r>
  <r>
    <d v="2021-12-28T00:00:00"/>
    <s v="TIR1052"/>
    <x v="0"/>
    <s v="PM2141"/>
    <n v="505"/>
    <s v="HC1-swd.4-Half broken ,Ledi4-blank"/>
    <x v="1"/>
    <x v="0"/>
    <m/>
    <x v="2"/>
    <x v="1"/>
    <m/>
    <m/>
    <x v="0"/>
    <x v="0"/>
    <x v="0"/>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x v="0"/>
    <d v="2022-01-24T00:00:00"/>
    <m/>
    <x v="0"/>
    <x v="0"/>
    <x v="0"/>
  </r>
  <r>
    <d v="2021-12-28T00:00:00"/>
    <s v="TIR1054"/>
    <x v="0"/>
    <s v="PM2134"/>
    <n v="615"/>
    <s v="hvac2 car1 heater 1 not released"/>
    <x v="1"/>
    <x v="1"/>
    <m/>
    <x v="1"/>
    <x v="0"/>
    <d v="2022-01-17T00:00:00"/>
    <m/>
    <x v="0"/>
    <x v="0"/>
    <x v="0"/>
  </r>
  <r>
    <d v="2021-12-28T00:00:00"/>
    <s v="TIR1055"/>
    <x v="0"/>
    <s v="PM2135"/>
    <n v="508"/>
    <s v="Hc2-Hvac2 Low pressure in Line2"/>
    <x v="2"/>
    <x v="2"/>
    <m/>
    <x v="0"/>
    <x v="0"/>
    <m/>
    <s v="NCR1055"/>
    <x v="0"/>
    <x v="0"/>
    <x v="0"/>
  </r>
  <r>
    <d v="2021-12-28T00:00:00"/>
    <s v="TIR1056"/>
    <x v="0"/>
    <s v="PM2123"/>
    <n v="404"/>
    <s v="hc1 gearbox 1&amp;2 oil level below minimum"/>
    <x v="1"/>
    <x v="2"/>
    <s v="Checked and no leakage were found and only need to topup the gearbox oil."/>
    <x v="0"/>
    <x v="0"/>
    <m/>
    <s v="NCR1056"/>
    <x v="0"/>
    <x v="0"/>
    <x v="0"/>
  </r>
  <r>
    <d v="2021-12-28T00:00:00"/>
    <s v="TIR1057"/>
    <x v="0"/>
    <s v="PM2124"/>
    <n v="408"/>
    <s v="LED5 CAR1 ON PLAM TREE NOT OK BUT IP STATUS OK"/>
    <x v="1"/>
    <x v="0"/>
    <s v="Updated software manuall and test OK"/>
    <x v="0"/>
    <x v="0"/>
    <d v="2022-01-11T00:00:00"/>
    <m/>
    <x v="0"/>
    <x v="0"/>
    <x v="0"/>
  </r>
  <r>
    <d v="2021-12-28T00:00:00"/>
    <s v="TIR1058"/>
    <x v="0"/>
    <s v="PM2127"/>
    <n v="614"/>
    <s v="Display Status [ HC2 {SWD2-blank }  { SWD5- No image }"/>
    <x v="1"/>
    <x v="0"/>
    <s v="Update software manually and test Ok"/>
    <x v="0"/>
    <x v="0"/>
    <d v="2022-02-06T00:00:00"/>
    <m/>
    <x v="4"/>
    <x v="0"/>
    <x v="0"/>
  </r>
  <r>
    <d v="2021-12-29T00:00:00"/>
    <s v="TIR0329"/>
    <x v="0"/>
    <s v="PM2147"/>
    <n v="619"/>
    <s v="swd4-v2 not ok, ledi5-v2 not ok"/>
    <x v="0"/>
    <x v="0"/>
    <s v="update software manually and test OK"/>
    <x v="0"/>
    <x v="0"/>
    <d v="2022-01-03T00:00:00"/>
    <m/>
    <x v="0"/>
    <x v="0"/>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x v="0"/>
    <d v="2022-01-02T00:00:00"/>
    <m/>
    <x v="0"/>
    <x v="0"/>
    <x v="0"/>
  </r>
  <r>
    <d v="2021-12-29T00:00:00"/>
    <s v="TIR0335"/>
    <x v="0"/>
    <s v="PM2156"/>
    <n v="501"/>
    <s v="TCN-BRIO4/HC2 RED,Brio4/v2 IP offline;IOS244 : Communication Loss with one other BRIO"/>
    <x v="0"/>
    <x v="2"/>
    <s v="Checked and observed Etheret cable were not connected, after reconnect check by IP scanner and all online."/>
    <x v="0"/>
    <x v="0"/>
    <d v="2022-01-02T00:00:00"/>
    <m/>
    <x v="0"/>
    <x v="0"/>
    <x v="0"/>
  </r>
  <r>
    <d v="2021-12-29T00:00:00"/>
    <s v="TIR0339"/>
    <x v="0"/>
    <s v="PM2154"/>
    <n v="623"/>
    <s v="led6 car2 not ok -IP offline and led6 car2 on condition. its showing no signal."/>
    <x v="0"/>
    <x v="0"/>
    <s v="Update the software manually and test OK"/>
    <x v="0"/>
    <x v="0"/>
    <d v="2022-01-02T00:00:00"/>
    <m/>
    <x v="0"/>
    <x v="0"/>
    <x v="0"/>
  </r>
  <r>
    <d v="2021-12-29T00:00:00"/>
    <s v="TIR0336"/>
    <x v="0"/>
    <s v="PM2156"/>
    <n v="501"/>
    <s v="HC2- Bogie1 left side derailment sensor cable clamp missing"/>
    <x v="2"/>
    <x v="2"/>
    <m/>
    <x v="3"/>
    <x v="1"/>
    <m/>
    <s v="NCR0438"/>
    <x v="0"/>
    <x v="0"/>
    <x v="0"/>
  </r>
  <r>
    <d v="2021-12-29T00:00:00"/>
    <s v="TIR0341"/>
    <x v="0"/>
    <s v="PM2155"/>
    <n v="625"/>
    <s v="swd3 car1 blank not powered up and ip scanner shown ok"/>
    <x v="1"/>
    <x v="0"/>
    <s v="Updated software manually and test OK"/>
    <x v="0"/>
    <x v="0"/>
    <d v="2022-01-19T00:00:00"/>
    <s v="NCR440"/>
    <x v="0"/>
    <x v="0"/>
    <x v="0"/>
  </r>
  <r>
    <d v="2021-12-29T00:00:00"/>
    <s v="TIR0331"/>
    <x v="0"/>
    <s v="PM2150"/>
    <n v="519"/>
    <s v="HC2-Using Battery2 can not wakeup the train from both HC"/>
    <x v="1"/>
    <x v="3"/>
    <m/>
    <x v="1"/>
    <x v="0"/>
    <m/>
    <m/>
    <x v="0"/>
    <x v="0"/>
    <x v="0"/>
  </r>
  <r>
    <d v="2021-12-29T00:00:00"/>
    <s v="TIR0340"/>
    <x v="0"/>
    <s v="PM2154"/>
    <n v="623"/>
    <s v="hvac1 car1 heater1 not released"/>
    <x v="0"/>
    <x v="1"/>
    <m/>
    <x v="1"/>
    <x v="0"/>
    <d v="2022-01-05T00:00:00"/>
    <m/>
    <x v="0"/>
    <x v="0"/>
    <x v="0"/>
  </r>
  <r>
    <d v="2021-12-29T00:00:00"/>
    <s v="TIR1059"/>
    <x v="0"/>
    <s v="PM2144"/>
    <n v="414"/>
    <s v="Semi Permanent coupler grounding bolt missing"/>
    <x v="1"/>
    <x v="1"/>
    <m/>
    <x v="0"/>
    <x v="0"/>
    <m/>
    <s v="NCR1059"/>
    <x v="0"/>
    <x v="0"/>
    <x v="0"/>
  </r>
  <r>
    <d v="2021-12-29T00:00:00"/>
    <s v="TIR1060"/>
    <x v="0"/>
    <s v="PM2147"/>
    <n v="619"/>
    <s v="HVAC1 CAR2 TEST PROTOCOL SHOWING default :  DF1005_EXFL,DF1006_EmExF"/>
    <x v="2"/>
    <x v="1"/>
    <m/>
    <x v="1"/>
    <x v="0"/>
    <d v="2022-01-31T00:00:00"/>
    <m/>
    <x v="0"/>
    <x v="0"/>
    <x v="0"/>
  </r>
  <r>
    <d v="2021-12-29T00:00:00"/>
    <s v="TIR1061"/>
    <x v="0"/>
    <s v="PM2144"/>
    <n v="414"/>
    <s v="Swd4-V1 Dark, Lcd5-V1 offline"/>
    <x v="1"/>
    <x v="0"/>
    <s v="Updated software manually and test OK"/>
    <x v="0"/>
    <x v="0"/>
    <d v="2022-01-13T00:00:00"/>
    <m/>
    <x v="0"/>
    <x v="0"/>
    <x v="0"/>
  </r>
  <r>
    <d v="2021-12-29T00:00:00"/>
    <s v="TIR1062"/>
    <x v="0"/>
    <s v="PM2147"/>
    <n v="619"/>
    <s v="HC2-CCC rubber missing."/>
    <x v="1"/>
    <x v="1"/>
    <m/>
    <x v="2"/>
    <x v="1"/>
    <m/>
    <m/>
    <x v="0"/>
    <x v="0"/>
    <x v="0"/>
  </r>
  <r>
    <d v="2021-12-29T00:00:00"/>
    <s v="TIR1063"/>
    <x v="0"/>
    <s v="PM2152"/>
    <n v="419"/>
    <s v="IOS21 : Minor fault on 1 brake unit"/>
    <x v="1"/>
    <x v="3"/>
    <s v="20/01/2022: Test in the mainline , No issue found"/>
    <x v="1"/>
    <x v="0"/>
    <d v="2022-01-20T00:00:00"/>
    <m/>
    <x v="0"/>
    <x v="0"/>
    <x v="0"/>
  </r>
  <r>
    <d v="2021-12-29T00:00:00"/>
    <s v="TIR1064"/>
    <x v="0"/>
    <s v="PM2153"/>
    <n v="423"/>
    <s v="car2 swd2 one display blank no image"/>
    <x v="1"/>
    <x v="0"/>
    <s v="Updated SWD2-V2 and test ok"/>
    <x v="0"/>
    <x v="0"/>
    <d v="2022-01-19T00:00:00"/>
    <m/>
    <x v="0"/>
    <x v="0"/>
    <x v="0"/>
  </r>
  <r>
    <d v="2021-12-30T00:00:00"/>
    <s v="TIR0343"/>
    <x v="0"/>
    <s v="PM2158"/>
    <n v="410"/>
    <s v="gangway internal cover is missing"/>
    <x v="1"/>
    <x v="1"/>
    <m/>
    <x v="3"/>
    <x v="1"/>
    <m/>
    <s v="NCR0445"/>
    <x v="0"/>
    <x v="0"/>
    <x v="0"/>
  </r>
  <r>
    <d v="2021-12-30T00:00:00"/>
    <s v="TIR1066"/>
    <x v="0"/>
    <s v="PM2160"/>
    <n v="421"/>
    <s v="CAR2 HVAC1,HVAC2,DF 1005_EXFL,DF 1006_EMEXF,_x000a_EXHAUST AIR FAN LOW,_x000a_EXHAUST AIR FAN HIGH."/>
    <x v="1"/>
    <x v="1"/>
    <m/>
    <x v="2"/>
    <x v="1"/>
    <m/>
    <m/>
    <x v="0"/>
    <x v="0"/>
    <x v="0"/>
  </r>
  <r>
    <d v="2021-12-30T00:00:00"/>
    <s v="TIR1067"/>
    <x v="0"/>
    <s v="PM2161"/>
    <n v="422"/>
    <s v="led1 car2 physically off condition and ip also off"/>
    <x v="1"/>
    <x v="0"/>
    <s v="1/13/2022:To update LED software manually _x000a_2/23/2022:Updated software manually and test ok"/>
    <x v="0"/>
    <x v="0"/>
    <d v="2022-02-23T00:00:00"/>
    <m/>
    <x v="0"/>
    <x v="0"/>
    <x v="0"/>
  </r>
  <r>
    <d v="2021-12-30T00:00:00"/>
    <s v="TIR1068"/>
    <x v="0"/>
    <s v="PM2163"/>
    <n v="511"/>
    <s v="Gangway 2 Lock Nok"/>
    <x v="1"/>
    <x v="3"/>
    <m/>
    <x v="3"/>
    <x v="1"/>
    <m/>
    <s v="NCR1068"/>
    <x v="0"/>
    <x v="0"/>
    <x v="0"/>
  </r>
  <r>
    <d v="2022-01-02T00:00:00"/>
    <s v="TIR0350"/>
    <x v="0"/>
    <s v="PM2165"/>
    <n v="412"/>
    <s v="Pei1 car2(physically activated)-IP offline,IOS_195,196,202,203"/>
    <x v="0"/>
    <x v="0"/>
    <s v="Found PEI1-V2 component failure and replaced a new PEI and test no more ios report"/>
    <x v="0"/>
    <x v="0"/>
    <d v="2022-01-10T00:00:00"/>
    <s v="NCR0451"/>
    <x v="2"/>
    <x v="2"/>
    <x v="0"/>
  </r>
  <r>
    <d v="2022-01-02T00:00:00"/>
    <s v="TIR0349"/>
    <x v="0"/>
    <s v="PM2165"/>
    <n v="412"/>
    <s v="GANGWAY INTERNAL PANELS ARE MISSING"/>
    <x v="1"/>
    <x v="1"/>
    <m/>
    <x v="3"/>
    <x v="1"/>
    <m/>
    <s v="NCR0444"/>
    <x v="5"/>
    <x v="3"/>
    <x v="0"/>
  </r>
  <r>
    <d v="2022-01-02T00:00:00"/>
    <s v="TIR1065"/>
    <x v="4"/>
    <s v="NA"/>
    <n v="412"/>
    <s v="more then 10kph speed on WM/DM"/>
    <x v="3"/>
    <x v="1"/>
    <s v="Update the MPU software"/>
    <x v="0"/>
    <x v="0"/>
    <m/>
    <m/>
    <x v="6"/>
    <x v="3"/>
    <x v="0"/>
  </r>
  <r>
    <d v="2022-01-02T00:00:00"/>
    <s v="TIR1069"/>
    <x v="0"/>
    <s v="PM2169"/>
    <n v="516"/>
    <s v="Gangway Panel Lock 3 no.s Nok"/>
    <x v="1"/>
    <x v="3"/>
    <m/>
    <x v="3"/>
    <x v="1"/>
    <m/>
    <s v="NCR1069"/>
    <x v="5"/>
    <x v="3"/>
    <x v="0"/>
  </r>
  <r>
    <d v="2022-01-02T00:00:00"/>
    <s v="TIR1070"/>
    <x v="0"/>
    <s v="PM2164"/>
    <n v="411"/>
    <s v="HC1-Bogie2 Oil level AXLE 1 LOW, AXLE 2 VERY LOW"/>
    <x v="1"/>
    <x v="3"/>
    <s v="31/01 : checked and level is not too low. Maybe it was normalize between."/>
    <x v="4"/>
    <x v="1"/>
    <m/>
    <m/>
    <x v="3"/>
    <x v="3"/>
    <x v="0"/>
  </r>
  <r>
    <d v="2022-01-02T00:00:00"/>
    <s v="TIR1071"/>
    <x v="0"/>
    <s v="PM2166"/>
    <n v="603"/>
    <s v="hc2 bogie1 left CC corner was damaged"/>
    <x v="2"/>
    <x v="1"/>
    <m/>
    <x v="0"/>
    <x v="0"/>
    <m/>
    <s v="NCR1071"/>
    <x v="3"/>
    <x v="4"/>
    <x v="0"/>
  </r>
  <r>
    <d v="2022-01-02T00:00:00"/>
    <s v="TIR1072"/>
    <x v="0"/>
    <s v="PM2166"/>
    <n v="603"/>
    <s v="hc2 left sanding hose missing"/>
    <x v="1"/>
    <x v="1"/>
    <m/>
    <x v="3"/>
    <x v="1"/>
    <m/>
    <s v=" NCR0362"/>
    <x v="3"/>
    <x v="0"/>
    <x v="0"/>
  </r>
  <r>
    <d v="2022-01-02T00:00:00"/>
    <s v="TIR1073"/>
    <x v="0"/>
    <s v="PM2166"/>
    <n v="603"/>
    <s v="GANGWAY INTERNAL cover missing hc1 right"/>
    <x v="1"/>
    <x v="1"/>
    <m/>
    <x v="3"/>
    <x v="1"/>
    <m/>
    <s v="NCR1073"/>
    <x v="5"/>
    <x v="3"/>
    <x v="0"/>
  </r>
  <r>
    <d v="2022-01-02T00:00:00"/>
    <s v="TIR1074"/>
    <x v="0"/>
    <s v="PM2167"/>
    <n v="609"/>
    <s v="Hc2 gb# 3 oil level below minimum"/>
    <x v="3"/>
    <x v="1"/>
    <m/>
    <x v="0"/>
    <x v="0"/>
    <m/>
    <s v="NCR1074"/>
    <x v="3"/>
    <x v="3"/>
    <x v="0"/>
  </r>
  <r>
    <d v="2022-01-02T00:00:00"/>
    <s v="TIR1075"/>
    <x v="0"/>
    <s v="PM2167"/>
    <n v="609"/>
    <s v="Hc1 axle 2 gasket leaKed"/>
    <x v="1"/>
    <x v="3"/>
    <m/>
    <x v="3"/>
    <x v="1"/>
    <m/>
    <s v="NCR1075"/>
    <x v="3"/>
    <x v="3"/>
    <x v="0"/>
  </r>
  <r>
    <d v="2022-01-02T00:00:00"/>
    <s v="TIR1076"/>
    <x v="0"/>
    <s v="PM2167"/>
    <n v="609"/>
    <s v="HC2 PANEL NO1 ALLEN SCREW MISSING._x000a_HC2 NEAR DOOR2 SEALING PANEL ALLEN SCREW MISSING._x000a_HC1&amp;HC2NEAR TO GANGWAY PANEL ALLEN SCREWS ARE MISSING "/>
    <x v="1"/>
    <x v="1"/>
    <s v="need to replace the 3 nut(out of stock 05-Jan-2022)"/>
    <x v="3"/>
    <x v="1"/>
    <m/>
    <s v="NCR1076"/>
    <x v="5"/>
    <x v="3"/>
    <x v="0"/>
  </r>
  <r>
    <d v="2022-01-02T00:00:00"/>
    <s v="TIR1077"/>
    <x v="0"/>
    <s v="PM2165"/>
    <n v="412"/>
    <s v="HC2 bogie 1 axle 1 &amp;2 oil level is low"/>
    <x v="1"/>
    <x v="3"/>
    <s v="31/01 : level is low. No leakage found. Need to normalize the oil level."/>
    <x v="4"/>
    <x v="1"/>
    <m/>
    <m/>
    <x v="3"/>
    <x v="3"/>
    <x v="0"/>
  </r>
  <r>
    <d v="2022-01-03T00:00:00"/>
    <s v="TIR0363"/>
    <x v="2"/>
    <s v="NA"/>
    <n v="404"/>
    <s v="One internal smoke detector activated ( IOS124 is existing )"/>
    <x v="0"/>
    <x v="1"/>
    <s v="After clean no more IOS"/>
    <x v="0"/>
    <x v="0"/>
    <d v="2022-01-05T00:00:00"/>
    <m/>
    <x v="5"/>
    <x v="0"/>
    <x v="0"/>
  </r>
  <r>
    <d v="2022-01-03T00:00:00"/>
    <s v="TIR0366"/>
    <x v="0"/>
    <s v="PM2170"/>
    <n v="604"/>
    <s v="IOS86 : The dead man relays discordance "/>
    <x v="0"/>
    <x v="1"/>
    <m/>
    <x v="0"/>
    <x v="0"/>
    <d v="2022-01-04T00:00:00"/>
    <m/>
    <x v="7"/>
    <x v="3"/>
    <x v="0"/>
  </r>
  <r>
    <d v="2022-01-03T00:00:00"/>
    <s v="TIR0375"/>
    <x v="4"/>
    <s v="NA"/>
    <n v="609"/>
    <s v="Gangway locks missing"/>
    <x v="1"/>
    <x v="1"/>
    <m/>
    <x v="3"/>
    <x v="1"/>
    <m/>
    <s v="NCR0446"/>
    <x v="5"/>
    <x v="3"/>
    <x v="0"/>
  </r>
  <r>
    <d v="2022-01-03T00:00:00"/>
    <s v="TIR0365"/>
    <x v="0"/>
    <s v="PM2170"/>
    <n v="604"/>
    <s v="hc2 bogie1 left CC corner  was damaged"/>
    <x v="0"/>
    <x v="1"/>
    <m/>
    <x v="1"/>
    <x v="0"/>
    <d v="2022-01-04T00:00:00"/>
    <m/>
    <x v="3"/>
    <x v="4"/>
    <x v="0"/>
  </r>
  <r>
    <d v="2022-01-03T00:00:00"/>
    <s v="TIR0368"/>
    <x v="0"/>
    <s v="PM2172"/>
    <n v="606"/>
    <s v="hc2 bogie1 left CC corner was damaged"/>
    <x v="0"/>
    <x v="1"/>
    <m/>
    <x v="1"/>
    <x v="0"/>
    <d v="2022-01-04T00:00:00"/>
    <m/>
    <x v="3"/>
    <x v="4"/>
    <x v="0"/>
  </r>
  <r>
    <d v="2022-01-03T00:00:00"/>
    <s v="TIR0369"/>
    <x v="0"/>
    <s v="PM2172"/>
    <n v="606"/>
    <s v="hc2 left sanding hose missing"/>
    <x v="0"/>
    <x v="1"/>
    <m/>
    <x v="1"/>
    <x v="0"/>
    <d v="2022-01-04T00:00:00"/>
    <m/>
    <x v="3"/>
    <x v="0"/>
    <x v="0"/>
  </r>
  <r>
    <d v="2022-01-03T00:00:00"/>
    <s v="TIR0370"/>
    <x v="0"/>
    <s v="PM2172"/>
    <n v="606"/>
    <s v="GANGWAY INTERNAL cover missing hc1 right"/>
    <x v="0"/>
    <x v="1"/>
    <m/>
    <x v="1"/>
    <x v="0"/>
    <d v="2022-01-04T00:00:00"/>
    <m/>
    <x v="5"/>
    <x v="3"/>
    <x v="0"/>
  </r>
  <r>
    <d v="2022-01-03T00:00:00"/>
    <s v="TIR1078"/>
    <x v="2"/>
    <s v="NA"/>
    <n v="402"/>
    <s v="HC1 Mechanical coupler got stuck while uncoupling"/>
    <x v="1"/>
    <x v="1"/>
    <m/>
    <x v="0"/>
    <x v="0"/>
    <m/>
    <m/>
    <x v="8"/>
    <x v="3"/>
    <x v="0"/>
  </r>
  <r>
    <d v="2022-01-03T00:00:00"/>
    <s v="TIR1079"/>
    <x v="2"/>
    <s v="NA"/>
    <n v="403"/>
    <s v="HC2 Mechanical coupler got stuck while uncoupling"/>
    <x v="1"/>
    <x v="1"/>
    <m/>
    <x v="0"/>
    <x v="0"/>
    <m/>
    <s v="NCR1079"/>
    <x v="8"/>
    <x v="3"/>
    <x v="0"/>
  </r>
  <r>
    <d v="2022-01-03T00:00:00"/>
    <s v="TIR1080"/>
    <x v="2"/>
    <s v="NA"/>
    <n v="413"/>
    <s v="HC2 Mechanical coupler got stuck while uncoupling"/>
    <x v="1"/>
    <x v="2"/>
    <s v="Checked and no uncoupling issue detected."/>
    <x v="1"/>
    <x v="0"/>
    <m/>
    <m/>
    <x v="8"/>
    <x v="3"/>
    <x v="0"/>
  </r>
  <r>
    <d v="2022-01-03T00:00:00"/>
    <s v="TIR1081"/>
    <x v="2"/>
    <s v="NA"/>
    <n v="620"/>
    <s v="HC1 EAD switch not working"/>
    <x v="1"/>
    <x v="1"/>
    <s v="adjust the EAD cable we can open the door "/>
    <x v="0"/>
    <x v="0"/>
    <d v="2022-02-01T00:00:00"/>
    <m/>
    <x v="7"/>
    <x v="0"/>
    <x v="0"/>
  </r>
  <r>
    <d v="2022-01-03T00:00:00"/>
    <s v="TIR1082"/>
    <x v="2"/>
    <s v="NA"/>
    <n v="610"/>
    <s v="HC1 EAD switch not working"/>
    <x v="2"/>
    <x v="1"/>
    <s v="4 cable was not connected after normalise working fine"/>
    <x v="0"/>
    <x v="0"/>
    <d v="2022-01-10T00:00:00"/>
    <m/>
    <x v="7"/>
    <x v="0"/>
    <x v="0"/>
  </r>
  <r>
    <d v="2022-01-03T00:00:00"/>
    <s v="TIR1083"/>
    <x v="2"/>
    <s v="NA"/>
    <n v="610"/>
    <s v="HC1 side can not uncouple "/>
    <x v="1"/>
    <x v="1"/>
    <s v="we open the UNCOUPLING MAGNET VALVE and closed back issue no more present "/>
    <x v="0"/>
    <x v="0"/>
    <d v="2022-01-10T00:00:00"/>
    <m/>
    <x v="8"/>
    <x v="0"/>
    <x v="0"/>
  </r>
  <r>
    <d v="2022-01-03T00:00:00"/>
    <s v="TIR1084"/>
    <x v="0"/>
    <s v="PM2171"/>
    <n v="605"/>
    <s v="LED I6. v1, LCD v1, SWD 6, v1-IP NOK"/>
    <x v="1"/>
    <x v="0"/>
    <s v="Restart train 2 times and checked all of them good"/>
    <x v="1"/>
    <x v="0"/>
    <d v="2022-01-11T00:00:00"/>
    <m/>
    <x v="2"/>
    <x v="0"/>
    <x v="0"/>
  </r>
  <r>
    <d v="2022-01-03T00:00:00"/>
    <s v="TIR1085"/>
    <x v="0"/>
    <s v="PM2173"/>
    <n v="621"/>
    <s v="HC2 axle 2 oil level lessthan min"/>
    <x v="1"/>
    <x v="3"/>
    <m/>
    <x v="4"/>
    <x v="1"/>
    <m/>
    <m/>
    <x v="3"/>
    <x v="3"/>
    <x v="0"/>
  </r>
  <r>
    <d v="2022-01-03T00:00:00"/>
    <s v="TIR1086"/>
    <x v="0"/>
    <s v="PM2173"/>
    <n v="621"/>
    <s v="Torque mark damage in bolts of half coupler(gear box and motor) HC1-Axle4-"/>
    <x v="1"/>
    <x v="3"/>
    <m/>
    <x v="4"/>
    <x v="1"/>
    <m/>
    <m/>
    <x v="3"/>
    <x v="3"/>
    <x v="0"/>
  </r>
  <r>
    <d v="2022-01-03T00:00:00"/>
    <s v="TIR1087"/>
    <x v="0"/>
    <s v="PM2174"/>
    <n v="502"/>
    <s v="Gangway 1 lock is broken"/>
    <x v="1"/>
    <x v="1"/>
    <m/>
    <x v="3"/>
    <x v="1"/>
    <m/>
    <s v="NCR1087"/>
    <x v="5"/>
    <x v="0"/>
    <x v="0"/>
  </r>
  <r>
    <d v="2022-01-03T00:00:00"/>
    <s v="TIR1088"/>
    <x v="0"/>
    <s v="PM2175"/>
    <n v="512"/>
    <s v="Gangway 1 lock is broken"/>
    <x v="1"/>
    <x v="1"/>
    <m/>
    <x v="3"/>
    <x v="1"/>
    <m/>
    <s v="NCR1088"/>
    <x v="5"/>
    <x v="0"/>
    <x v="0"/>
  </r>
  <r>
    <d v="2022-01-04T00:00:00"/>
    <s v="TIR0376"/>
    <x v="2"/>
    <s v="NA"/>
    <n v="408"/>
    <s v="HC2 Door#1 Jarking while closing manually"/>
    <x v="0"/>
    <x v="1"/>
    <s v="After Adjust working good."/>
    <x v="0"/>
    <x v="0"/>
    <d v="2022-01-05T00:00:00"/>
    <m/>
    <x v="9"/>
    <x v="0"/>
    <x v="0"/>
  </r>
  <r>
    <d v="2022-01-04T00:00:00"/>
    <s v="TIR0387"/>
    <x v="4"/>
    <s v="NA"/>
    <n v="624"/>
    <s v="Hc1 Lighting cover not ok"/>
    <x v="0"/>
    <x v="1"/>
    <s v="Fixed the cover"/>
    <x v="0"/>
    <x v="0"/>
    <d v="2022-01-09T00:00:00"/>
    <m/>
    <x v="5"/>
    <x v="0"/>
    <x v="0"/>
  </r>
  <r>
    <d v="2022-01-04T00:00:00"/>
    <s v="TIR0391"/>
    <x v="0"/>
    <s v="Mail"/>
    <n v="604"/>
    <s v="Issue Detected Train 604: Roof Panel was not closing properly."/>
    <x v="0"/>
    <x v="1"/>
    <s v="after Alignment cover closed properly"/>
    <x v="0"/>
    <x v="0"/>
    <d v="2022-01-09T00:00:00"/>
    <m/>
    <x v="5"/>
    <x v="0"/>
    <x v="0"/>
  </r>
  <r>
    <d v="2022-01-04T00:00:00"/>
    <s v="TIR0378"/>
    <x v="2"/>
    <s v="NA"/>
    <n v="415"/>
    <s v="WM in hc1 no active, cant move train in WM in hc1."/>
    <x v="3"/>
    <x v="3"/>
    <s v="To replace 61K07"/>
    <x v="0"/>
    <x v="0"/>
    <m/>
    <s v="NCR448"/>
    <x v="10"/>
    <x v="0"/>
    <x v="0"/>
  </r>
  <r>
    <d v="2022-01-04T00:00:00"/>
    <s v="TIR1089"/>
    <x v="2"/>
    <s v="NA"/>
    <n v="415"/>
    <s v="Door#5, hc2 iOS65 Door  intrlock fault indiction and iOS262: communication fault."/>
    <x v="1"/>
    <x v="1"/>
    <s v="Checked and from the DCU logs, found data bus communication failure and waiting for supplier feedback for this issue."/>
    <x v="1"/>
    <x v="0"/>
    <m/>
    <m/>
    <x v="9"/>
    <x v="0"/>
    <x v="0"/>
  </r>
  <r>
    <d v="2022-01-04T00:00:00"/>
    <s v="TIR1090"/>
    <x v="2"/>
    <s v="NA"/>
    <n v="618"/>
    <s v="HC1 &amp; HC2 Both side mechanical coupler got stuck while uncoupling of the train"/>
    <x v="1"/>
    <x v="1"/>
    <m/>
    <x v="2"/>
    <x v="1"/>
    <m/>
    <m/>
    <x v="8"/>
    <x v="0"/>
    <x v="0"/>
  </r>
  <r>
    <d v="2022-01-04T00:00:00"/>
    <s v="TIR1091"/>
    <x v="2"/>
    <s v="NA"/>
    <n v="618"/>
    <s v="Train is not getting sleep through PB from HC2 side."/>
    <x v="1"/>
    <x v="3"/>
    <m/>
    <x v="0"/>
    <x v="0"/>
    <m/>
    <s v="NCR1091"/>
    <x v="7"/>
    <x v="0"/>
    <x v="0"/>
  </r>
  <r>
    <d v="2022-01-04T00:00:00"/>
    <s v="TIR1092"/>
    <x v="0"/>
    <s v="PM2176"/>
    <n v="602"/>
    <s v="HC1 BOGIE2 RHS -the 750 v (HV)cable from the fuse box to the junction box is missing "/>
    <x v="3"/>
    <x v="2"/>
    <s v="18/01 : missing part , To create NCR_x000a_23/01 : the train will be not ready fo 33 train of Wednesday_x000a_"/>
    <x v="0"/>
    <x v="0"/>
    <d v="2021-01-18T00:00:00"/>
    <s v="NCR1092"/>
    <x v="3"/>
    <x v="0"/>
    <x v="0"/>
  </r>
  <r>
    <d v="2022-01-04T00:00:00"/>
    <s v="TIR1093"/>
    <x v="0"/>
    <s v="PM2176"/>
    <n v="602"/>
    <s v="HC1-Bogie2 Oil level AXLE 1 LOW, AXLE 2 VERY LOW"/>
    <x v="1"/>
    <x v="2"/>
    <s v="02/01/2022 : Checked level is ok now "/>
    <x v="1"/>
    <x v="0"/>
    <d v="2022-02-01T00:00:00"/>
    <m/>
    <x v="3"/>
    <x v="3"/>
    <x v="0"/>
  </r>
  <r>
    <d v="2022-01-04T00:00:00"/>
    <s v="TIR1094"/>
    <x v="0"/>
    <s v="PM2178"/>
    <n v="617"/>
    <s v="HC-02, Both BOG-1 and BOG-2 - Gear oil level is low."/>
    <x v="1"/>
    <x v="2"/>
    <s v="02/01/2022 : checked no leakage found. Need to normalize the oil level"/>
    <x v="4"/>
    <x v="1"/>
    <m/>
    <m/>
    <x v="3"/>
    <x v="3"/>
    <x v="0"/>
  </r>
  <r>
    <d v="2022-01-04T00:00:00"/>
    <s v="TIR1095"/>
    <x v="0"/>
    <s v="PM2179"/>
    <n v="624"/>
    <s v="HC2 swd3 not working and IP also offline"/>
    <x v="1"/>
    <x v="0"/>
    <s v="Updaed software manually and test ok"/>
    <x v="0"/>
    <x v="0"/>
    <d v="2022-01-26T00:00:00"/>
    <m/>
    <x v="2"/>
    <x v="5"/>
    <x v="0"/>
  </r>
  <r>
    <d v="2022-01-04T00:00:00"/>
    <s v="TIR1096"/>
    <x v="0"/>
    <s v="PM2179"/>
    <n v="624"/>
    <s v="HC-02,BG-01, axle-01, gear oil low."/>
    <x v="1"/>
    <x v="2"/>
    <s v="02/01/2022 : checked no leakage found. Need to normalize the oil level"/>
    <x v="4"/>
    <x v="1"/>
    <m/>
    <m/>
    <x v="3"/>
    <x v="3"/>
    <x v="0"/>
  </r>
  <r>
    <d v="2022-01-04T00:00:00"/>
    <s v="TIR1097"/>
    <x v="4"/>
    <s v="NA"/>
    <n v="617"/>
    <s v="HC2 Ceiling panel cover not fixed ( support bracket missing )"/>
    <x v="1"/>
    <x v="1"/>
    <m/>
    <x v="3"/>
    <x v="1"/>
    <m/>
    <s v="NCR1097"/>
    <x v="5"/>
    <x v="3"/>
    <x v="0"/>
  </r>
  <r>
    <d v="2022-01-04T00:00:00"/>
    <s v="TIR1098"/>
    <x v="0"/>
    <s v="Mail"/>
    <n v="408"/>
    <s v="Issue Detected Train 408: Broken side panel sheet gangway."/>
    <x v="1"/>
    <x v="1"/>
    <m/>
    <x v="3"/>
    <x v="1"/>
    <m/>
    <s v="NCR1098"/>
    <x v="5"/>
    <x v="0"/>
    <x v="0"/>
  </r>
  <r>
    <d v="2022-01-04T00:00:00"/>
    <s v="TIR1099"/>
    <x v="0"/>
    <s v="Mail"/>
    <n v="611"/>
    <s v="Detected during Battery Visual Inspection _x000a_Trainset 611A -  Door tubular seal was found having some damaged."/>
    <x v="1"/>
    <x v="1"/>
    <s v="1/13/2022:To replace the rubber"/>
    <x v="3"/>
    <x v="1"/>
    <m/>
    <s v="NCR1099"/>
    <x v="11"/>
    <x v="0"/>
    <x v="0"/>
  </r>
  <r>
    <d v="2022-01-04T00:00:00"/>
    <s v="TIR1101"/>
    <x v="0"/>
    <s v="Mail"/>
    <n v="602"/>
    <s v="Detected during BOGIE VISUAL INSPECTION GLOBAL – Inspection of the Wheel Slide Protection (WSP) Sensor _x000a_Train 602A, Bogie 2 Right Side – WSP cable was found damaged."/>
    <x v="1"/>
    <x v="3"/>
    <m/>
    <x v="0"/>
    <x v="0"/>
    <d v="2022-02-13T00:00:00"/>
    <s v="NCR1101"/>
    <x v="3"/>
    <x v="6"/>
    <x v="0"/>
  </r>
  <r>
    <d v="2022-01-05T00:00:00"/>
    <s v="TIR1102"/>
    <x v="0"/>
    <s v="PM2187"/>
    <n v="518"/>
    <s v="Primary suspension protection bottom cover missing 10 no.s"/>
    <x v="1"/>
    <x v="2"/>
    <m/>
    <x v="2"/>
    <x v="1"/>
    <m/>
    <m/>
    <x v="3"/>
    <x v="0"/>
    <x v="0"/>
  </r>
  <r>
    <d v="2022-01-05T00:00:00"/>
    <s v="TIR1103"/>
    <x v="0"/>
    <s v="PM2186"/>
    <n v="517"/>
    <s v="Primary suspension protection bottom cover missing 8 no.s"/>
    <x v="1"/>
    <x v="2"/>
    <m/>
    <x v="2"/>
    <x v="1"/>
    <m/>
    <m/>
    <x v="3"/>
    <x v="0"/>
    <x v="0"/>
  </r>
  <r>
    <d v="2022-01-05T00:00:00"/>
    <s v="TIR1104"/>
    <x v="0"/>
    <s v="PM2186"/>
    <n v="517"/>
    <s v="HC1-B1 -Axle2 minor leakge from top door of gear box .(GASKET )-s.no C447"/>
    <x v="1"/>
    <x v="2"/>
    <m/>
    <x v="2"/>
    <x v="1"/>
    <m/>
    <m/>
    <x v="3"/>
    <x v="0"/>
    <x v="0"/>
  </r>
  <r>
    <d v="2022-01-05T00:00:00"/>
    <s v="TIR1105"/>
    <x v="0"/>
    <s v="PM2182"/>
    <n v="402"/>
    <s v="HC-02, Both AXLE-3 and AXLE-4 - Gear oil level is low"/>
    <x v="1"/>
    <x v="2"/>
    <m/>
    <x v="4"/>
    <x v="1"/>
    <m/>
    <m/>
    <x v="3"/>
    <x v="0"/>
    <x v="0"/>
  </r>
  <r>
    <d v="2022-01-05T00:00:00"/>
    <s v="TIR1106"/>
    <x v="0"/>
    <s v="PM2182"/>
    <n v="402"/>
    <s v="swd3 car2,lcd3 car2,led3 car2.-IP nok "/>
    <x v="1"/>
    <x v="0"/>
    <s v="Update software manually and test Ok"/>
    <x v="0"/>
    <x v="0"/>
    <d v="2022-02-06T00:00:00"/>
    <m/>
    <x v="2"/>
    <x v="0"/>
    <x v="0"/>
  </r>
  <r>
    <d v="2022-01-05T00:00:00"/>
    <s v="TIR1107"/>
    <x v="0"/>
    <s v="PM2184"/>
    <n v="408"/>
    <s v="HC-01, axle 2 , Gear oil level is low."/>
    <x v="1"/>
    <x v="2"/>
    <m/>
    <x v="4"/>
    <x v="1"/>
    <m/>
    <m/>
    <x v="3"/>
    <x v="0"/>
    <x v="0"/>
  </r>
  <r>
    <d v="2022-01-05T00:00:00"/>
    <s v="TIR1108"/>
    <x v="0"/>
    <s v="PM2185"/>
    <n v="610"/>
    <s v="car1 door 2 while closing time closing the door fastly compare to other doors."/>
    <x v="1"/>
    <x v="1"/>
    <m/>
    <x v="1"/>
    <x v="0"/>
    <d v="2022-01-10T00:00:00"/>
    <m/>
    <x v="9"/>
    <x v="0"/>
    <x v="0"/>
  </r>
  <r>
    <d v="2022-01-05T00:00:00"/>
    <s v="TIR1109"/>
    <x v="4"/>
    <s v="NA"/>
    <n v="402"/>
    <s v="Gangway cover one lock is broken"/>
    <x v="1"/>
    <x v="1"/>
    <m/>
    <x v="3"/>
    <x v="1"/>
    <m/>
    <s v="NCR1109"/>
    <x v="5"/>
    <x v="0"/>
    <x v="0"/>
  </r>
  <r>
    <d v="2022-01-06T00:00:00"/>
    <s v="TIR408"/>
    <x v="0"/>
    <s v="PM2188"/>
    <n v="611"/>
    <s v="HVAC1 lost communication"/>
    <x v="0"/>
    <x v="0"/>
    <s v="Found HVAC1-V2 offline and recovered it and  HVAC autotest OK"/>
    <x v="0"/>
    <x v="0"/>
    <d v="2022-01-09T00:00:00"/>
    <m/>
    <x v="1"/>
    <x v="0"/>
    <x v="0"/>
  </r>
  <r>
    <d v="2022-01-06T00:00:00"/>
    <s v="TIR1112"/>
    <x v="0"/>
    <s v="PM2194"/>
    <n v="507"/>
    <s v="HC1-HVAC2 LOW PRESSURE LP2 when forced Compressor2 "/>
    <x v="2"/>
    <x v="1"/>
    <m/>
    <x v="0"/>
    <x v="0"/>
    <m/>
    <s v="NCR1112"/>
    <x v="1"/>
    <x v="0"/>
    <x v="0"/>
  </r>
  <r>
    <d v="2022-01-06T00:00:00"/>
    <s v="TIR1113"/>
    <x v="0"/>
    <s v="PM2194"/>
    <n v="507"/>
    <s v="HC1-HVAC1-compressor 1&amp;3 making noise"/>
    <x v="1"/>
    <x v="2"/>
    <m/>
    <x v="2"/>
    <x v="1"/>
    <m/>
    <m/>
    <x v="1"/>
    <x v="0"/>
    <x v="0"/>
  </r>
  <r>
    <d v="2022-01-06T00:00:00"/>
    <s v="TIR1114"/>
    <x v="0"/>
    <s v="PM2194"/>
    <n v="507"/>
    <s v=" SOFTWARE invalid  UMC1-0.0.0"/>
    <x v="1"/>
    <x v="2"/>
    <s v="No issue related oberved after software update."/>
    <x v="1"/>
    <x v="0"/>
    <m/>
    <m/>
    <x v="2"/>
    <x v="0"/>
    <x v="0"/>
  </r>
  <r>
    <d v="2022-01-06T00:00:00"/>
    <s v="TIR1115"/>
    <x v="0"/>
    <s v="PM2189"/>
    <n v="612"/>
    <s v="HC+H79:O942-A3,A4-low oil level (just below the low mark ) ,HC1-A1(very low),A2,A3-low oil level "/>
    <x v="1"/>
    <x v="3"/>
    <m/>
    <x v="4"/>
    <x v="1"/>
    <m/>
    <m/>
    <x v="3"/>
    <x v="0"/>
    <x v="0"/>
  </r>
  <r>
    <d v="2022-01-06T00:00:00"/>
    <s v="TIR1116"/>
    <x v="0"/>
    <s v="PM2190"/>
    <n v="614"/>
    <s v="HC1 Axle 3,axle 4 , HC2 AXLE1 ,AXLE2 -oil level below minimum"/>
    <x v="1"/>
    <x v="3"/>
    <s v="02/16 : No leakage found, need to normalize the oil level "/>
    <x v="4"/>
    <x v="1"/>
    <m/>
    <m/>
    <x v="3"/>
    <x v="0"/>
    <x v="0"/>
  </r>
  <r>
    <d v="2022-01-06T00:00:00"/>
    <s v="TIR1117"/>
    <x v="0"/>
    <s v="PM2189"/>
    <n v="612"/>
    <s v="car2 2nd palmtree light off condition."/>
    <x v="1"/>
    <x v="1"/>
    <m/>
    <x v="0"/>
    <x v="0"/>
    <m/>
    <s v="NCR1117"/>
    <x v="5"/>
    <x v="0"/>
    <x v="0"/>
  </r>
  <r>
    <d v="2022-01-06T00:00:00"/>
    <s v="TIR1118"/>
    <x v="0"/>
    <s v="PM2191"/>
    <n v="618"/>
    <s v="HC2 Lcd 6 blinking"/>
    <x v="1"/>
    <x v="0"/>
    <s v="Updated software manually and test OK"/>
    <x v="0"/>
    <x v="0"/>
    <d v="2022-01-19T00:00:00"/>
    <m/>
    <x v="2"/>
    <x v="0"/>
    <x v="0"/>
  </r>
  <r>
    <d v="2022-01-06T00:00:00"/>
    <s v="TIR1119"/>
    <x v="0"/>
    <s v="PM2191"/>
    <n v="618"/>
    <s v="HC1 internal smoke detector 1 panel(panel near to palm tree ) is closed without fully tightnening the the two screws of the one end(the alignement of the panel is not good for full tight )"/>
    <x v="1"/>
    <x v="2"/>
    <m/>
    <x v="0"/>
    <x v="0"/>
    <m/>
    <m/>
    <x v="5"/>
    <x v="0"/>
    <x v="0"/>
  </r>
  <r>
    <d v="2022-01-06T00:00:00"/>
    <s v="TIR1120"/>
    <x v="0"/>
    <s v="PM2191"/>
    <n v="618"/>
    <s v="HC1 AXLE2 oil level below minimum"/>
    <x v="1"/>
    <x v="3"/>
    <m/>
    <x v="4"/>
    <x v="1"/>
    <m/>
    <m/>
    <x v="3"/>
    <x v="0"/>
    <x v="0"/>
  </r>
  <r>
    <d v="2022-01-06T00:00:00"/>
    <s v="TIR1121"/>
    <x v="0"/>
    <s v="PM2192"/>
    <n v="622"/>
    <s v="car2 swd3 physically off condition but ip status ok"/>
    <x v="1"/>
    <x v="0"/>
    <s v="Update software manually and test Ok"/>
    <x v="0"/>
    <x v="0"/>
    <d v="2022-02-06T00:00:00"/>
    <m/>
    <x v="2"/>
    <x v="0"/>
    <x v="0"/>
  </r>
  <r>
    <d v="2022-01-09T00:00:00"/>
    <s v="TIR401"/>
    <x v="4"/>
    <s v="NA"/>
    <n v="511"/>
    <s v="Roof antenna"/>
    <x v="3"/>
    <x v="4"/>
    <m/>
    <x v="0"/>
    <x v="0"/>
    <d v="2022-01-09T00:00:00"/>
    <s v="NCR0447"/>
    <x v="12"/>
    <x v="0"/>
    <x v="0"/>
  </r>
  <r>
    <d v="2022-01-09T00:00:00"/>
    <s v="TIR404"/>
    <x v="5"/>
    <s v="NA"/>
    <n v="607"/>
    <s v="HC1_gearbox 3 oil contaminated"/>
    <x v="3"/>
    <x v="2"/>
    <m/>
    <x v="0"/>
    <x v="0"/>
    <d v="2022-01-09T00:00:00"/>
    <s v="NCR449"/>
    <x v="3"/>
    <x v="0"/>
    <x v="0"/>
  </r>
  <r>
    <d v="2022-01-09T00:00:00"/>
    <s v="TIR1110"/>
    <x v="2"/>
    <s v="NA"/>
    <n v="415"/>
    <s v="relay 61k07 faulty need to replace"/>
    <x v="3"/>
    <x v="2"/>
    <m/>
    <x v="0"/>
    <x v="0"/>
    <d v="2022-01-09T00:00:00"/>
    <s v="NCR448"/>
    <x v="7"/>
    <x v="0"/>
    <x v="0"/>
  </r>
  <r>
    <d v="2022-01-09T00:00:00"/>
    <s v="TIR1111"/>
    <x v="2"/>
    <s v="NA"/>
    <n v="415"/>
    <s v="Door5 HC2 Faulty"/>
    <x v="1"/>
    <x v="1"/>
    <m/>
    <x v="0"/>
    <x v="0"/>
    <d v="2022-01-17T00:00:00"/>
    <s v="NCR1111"/>
    <x v="9"/>
    <x v="0"/>
    <x v="0"/>
  </r>
  <r>
    <d v="2022-01-09T00:00:00"/>
    <s v="TIR1122"/>
    <x v="0"/>
    <s v="PM2200"/>
    <n v="508"/>
    <s v="Missing 8 Suspension protection bottom cover"/>
    <x v="1"/>
    <x v="3"/>
    <m/>
    <x v="2"/>
    <x v="1"/>
    <m/>
    <m/>
    <x v="3"/>
    <x v="0"/>
    <x v="0"/>
  </r>
  <r>
    <d v="2022-01-09T00:00:00"/>
    <s v="TIR1123"/>
    <x v="0"/>
    <s v="PM2200"/>
    <n v="508"/>
    <s v="HC1-not able to sleep"/>
    <x v="1"/>
    <x v="3"/>
    <s v="20/02 : We found that the cable WF00062 was connected to the PIN 73 of the connector XR03+CCC instead of connector XR02+CCC"/>
    <x v="0"/>
    <x v="0"/>
    <d v="2022-02-20T00:00:00"/>
    <s v="CMN1123"/>
    <x v="7"/>
    <x v="0"/>
    <x v="0"/>
  </r>
  <r>
    <d v="2022-01-09T00:00:00"/>
    <s v="TIR1124"/>
    <x v="0"/>
    <s v="PM2201"/>
    <n v="515"/>
    <s v="HC1-becon Antenna Cable's clamp missing"/>
    <x v="1"/>
    <x v="1"/>
    <s v="waiting for DTR 14/02"/>
    <x v="3"/>
    <x v="1"/>
    <m/>
    <s v="NCR1124"/>
    <x v="3"/>
    <x v="0"/>
    <x v="0"/>
  </r>
  <r>
    <d v="2022-01-09T00:00:00"/>
    <s v="TIR1125"/>
    <x v="0"/>
    <s v="PM2195"/>
    <n v="415"/>
    <s v="IOS196 ,203 : Loss of at least 1 PEI in a class"/>
    <x v="1"/>
    <x v="5"/>
    <s v="Checked PEIs all online"/>
    <x v="1"/>
    <x v="0"/>
    <d v="2022-01-20T00:00:00"/>
    <m/>
    <x v="2"/>
    <x v="0"/>
    <x v="0"/>
  </r>
  <r>
    <d v="2022-01-09T00:00:00"/>
    <s v="TIR1126"/>
    <x v="0"/>
    <s v="PM2196"/>
    <n v="420"/>
    <s v="HC1 AXLE2 GEAR BOX OIL LEVEL IS LOW"/>
    <x v="1"/>
    <x v="3"/>
    <s v="checked and Oil ok now "/>
    <x v="1"/>
    <x v="0"/>
    <d v="2022-03-06T00:00:00"/>
    <m/>
    <x v="3"/>
    <x v="0"/>
    <x v="0"/>
  </r>
  <r>
    <d v="2022-01-09T00:00:00"/>
    <s v="TIR1127"/>
    <x v="0"/>
    <s v="PM2196"/>
    <n v="420"/>
    <s v="HC2 AXLE 4 GEAR BOX OIL IS DARK IN COLOUR"/>
    <x v="1"/>
    <x v="3"/>
    <s v="checked color ok and Oil ok now "/>
    <x v="1"/>
    <x v="0"/>
    <d v="2022-03-06T00:00:00"/>
    <m/>
    <x v="3"/>
    <x v="0"/>
    <x v="0"/>
  </r>
  <r>
    <d v="2022-01-09T00:00:00"/>
    <s v="TIR1128"/>
    <x v="0"/>
    <s v="PM2196"/>
    <n v="420"/>
    <s v="car2 lcd3 contrast low compare to other lcd displays"/>
    <x v="1"/>
    <x v="0"/>
    <s v="Updaed software manually and test ok"/>
    <x v="0"/>
    <x v="0"/>
    <d v="2022-01-19T00:00:00"/>
    <m/>
    <x v="2"/>
    <x v="0"/>
    <x v="0"/>
  </r>
  <r>
    <d v="2022-01-09T00:00:00"/>
    <s v="TIR1129"/>
    <x v="0"/>
    <s v="PM2198"/>
    <n v="607"/>
    <s v="IOS86 : The dead man relays discordance"/>
    <x v="1"/>
    <x v="0"/>
    <s v="Checked no ios86 reported. Do the deadman test in both cabs and test pass"/>
    <x v="1"/>
    <x v="0"/>
    <d v="2022-02-06T00:00:00"/>
    <m/>
    <x v="7"/>
    <x v="0"/>
    <x v="0"/>
  </r>
  <r>
    <d v="2022-01-09T00:00:00"/>
    <s v="TIR1130"/>
    <x v="0"/>
    <s v="PM2199"/>
    <n v="615"/>
    <s v="semi permanent coupler grounding bolt missing"/>
    <x v="1"/>
    <x v="1"/>
    <m/>
    <x v="3"/>
    <x v="1"/>
    <m/>
    <s v="NCR1130"/>
    <x v="13"/>
    <x v="0"/>
    <x v="0"/>
  </r>
  <r>
    <d v="2022-01-09T00:00:00"/>
    <s v="TIR1131"/>
    <x v="0"/>
    <s v="PM2199"/>
    <n v="615"/>
    <s v="swd3 one display physically off condition but ip status ok"/>
    <x v="1"/>
    <x v="0"/>
    <s v="Checked SWD online and display OK"/>
    <x v="1"/>
    <x v="0"/>
    <d v="2022-01-20T00:00:00"/>
    <m/>
    <x v="2"/>
    <x v="0"/>
    <x v="0"/>
  </r>
  <r>
    <d v="2022-01-09T00:00:00"/>
    <s v="TIR1132"/>
    <x v="0"/>
    <s v="PM2199"/>
    <n v="615"/>
    <s v="car2 door1 not closing full. Electrical and mechanically door isolated"/>
    <x v="2"/>
    <x v="1"/>
    <m/>
    <x v="1"/>
    <x v="0"/>
    <d v="2022-01-10T00:00:00"/>
    <m/>
    <x v="9"/>
    <x v="0"/>
    <x v="0"/>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x v="0"/>
    <d v="2022-01-11T00:00:00"/>
    <m/>
    <x v="6"/>
    <x v="0"/>
    <x v="0"/>
  </r>
  <r>
    <d v="2022-01-10T00:00:00"/>
    <s v="TIR1001"/>
    <x v="3"/>
    <s v="NA"/>
    <n v="414"/>
    <s v="IOS264 :  More than one UMC have a communication fault."/>
    <x v="3"/>
    <x v="0"/>
    <s v="Checked the issue no more reported"/>
    <x v="1"/>
    <x v="0"/>
    <d v="2022-01-26T00:00:00"/>
    <m/>
    <x v="2"/>
    <x v="0"/>
    <x v="0"/>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x v="0"/>
    <d v="2022-01-16T00:00:00"/>
    <s v="NCR1002"/>
    <x v="11"/>
    <x v="0"/>
    <x v="0"/>
  </r>
  <r>
    <d v="2022-01-10T00:00:00"/>
    <s v="TIR1003"/>
    <x v="3"/>
    <s v="NA"/>
    <n v="608"/>
    <s v="IOS191 : Loss of video recorder_x000a_IOS196 : Loss of at least 1 PEI in a class_x000a_ISO200 : Loss of all superwides in the same doors platform_x000a_IOS199 : Loss of all interior LCD compact displays in the same platform_x000a_IOS198 : Loss of LCD 16/9 in the same class"/>
    <x v="3"/>
    <x v="5"/>
    <s v="18/01 : Elie to check the train , and recover with Niyas"/>
    <x v="0"/>
    <x v="0"/>
    <d v="2022-01-19T00:00:00"/>
    <m/>
    <x v="2"/>
    <x v="0"/>
    <x v="0"/>
  </r>
  <r>
    <d v="2022-01-10T00:00:00"/>
    <s v="TIR1004"/>
    <x v="3"/>
    <s v="NA"/>
    <n v="626"/>
    <s v="IOS185 : 1 APC LV Status false,_x000a_IOS179 : 1 APC MV Status false"/>
    <x v="1"/>
    <x v="2"/>
    <m/>
    <x v="1"/>
    <x v="0"/>
    <d v="2022-02-17T00:00:00"/>
    <m/>
    <x v="11"/>
    <x v="0"/>
    <x v="0"/>
  </r>
  <r>
    <d v="2022-01-10T00:00:00"/>
    <s v="TIR1005"/>
    <x v="3"/>
    <s v="NA"/>
    <n v="423"/>
    <s v="IOS196 : Loss of at least 1 PEI in a class"/>
    <x v="1"/>
    <x v="5"/>
    <s v="Checked all devices online and display OK"/>
    <x v="1"/>
    <x v="0"/>
    <d v="2022-01-20T00:00:00"/>
    <m/>
    <x v="2"/>
    <x v="0"/>
    <x v="0"/>
  </r>
  <r>
    <d v="2022-01-10T00:00:00"/>
    <s v="TIR1006"/>
    <x v="3"/>
    <s v="NA"/>
    <n v="625"/>
    <s v="IOS196 : Loss of at least 1 PEI in a class"/>
    <x v="1"/>
    <x v="0"/>
    <s v="Found PEI2-V1 report many lost communication, and updated software and test ok"/>
    <x v="0"/>
    <x v="0"/>
    <d v="2022-01-13T00:00:00"/>
    <m/>
    <x v="2"/>
    <x v="0"/>
    <x v="0"/>
  </r>
  <r>
    <d v="2022-01-10T00:00:00"/>
    <s v="TIR1007"/>
    <x v="2"/>
    <s v="NA"/>
    <n v="611"/>
    <s v="DCU5-V2 communication lost"/>
    <x v="3"/>
    <x v="1"/>
    <s v="18/01 : To check and create NCR"/>
    <x v="0"/>
    <x v="0"/>
    <d v="2022-01-18T00:00:00"/>
    <s v="NCR1007"/>
    <x v="9"/>
    <x v="0"/>
    <x v="0"/>
  </r>
  <r>
    <d v="2022-01-10T00:00:00"/>
    <s v="TIR1133"/>
    <x v="2"/>
    <s v="NA"/>
    <n v="611"/>
    <s v="PEI6-V2 communication not stable"/>
    <x v="1"/>
    <x v="0"/>
    <s v="Updated pei software manually and test ok"/>
    <x v="0"/>
    <x v="0"/>
    <d v="2022-01-13T00:00:00"/>
    <m/>
    <x v="2"/>
    <x v="0"/>
    <x v="0"/>
  </r>
  <r>
    <d v="2022-01-10T00:00:00"/>
    <s v="TIR1134"/>
    <x v="4"/>
    <s v="NA"/>
    <n v="415"/>
    <s v="Light diffusers need to fix"/>
    <x v="1"/>
    <x v="1"/>
    <s v="fixed the light cover"/>
    <x v="0"/>
    <x v="0"/>
    <d v="2022-01-16T00:00:00"/>
    <s v="CMN1134"/>
    <x v="5"/>
    <x v="0"/>
    <x v="0"/>
  </r>
  <r>
    <d v="2022-01-10T00:00:00"/>
    <s v="TIR1135"/>
    <x v="0"/>
    <s v="PM2208"/>
    <n v="510"/>
    <s v="Flange Lubricator saftey pin1 missing"/>
    <x v="1"/>
    <x v="1"/>
    <m/>
    <x v="2"/>
    <x v="1"/>
    <m/>
    <m/>
    <x v="3"/>
    <x v="0"/>
    <x v="0"/>
  </r>
  <r>
    <d v="2022-01-10T00:00:00"/>
    <s v="TIR1136"/>
    <x v="0"/>
    <s v="PM2208"/>
    <n v="510"/>
    <s v="Gangway lock has an issue"/>
    <x v="1"/>
    <x v="1"/>
    <m/>
    <x v="3"/>
    <x v="1"/>
    <m/>
    <s v="NCR1136"/>
    <x v="5"/>
    <x v="0"/>
    <x v="0"/>
  </r>
  <r>
    <d v="2022-01-10T00:00:00"/>
    <s v="TIR1137"/>
    <x v="0"/>
    <s v="PM2207"/>
    <n v="505"/>
    <s v="Hc1-becon Antenna Cable's clamp one screw is missing(refer picture in TIR report)"/>
    <x v="1"/>
    <x v="1"/>
    <m/>
    <x v="3"/>
    <x v="1"/>
    <m/>
    <s v="NCR1137"/>
    <x v="3"/>
    <x v="0"/>
    <x v="0"/>
  </r>
  <r>
    <d v="2022-01-10T00:00:00"/>
    <s v="TIR1138"/>
    <x v="0"/>
    <s v="PM2202"/>
    <n v="403"/>
    <s v="HC1-LEDI6 IP offline,HC1-LEDI6  not working"/>
    <x v="1"/>
    <x v="0"/>
    <s v="update software manually and test OK"/>
    <x v="0"/>
    <x v="0"/>
    <d v="2022-01-19T00:00:00"/>
    <m/>
    <x v="2"/>
    <x v="0"/>
    <x v="0"/>
  </r>
  <r>
    <d v="2022-01-10T00:00:00"/>
    <s v="TIR1139"/>
    <x v="0"/>
    <s v="PM2203"/>
    <n v="406"/>
    <s v="swd1 car1 but physically good.led2 car1 ip off but physically ok"/>
    <x v="1"/>
    <x v="0"/>
    <m/>
    <x v="1"/>
    <x v="0"/>
    <d v="2022-03-17T00:00:00"/>
    <m/>
    <x v="2"/>
    <x v="0"/>
    <x v="0"/>
  </r>
  <r>
    <d v="2022-01-10T00:00:00"/>
    <s v="TIR1140"/>
    <x v="0"/>
    <s v="PM2205"/>
    <n v="613"/>
    <s v="lost the communication of hvac1 car2 while in manual testing mode."/>
    <x v="1"/>
    <x v="1"/>
    <s v="online and working fine "/>
    <x v="1"/>
    <x v="0"/>
    <d v="2022-02-13T00:00:00"/>
    <m/>
    <x v="1"/>
    <x v="0"/>
    <x v="0"/>
  </r>
  <r>
    <d v="2022-01-11T00:00:00"/>
    <s v="TIR1141"/>
    <x v="2"/>
    <s v="NA"/>
    <n v="502"/>
    <s v="Gearbox oil leakage"/>
    <x v="1"/>
    <x v="3"/>
    <m/>
    <x v="4"/>
    <x v="1"/>
    <m/>
    <m/>
    <x v="3"/>
    <x v="0"/>
    <x v="0"/>
  </r>
  <r>
    <d v="2022-01-11T00:00:00"/>
    <s v="TIR1142"/>
    <x v="2"/>
    <s v="NA"/>
    <n v="504"/>
    <s v="Compressor1 air-dryer failure"/>
    <x v="1"/>
    <x v="3"/>
    <m/>
    <x v="2"/>
    <x v="1"/>
    <m/>
    <m/>
    <x v="14"/>
    <x v="0"/>
    <x v="0"/>
  </r>
  <r>
    <d v="2022-01-11T00:00:00"/>
    <s v="TIR1143"/>
    <x v="2"/>
    <s v="NA"/>
    <n v="518"/>
    <s v="HC2 bogie_1 &amp; traction motor safety mounting to confirm"/>
    <x v="1"/>
    <x v="2"/>
    <m/>
    <x v="2"/>
    <x v="1"/>
    <m/>
    <m/>
    <x v="3"/>
    <x v="0"/>
    <x v="0"/>
  </r>
  <r>
    <d v="2022-01-12T00:00:00"/>
    <s v="TIR1144"/>
    <x v="3"/>
    <s v="NA"/>
    <n v="413"/>
    <s v="HC2_Door 1 – Door not opening using crew switch"/>
    <x v="1"/>
    <x v="1"/>
    <m/>
    <x v="1"/>
    <x v="0"/>
    <d v="2022-01-31T00:00:00"/>
    <m/>
    <x v="9"/>
    <x v="0"/>
    <x v="0"/>
  </r>
  <r>
    <d v="2022-01-12T00:00:00"/>
    <s v="TIR1145"/>
    <x v="3"/>
    <s v="NA"/>
    <n v="424"/>
    <s v="HC2_Door 1 – Door not opening using crew switch"/>
    <x v="1"/>
    <x v="1"/>
    <s v="Found the EED cable out from the roller. Fixed back the cable and tested from outside(Crew switch) and Inside EED are OK. "/>
    <x v="0"/>
    <x v="0"/>
    <d v="2022-01-12T00:00:00"/>
    <m/>
    <x v="9"/>
    <x v="0"/>
    <x v="0"/>
  </r>
  <r>
    <d v="2022-01-12T00:00:00"/>
    <s v="TIR1146"/>
    <x v="3"/>
    <s v="NA"/>
    <n v="615"/>
    <s v="IOS35 : Loss of 50% of ventilation of at least one HVAC unit"/>
    <x v="3"/>
    <x v="1"/>
    <s v="QF7 was off after ON , no more ios."/>
    <x v="0"/>
    <x v="0"/>
    <d v="2022-01-17T00:00:00"/>
    <m/>
    <x v="1"/>
    <x v="0"/>
    <x v="0"/>
  </r>
  <r>
    <d v="2022-01-12T00:00:00"/>
    <s v="TIR1147"/>
    <x v="3"/>
    <s v="NA"/>
    <n v="407"/>
    <s v="Ledi1_V2 offline"/>
    <x v="1"/>
    <x v="0"/>
    <s v="Checked this LEDI online and display OK"/>
    <x v="1"/>
    <x v="0"/>
    <d v="2022-02-06T00:00:00"/>
    <m/>
    <x v="2"/>
    <x v="0"/>
    <x v="0"/>
  </r>
  <r>
    <d v="2022-01-12T00:00:00"/>
    <s v="TIR1148"/>
    <x v="3"/>
    <s v="NA"/>
    <n v="514"/>
    <s v="One ACE have a communication fault,"/>
    <x v="3"/>
    <x v="1"/>
    <s v="his issue happened 3 times that day, _x000a_even after first restart of the train, next sleep/wake up rised again &quot;ACE2&quot;._x000a_18/01: Software and Dataplug upload "/>
    <x v="0"/>
    <x v="0"/>
    <d v="2022-02-08T00:00:00"/>
    <m/>
    <x v="11"/>
    <x v="0"/>
    <x v="0"/>
  </r>
  <r>
    <d v="2022-01-12T00:00:00"/>
    <s v="TIR1149"/>
    <x v="6"/>
    <s v="NA"/>
    <n v="621"/>
    <s v="VAC2 HC2 compressor fautl "/>
    <x v="2"/>
    <x v="1"/>
    <s v="physically working fine waiting for supplier respons"/>
    <x v="1"/>
    <x v="0"/>
    <d v="2022-02-10T00:00:00"/>
    <m/>
    <x v="1"/>
    <x v="0"/>
    <x v="0"/>
  </r>
  <r>
    <d v="2022-01-12T00:00:00"/>
    <s v="TIR1149"/>
    <x v="6"/>
    <s v="NA"/>
    <n v="410"/>
    <s v="410 reported  F_DRS_RelCBTrip_2  "/>
    <x v="1"/>
    <x v="1"/>
    <s v="CB cable connector was losse ,tight and put back"/>
    <x v="0"/>
    <x v="0"/>
    <d v="2022-01-18T00:00:00"/>
    <m/>
    <x v="7"/>
    <x v="0"/>
    <x v="0"/>
  </r>
  <r>
    <d v="2022-01-13T00:00:00"/>
    <s v="TIR1150"/>
    <x v="4"/>
    <s v="NA"/>
    <n v="414"/>
    <s v="Partition door lock missing "/>
    <x v="1"/>
    <x v="1"/>
    <m/>
    <x v="3"/>
    <x v="1"/>
    <m/>
    <s v="NCR1150"/>
    <x v="5"/>
    <x v="0"/>
    <x v="0"/>
  </r>
  <r>
    <d v="2022-01-16T00:00:00"/>
    <s v="TIR1151"/>
    <x v="0"/>
    <s v="PM"/>
    <n v="519"/>
    <s v="HC2-Sand reserviour is empty"/>
    <x v="1"/>
    <x v="1"/>
    <m/>
    <x v="4"/>
    <x v="1"/>
    <m/>
    <m/>
    <x v="15"/>
    <x v="0"/>
    <x v="0"/>
  </r>
  <r>
    <d v="2022-01-16T00:00:00"/>
    <s v="TIR1152"/>
    <x v="0"/>
    <s v="PM"/>
    <n v="404"/>
    <s v="HC1 PANEL 1- 1 ALLEN SCREW MISSING_x000a_HC2 PANEL1 - 1 ALLEN SCREW MISSING"/>
    <x v="1"/>
    <x v="1"/>
    <s v="in Hc1 nut damaged and HC2 nut missing (18-Jan-22)"/>
    <x v="3"/>
    <x v="1"/>
    <m/>
    <s v="NCR1152"/>
    <x v="5"/>
    <x v="0"/>
    <x v="0"/>
  </r>
  <r>
    <d v="2022-01-16T00:00:00"/>
    <s v="TIR1153"/>
    <x v="0"/>
    <s v="PM2210"/>
    <n v="413"/>
    <s v="IOS196 : Loss of at least 1 PEI in a class                                                                pei3 car1,ledi3 car1 ip off but physically good,_x000a_lcd3 car1 ip off but physically good,swd3 car1 ip scanner status off but physically ok                             Display Status: lcd6 car1 physically off condition   "/>
    <x v="1"/>
    <x v="0"/>
    <s v="Checked papis devices online and display ok"/>
    <x v="1"/>
    <x v="0"/>
    <d v="2022-01-19T00:00:00"/>
    <m/>
    <x v="2"/>
    <x v="0"/>
    <x v="0"/>
  </r>
  <r>
    <d v="2022-01-17T00:00:00"/>
    <s v="TIR1154"/>
    <x v="2"/>
    <s v="NA"/>
    <n v="403"/>
    <s v="Unconnected Grounding cable in the LVB Box."/>
    <x v="1"/>
    <x v="1"/>
    <m/>
    <x v="0"/>
    <x v="0"/>
    <d v="2022-01-18T00:00:00"/>
    <s v="NCR1154"/>
    <x v="13"/>
    <x v="0"/>
    <x v="0"/>
  </r>
  <r>
    <d v="2022-01-17T00:00:00"/>
    <s v="TIR1155"/>
    <x v="0"/>
    <s v="PM"/>
    <n v="501"/>
    <s v="Primary suspension's bottom cover -8 nos.(Refer picture)"/>
    <x v="1"/>
    <x v="3"/>
    <m/>
    <x v="0"/>
    <x v="0"/>
    <d v="2022-03-01T00:00:00"/>
    <s v="NCR1155"/>
    <x v="3"/>
    <x v="0"/>
    <x v="0"/>
  </r>
  <r>
    <d v="2022-01-17T00:00:00"/>
    <s v="TIR1156"/>
    <x v="0"/>
    <s v="PM2223"/>
    <n v="506"/>
    <s v="Gangway 1 Lock nok ,unable to Lock"/>
    <x v="1"/>
    <x v="1"/>
    <m/>
    <x v="0"/>
    <x v="0"/>
    <m/>
    <s v="NCR1156"/>
    <x v="5"/>
    <x v="0"/>
    <x v="0"/>
  </r>
  <r>
    <d v="2022-01-17T00:00:00"/>
    <s v="TIR1157"/>
    <x v="0"/>
    <s v="PM2223"/>
    <n v="506"/>
    <s v="Primary suspension's bottom cover -8 nos.(Refer picture)"/>
    <x v="1"/>
    <x v="3"/>
    <m/>
    <x v="3"/>
    <x v="1"/>
    <m/>
    <s v="NCR1157"/>
    <x v="3"/>
    <x v="0"/>
    <x v="0"/>
  </r>
  <r>
    <d v="2022-01-17T00:00:00"/>
    <s v="TIR1158"/>
    <x v="0"/>
    <s v="PM2223"/>
    <n v="506"/>
    <s v="HC1-Flange Lubricator saftey pin missing"/>
    <x v="1"/>
    <x v="2"/>
    <m/>
    <x v="3"/>
    <x v="1"/>
    <m/>
    <s v="NCR1158"/>
    <x v="3"/>
    <x v="0"/>
    <x v="0"/>
  </r>
  <r>
    <d v="2022-01-17T00:00:00"/>
    <s v="TIR1159"/>
    <x v="0"/>
    <s v="PM2230"/>
    <n v="511"/>
    <s v="Primary suspension's bottom cover -8 nos.(Refer picture)"/>
    <x v="1"/>
    <x v="3"/>
    <m/>
    <x v="3"/>
    <x v="1"/>
    <m/>
    <s v="NCR1159"/>
    <x v="3"/>
    <x v="0"/>
    <x v="0"/>
  </r>
  <r>
    <d v="2022-01-17T00:00:00"/>
    <s v="TIR1160"/>
    <x v="0"/>
    <s v="PM2225"/>
    <n v="414"/>
    <s v="umc car1 0.0.0-software version Nok"/>
    <x v="2"/>
    <x v="0"/>
    <s v="Checked the software version display OK"/>
    <x v="1"/>
    <x v="0"/>
    <d v="2022-01-24T00:00:00"/>
    <m/>
    <x v="2"/>
    <x v="0"/>
    <x v="0"/>
  </r>
  <r>
    <d v="2022-01-17T00:00:00"/>
    <s v="TIR1161"/>
    <x v="0"/>
    <s v="PM2225"/>
    <n v="414"/>
    <s v="hc2 gearbox no4 oil level below minimum"/>
    <x v="1"/>
    <x v="3"/>
    <m/>
    <x v="4"/>
    <x v="1"/>
    <m/>
    <m/>
    <x v="3"/>
    <x v="0"/>
    <x v="0"/>
  </r>
  <r>
    <d v="2022-01-17T00:00:00"/>
    <s v="TIR1162"/>
    <x v="0"/>
    <s v="PM2225"/>
    <n v="414"/>
    <s v="car1 lcd4 low brightness"/>
    <x v="1"/>
    <x v="0"/>
    <s v="Updated software manually and test OK"/>
    <x v="1"/>
    <x v="0"/>
    <d v="2022-01-24T00:00:00"/>
    <m/>
    <x v="2"/>
    <x v="0"/>
    <x v="0"/>
  </r>
  <r>
    <d v="2022-01-17T00:00:00"/>
    <s v="TIR1163"/>
    <x v="0"/>
    <s v="PM2228"/>
    <n v="422"/>
    <s v="hc1-hc2 sandng reservoir for re-filling, almost empty"/>
    <x v="1"/>
    <x v="2"/>
    <s v="01/27/2022 : no issue found, level of sand very low need to ask to PM to normalize"/>
    <x v="4"/>
    <x v="1"/>
    <m/>
    <m/>
    <x v="15"/>
    <x v="0"/>
    <x v="0"/>
  </r>
  <r>
    <d v="2022-01-17T00:00:00"/>
    <s v="TIR1164"/>
    <x v="2"/>
    <s v="NA"/>
    <n v="513"/>
    <s v="Network instability "/>
    <x v="3"/>
    <x v="2"/>
    <s v="18/01 : Network inspection _x000a_20/02/2022 : issue stil present . 23/2/2022 checked and found one CRS5_v2 delay to power on and as effect, it will generate IOS244. (UNDER MONITORING)"/>
    <x v="0"/>
    <x v="0"/>
    <d v="2022-02-16T00:00:00"/>
    <s v="NCR1164"/>
    <x v="6"/>
    <x v="0"/>
    <x v="0"/>
  </r>
  <r>
    <d v="2022-01-17T00:00:00"/>
    <s v="TIR1165"/>
    <x v="3"/>
    <s v="Alarm Viewer Alarms Report"/>
    <n v="622"/>
    <s v="IOS196:Loss of at least 1 PEI in a class"/>
    <x v="1"/>
    <x v="0"/>
    <s v="Checked all PEIs online"/>
    <x v="1"/>
    <x v="0"/>
    <d v="2022-01-30T00:00:00"/>
    <m/>
    <x v="2"/>
    <x v="0"/>
    <x v="0"/>
  </r>
  <r>
    <d v="2022-01-17T00:00:00"/>
    <s v="TIR1166"/>
    <x v="3"/>
    <s v="Alarm Viewer Alarms Report"/>
    <n v="651"/>
    <s v="IOS21:Minor fault on 1 brake unit"/>
    <x v="1"/>
    <x v="3"/>
    <s v="25/01 : Log checked from MPU and found LB_TBS_BCE1Axl1ValidSpd =Flase. And from BCE log we have F009 that mean there is a failure on the _x000a_impedance read on the speed sensor by the A-Matric. "/>
    <x v="0"/>
    <x v="0"/>
    <d v="2022-01-27T00:00:00"/>
    <s v="NCR1166"/>
    <x v="14"/>
    <x v="0"/>
    <x v="0"/>
  </r>
  <r>
    <d v="2022-01-17T00:00:00"/>
    <s v="TIR1167"/>
    <x v="3"/>
    <s v="Alarm Viewer Alarms Report"/>
    <n v="651"/>
    <s v="IOS67:Door CLOSING request fault indication"/>
    <x v="1"/>
    <x v="3"/>
    <s v="1/30: RIOM3-HC1 Pin J1-Z28 energised. We removed the RIOM and put back and  no more issue Observed."/>
    <x v="0"/>
    <x v="0"/>
    <d v="2022-01-30T00:00:00"/>
    <m/>
    <x v="9"/>
    <x v="0"/>
    <x v="0"/>
  </r>
  <r>
    <d v="2022-01-17T00:00:00"/>
    <s v="TIR1168"/>
    <x v="2"/>
    <s v="NA"/>
    <n v="615"/>
    <s v="HVAC -Venting error"/>
    <x v="1"/>
    <x v="1"/>
    <m/>
    <x v="3"/>
    <x v="1"/>
    <m/>
    <s v="NCR1168"/>
    <x v="1"/>
    <x v="0"/>
    <x v="0"/>
  </r>
  <r>
    <d v="2022-01-18T00:00:00"/>
    <s v="TIR1169"/>
    <x v="5"/>
    <m/>
    <n v="603"/>
    <s v="The CMV racks are equipped with wrong type screws and washer (TS 603)."/>
    <x v="1"/>
    <x v="1"/>
    <m/>
    <x v="0"/>
    <x v="0"/>
    <m/>
    <s v="NCR1169"/>
    <x v="5"/>
    <x v="0"/>
    <x v="0"/>
  </r>
  <r>
    <d v="2022-01-18T00:00:00"/>
    <s v="TIR1170"/>
    <x v="0"/>
    <s v="PM"/>
    <n v="506"/>
    <s v="HC1-left side derailment sensor bended and clamp,cable sleeve damaged( Refer Pic)                           _x000a_HC1-Right side derailment sensor's ground cable is cutted      (Refer pic)"/>
    <x v="3"/>
    <x v="1"/>
    <s v="18/01 : To create NCR"/>
    <x v="0"/>
    <x v="0"/>
    <m/>
    <s v="NCR1170"/>
    <x v="3"/>
    <x v="0"/>
    <x v="0"/>
  </r>
  <r>
    <d v="2022-01-18T00:00:00"/>
    <s v="TIR1171"/>
    <x v="0"/>
    <s v="PM2236"/>
    <n v="514"/>
    <s v="HC2-left side derailment sensor's cable support clamp found  bended,cable  is in stressed ( Refer Pic)                "/>
    <x v="1"/>
    <x v="2"/>
    <m/>
    <x v="1"/>
    <x v="0"/>
    <d v="2022-02-14T00:00:00"/>
    <m/>
    <x v="2"/>
    <x v="0"/>
    <x v="0"/>
  </r>
  <r>
    <d v="2022-01-18T00:00:00"/>
    <s v="TIR1172"/>
    <x v="0"/>
    <s v="PM2232"/>
    <n v="411"/>
    <s v="LCD.4/V1-IP offline"/>
    <x v="1"/>
    <x v="0"/>
    <s v="Checked LCD online and display OK"/>
    <x v="1"/>
    <x v="0"/>
    <d v="2022-01-26T00:00:00"/>
    <m/>
    <x v="2"/>
    <x v="0"/>
    <x v="0"/>
  </r>
  <r>
    <d v="2022-01-18T00:00:00"/>
    <s v="TIR1173"/>
    <x v="0"/>
    <s v="PM2233"/>
    <n v="412"/>
    <s v="Heat sink one  found scratch"/>
    <x v="1"/>
    <x v="1"/>
    <s v="Minor scratch on cvs inverter heat sink it will impact on any function"/>
    <x v="1"/>
    <x v="0"/>
    <d v="2022-02-13T00:00:00"/>
    <m/>
    <x v="11"/>
    <x v="0"/>
    <x v="0"/>
  </r>
  <r>
    <d v="2022-01-18T00:00:00"/>
    <s v="TIR1174"/>
    <x v="0"/>
    <s v="PM2234"/>
    <n v="603"/>
    <s v="HC1 gear level is low in Axle1 &amp;2"/>
    <x v="1"/>
    <x v="3"/>
    <s v="31/01 : level is low. No leakage found. Need to normalize the oil level."/>
    <x v="4"/>
    <x v="1"/>
    <m/>
    <m/>
    <x v="3"/>
    <x v="0"/>
    <x v="0"/>
  </r>
  <r>
    <d v="2022-01-18T00:00:00"/>
    <s v="TIR1175"/>
    <x v="0"/>
    <s v="PM2235"/>
    <n v="608"/>
    <s v="HC1 gear oil level is low in Axle 1&amp;4 and also in HC2 axle 1"/>
    <x v="1"/>
    <x v="3"/>
    <s v="31/01 : level is low. No leakage found. Need to normalize the oil level."/>
    <x v="4"/>
    <x v="1"/>
    <m/>
    <m/>
    <x v="3"/>
    <x v="0"/>
    <x v="0"/>
  </r>
  <r>
    <d v="2022-01-18T00:00:00"/>
    <s v="TIR1176"/>
    <x v="0"/>
    <s v="PM2236"/>
    <n v="514"/>
    <s v="Hc2-Sand Level Low"/>
    <x v="1"/>
    <x v="3"/>
    <s v="02/14 : to normalize the sand level"/>
    <x v="4"/>
    <x v="1"/>
    <m/>
    <m/>
    <x v="15"/>
    <x v="0"/>
    <x v="0"/>
  </r>
  <r>
    <d v="2022-01-18T00:00:00"/>
    <s v="TIR1177"/>
    <x v="0"/>
    <s v="PM2231"/>
    <n v="403"/>
    <s v="sand level is low"/>
    <x v="1"/>
    <x v="3"/>
    <s v="31/01 : no issue found. Need to normalize the sand level."/>
    <x v="4"/>
    <x v="1"/>
    <m/>
    <m/>
    <x v="15"/>
    <x v="0"/>
    <x v="0"/>
  </r>
  <r>
    <d v="2022-01-18T00:00:00"/>
    <s v="TIR1178"/>
    <x v="0"/>
    <s v="PM2236"/>
    <n v="514"/>
    <s v="Primary suspension bottom protection  cover -08 nos missing"/>
    <x v="1"/>
    <x v="3"/>
    <m/>
    <x v="2"/>
    <x v="1"/>
    <m/>
    <m/>
    <x v="3"/>
    <x v="0"/>
    <x v="0"/>
  </r>
  <r>
    <d v="2022-01-18T00:00:00"/>
    <s v="TIR1179"/>
    <x v="0"/>
    <s v="PM2237"/>
    <n v="516"/>
    <s v="Primary suspension bottom protection  cover -08 nos missing"/>
    <x v="1"/>
    <x v="3"/>
    <m/>
    <x v="2"/>
    <x v="1"/>
    <m/>
    <m/>
    <x v="3"/>
    <x v="0"/>
    <x v="0"/>
  </r>
  <r>
    <d v="2022-01-18T00:00:00"/>
    <s v="TIR1180"/>
    <x v="3"/>
    <s v="NA"/>
    <n v="418"/>
    <s v="HC2 Saloon light cover dismantle (Near to RP3)."/>
    <x v="1"/>
    <x v="1"/>
    <m/>
    <x v="1"/>
    <x v="0"/>
    <d v="2022-01-30T00:00:00"/>
    <m/>
    <x v="5"/>
    <x v="0"/>
    <x v="0"/>
  </r>
  <r>
    <d v="2022-01-18T00:00:00"/>
    <s v="TIR1181"/>
    <x v="3"/>
    <s v="NA"/>
    <n v="419"/>
    <s v="Auto-Combine Test (ACT) failed _x000a_+ IOS245: One PCE have a communication fault, + IOS235: Faulty auto test on at least one PCE and + IOS021: Minor fault on 1 brake unit"/>
    <x v="1"/>
    <x v="4"/>
    <s v="24/01/2022 : issue happened 2 times. PCE software udpated "/>
    <x v="0"/>
    <x v="0"/>
    <d v="2022-01-24T00:00:00"/>
    <m/>
    <x v="10"/>
    <x v="0"/>
    <x v="0"/>
  </r>
  <r>
    <d v="2022-01-18T00:00:00"/>
    <s v="TIR1182"/>
    <x v="3"/>
    <s v="NA"/>
    <n v="419"/>
    <s v="IOS015 appeared on TS419 and train return back to STBL."/>
    <x v="3"/>
    <x v="3"/>
    <s v="23/01 : Relay 62k08 stuck and not activated. Need to replace the relay"/>
    <x v="0"/>
    <x v="0"/>
    <d v="2022-01-25T00:00:00"/>
    <s v="NCR1182"/>
    <x v="7"/>
    <x v="0"/>
    <x v="1"/>
  </r>
  <r>
    <d v="2022-01-18T00:00:00"/>
    <s v="TIR1183"/>
    <x v="3"/>
    <s v="Alarm Viewer Alarms Report"/>
    <n v="401"/>
    <s v="IOS196:Loss of at least 1 PEI in a class"/>
    <x v="1"/>
    <x v="5"/>
    <s v="Checked all PEIs online"/>
    <x v="1"/>
    <x v="0"/>
    <d v="2022-01-30T00:00:00"/>
    <m/>
    <x v="2"/>
    <x v="0"/>
    <x v="0"/>
  </r>
  <r>
    <d v="2022-01-19T00:00:00"/>
    <s v="TIR1184"/>
    <x v="3"/>
    <m/>
    <n v="510"/>
    <s v="IOS -227 loss of Traction in both CABs observed even when the Traction Power is available and both HSCBs are closed."/>
    <x v="3"/>
    <x v="3"/>
    <s v="wrong MPU Sw is install in the train _x000a_07/02 : MPUs updated and no more ios "/>
    <x v="0"/>
    <x v="0"/>
    <d v="2022-02-07T00:00:00"/>
    <m/>
    <x v="6"/>
    <x v="0"/>
    <x v="0"/>
  </r>
  <r>
    <d v="2022-01-19T00:00:00"/>
    <s v="TIR1185"/>
    <x v="3"/>
    <m/>
    <n v="501"/>
    <s v="Break issue with below recorded IOS_x000a_IOS295, IOS246, IOS21 "/>
    <x v="3"/>
    <x v="3"/>
    <s v="06-02-2022 :Need to check _x000a_08/02 : found the cabling between A_x0002_Matric and Ethernet switch not well connected.woke up the train 3 times and no IOS observed. "/>
    <x v="0"/>
    <x v="0"/>
    <d v="2022-02-07T00:00:00"/>
    <m/>
    <x v="14"/>
    <x v="0"/>
    <x v="0"/>
  </r>
  <r>
    <d v="2022-01-19T00:00:00"/>
    <s v="TIR1186"/>
    <x v="7"/>
    <s v="Mantis_RST1000"/>
    <n v="505"/>
    <s v="IOS249:One DCU has a communication fault"/>
    <x v="1"/>
    <x v="1"/>
    <m/>
    <x v="2"/>
    <x v="1"/>
    <m/>
    <m/>
    <x v="9"/>
    <x v="0"/>
    <x v="0"/>
  </r>
  <r>
    <d v="2022-01-19T00:00:00"/>
    <s v="TIR1187"/>
    <x v="7"/>
    <s v="Mantis_RST999"/>
    <n v="514"/>
    <s v="when the train is correctly docked and PEED of the door towards the track is applied and the train driving mood is switched from ATPM to UTO the door towards the track opens (less than 2.5 cm) and closes immediately. _x000a_o When the door opening alarm is triggered by ATC area securing zone is applied. _x000a_o Issue is observed only on the mainline.  "/>
    <x v="1"/>
    <x v="1"/>
    <m/>
    <x v="2"/>
    <x v="1"/>
    <m/>
    <m/>
    <x v="9"/>
    <x v="0"/>
    <x v="0"/>
  </r>
  <r>
    <d v="2022-01-19T00:00:00"/>
    <s v="TIR1188"/>
    <x v="3"/>
    <s v="Alarm Viewer Alarms Report"/>
    <n v="408"/>
    <s v="IOS196:Loss of at least 1 PEI in a class"/>
    <x v="1"/>
    <x v="5"/>
    <s v="Checked all devices online and display OK"/>
    <x v="1"/>
    <x v="0"/>
    <d v="2022-01-20T00:00:00"/>
    <m/>
    <x v="2"/>
    <x v="0"/>
    <x v="0"/>
  </r>
  <r>
    <d v="2022-01-19T00:00:00"/>
    <s v="TIR1189"/>
    <x v="3"/>
    <s v="Alarm Viewer Alarms Report"/>
    <n v="613"/>
    <s v="IOS249:One DCU has a communication fault"/>
    <x v="2"/>
    <x v="1"/>
    <m/>
    <x v="1"/>
    <x v="0"/>
    <d v="2022-01-31T00:00:00"/>
    <m/>
    <x v="9"/>
    <x v="0"/>
    <x v="0"/>
  </r>
  <r>
    <d v="2022-01-19T00:00:00"/>
    <s v="TIR1190"/>
    <x v="3"/>
    <s v="Alarm Viewer Alarms Report"/>
    <n v="624"/>
    <s v="IOS21:Minor fault on 1 brake unit_x000a_IOS245:One PCE has a communication faul_x000a_IOS235:Faulty auto test on at least one PCE"/>
    <x v="2"/>
    <x v="4"/>
    <s v="reversible mode "/>
    <x v="1"/>
    <x v="0"/>
    <d v="2022-02-10T00:00:00"/>
    <m/>
    <x v="14"/>
    <x v="0"/>
    <x v="0"/>
  </r>
  <r>
    <d v="2022-01-19T00:00:00"/>
    <s v="TIR1191"/>
    <x v="3"/>
    <s v="Alarm Viewer Alarms Report"/>
    <n v="401"/>
    <s v="IOS179:1 APC MV Status false_x000a_IOS185:1 APC LV Status false"/>
    <x v="2"/>
    <x v="4"/>
    <s v="due to reversibler mode"/>
    <x v="1"/>
    <x v="0"/>
    <d v="2022-02-09T00:00:00"/>
    <m/>
    <x v="11"/>
    <x v="0"/>
    <x v="0"/>
  </r>
  <r>
    <d v="2022-01-19T00:00:00"/>
    <s v="TIR1192"/>
    <x v="4"/>
    <s v="NA"/>
    <n v="622"/>
    <s v="GCR panel cover need to fixed "/>
    <x v="1"/>
    <x v="2"/>
    <s v="Checked and no all cover fixed."/>
    <x v="1"/>
    <x v="0"/>
    <d v="2022-03-13T00:00:00"/>
    <m/>
    <x v="5"/>
    <x v="0"/>
    <x v="0"/>
  </r>
  <r>
    <d v="2022-01-19T00:00:00"/>
    <s v="TIR1193"/>
    <x v="4"/>
    <s v="NA"/>
    <n v="402"/>
    <s v="RP locks panel need to fixed"/>
    <x v="1"/>
    <x v="1"/>
    <m/>
    <x v="1"/>
    <x v="0"/>
    <d v="2022-03-15T00:00:00"/>
    <m/>
    <x v="5"/>
    <x v="0"/>
    <x v="0"/>
  </r>
  <r>
    <d v="2022-01-24T00:00:00"/>
    <s v="TIR1194"/>
    <x v="2"/>
    <s v="NA"/>
    <n v="626"/>
    <s v="52Q11 and 11Q02 was tripping (short circuit in AA3S)"/>
    <x v="3"/>
    <x v="1"/>
    <s v="short circuit inside the  AA3S so we replaced with new AA3S."/>
    <x v="0"/>
    <x v="0"/>
    <d v="2022-01-24T00:00:00"/>
    <s v="NCR1194"/>
    <x v="10"/>
    <x v="0"/>
    <x v="0"/>
  </r>
  <r>
    <d v="2022-01-26T00:00:00"/>
    <s v="TIR1195"/>
    <x v="0"/>
    <s v="NA"/>
    <n v="411"/>
    <s v="pei5-v1 loss com"/>
    <x v="1"/>
    <x v="0"/>
    <s v="Replaced New PEI"/>
    <x v="0"/>
    <x v="0"/>
    <d v="2022-01-26T00:00:00"/>
    <s v="NCR1195"/>
    <x v="2"/>
    <x v="0"/>
    <x v="0"/>
  </r>
  <r>
    <d v="2022-01-26T00:00:00"/>
    <s v="TIR1196"/>
    <x v="0"/>
    <s v="NA"/>
    <n v="615"/>
    <s v="The light under the seat does not work in the first class cabin @615A"/>
    <x v="1"/>
    <x v="1"/>
    <s v="shunt was losse between 23E12 and 23E13 . we fixed the shunt. "/>
    <x v="0"/>
    <x v="0"/>
    <d v="2022-01-26T00:00:00"/>
    <m/>
    <x v="5"/>
    <x v="0"/>
    <x v="0"/>
  </r>
  <r>
    <d v="2022-01-30T00:00:00"/>
    <s v="TIR1197"/>
    <x v="3"/>
    <s v="NA"/>
    <n v="511"/>
    <s v="4 Roof panel and 2 HVAC panel damaged due to hit roller shutter. "/>
    <x v="3"/>
    <x v="1"/>
    <s v="need to Reapair  and paint "/>
    <x v="3"/>
    <x v="1"/>
    <m/>
    <s v="NCR1197"/>
    <x v="13"/>
    <x v="0"/>
    <x v="0"/>
  </r>
  <r>
    <d v="2022-01-30T00:00:00"/>
    <s v="TIR1198"/>
    <x v="3"/>
    <s v="NA"/>
    <n v="611"/>
    <s v="Found paint signs on the surface of the train.  Ref. Pic."/>
    <x v="1"/>
    <x v="1"/>
    <s v="need to Reapair  and paint "/>
    <x v="0"/>
    <x v="0"/>
    <d v="2022-01-31T00:00:00"/>
    <s v="NCR1198"/>
    <x v="13"/>
    <x v="0"/>
    <x v="0"/>
  </r>
  <r>
    <d v="2022-01-30T00:00:00"/>
    <s v="TIR1199"/>
    <x v="3"/>
    <s v="NA"/>
    <n v="625"/>
    <s v="Found screthes on the surface of train near Door 1 in HC2.  Ref. Pic."/>
    <x v="1"/>
    <x v="1"/>
    <s v="need to Reapair  and paint "/>
    <x v="0"/>
    <x v="0"/>
    <d v="2022-01-31T00:00:00"/>
    <s v="NCR1199"/>
    <x v="13"/>
    <x v="0"/>
    <x v="0"/>
  </r>
  <r>
    <d v="2022-01-30T00:00:00"/>
    <s v="TIR1200"/>
    <x v="0"/>
    <s v="PM2293"/>
    <n v="401"/>
    <s v="HC1 LCD1 showing offline in IP scanner"/>
    <x v="1"/>
    <x v="0"/>
    <s v="Updated software manually and test OK"/>
    <x v="0"/>
    <x v="0"/>
    <d v="2022-02-14T00:00:00"/>
    <m/>
    <x v="2"/>
    <x v="0"/>
    <x v="0"/>
  </r>
  <r>
    <d v="2022-01-30T00:00:00"/>
    <s v="TIR1201"/>
    <x v="0"/>
    <s v="PM2295"/>
    <n v="422"/>
    <s v="HC2 LEDI1 is not working and IP also offline -blank"/>
    <x v="1"/>
    <x v="0"/>
    <s v="checked it online and display ok"/>
    <x v="1"/>
    <x v="0"/>
    <d v="2022-02-24T00:00:00"/>
    <m/>
    <x v="2"/>
    <x v="0"/>
    <x v="0"/>
  </r>
  <r>
    <d v="2022-01-30T00:00:00"/>
    <s v="TIR1202"/>
    <x v="0"/>
    <s v="PM2296"/>
    <n v="423"/>
    <s v="HC2 LEDI6,LCD6,SWD6 offline in ip scanner-physically they are working good"/>
    <x v="1"/>
    <x v="0"/>
    <m/>
    <x v="1"/>
    <x v="0"/>
    <d v="2022-02-28T00:00:00"/>
    <m/>
    <x v="2"/>
    <x v="0"/>
    <x v="0"/>
  </r>
  <r>
    <d v="2022-01-31T00:00:00"/>
    <s v="TIR1203"/>
    <x v="3"/>
    <m/>
    <n v="406"/>
    <s v="EB applied &amp; not getting released, EB was from ATC side due to 5 ATC cards are not working in 93A01 Rack in GCL."/>
    <x v="3"/>
    <x v="3"/>
    <s v="3/2/2022 : SLV issue confirmed. Issue coming from the PPU card doesn't power the others cards. Slv will inform us when they rectify the issue._x000a_Now ok Card replaced"/>
    <x v="1"/>
    <x v="0"/>
    <m/>
    <m/>
    <x v="12"/>
    <x v="0"/>
    <x v="0"/>
  </r>
  <r>
    <d v="2022-02-03T00:00:00"/>
    <s v="TIR1204"/>
    <x v="2"/>
    <m/>
    <n v="625"/>
    <s v="TCCU2 no take over as master issue"/>
    <x v="1"/>
    <x v="0"/>
    <s v="Replaced a new TCCU and test ok"/>
    <x v="0"/>
    <x v="0"/>
    <d v="2022-02-03T00:00:00"/>
    <s v="NCR1204"/>
    <x v="0"/>
    <x v="0"/>
    <x v="0"/>
  </r>
  <r>
    <d v="2022-02-03T00:00:00"/>
    <s v="TIR1205"/>
    <x v="2"/>
    <m/>
    <n v="626"/>
    <s v="CVS2 agate short circuit"/>
    <x v="3"/>
    <x v="1"/>
    <s v="Replaces a new CVS agate and test ok"/>
    <x v="0"/>
    <x v="0"/>
    <d v="2022-02-03T00:00:00"/>
    <s v="NCR1205"/>
    <x v="0"/>
    <x v="0"/>
    <x v="0"/>
  </r>
  <r>
    <d v="2022-02-01T00:00:00"/>
    <s v="TIR1206"/>
    <x v="0"/>
    <s v="PM2304"/>
    <n v="608"/>
    <s v="HC-2, CVS - Cover panel, one lock is missing"/>
    <x v="1"/>
    <x v="2"/>
    <m/>
    <x v="2"/>
    <x v="1"/>
    <m/>
    <m/>
    <x v="0"/>
    <x v="0"/>
    <x v="0"/>
  </r>
  <r>
    <d v="2022-02-01T00:00:00"/>
    <s v="TIR1207"/>
    <x v="0"/>
    <s v="PM2305"/>
    <n v="514"/>
    <s v="Internal  Gangway Panel has more scratch"/>
    <x v="1"/>
    <x v="1"/>
    <m/>
    <x v="3"/>
    <x v="1"/>
    <m/>
    <s v="NCR1207"/>
    <x v="0"/>
    <x v="0"/>
    <x v="0"/>
  </r>
  <r>
    <d v="2022-02-01T00:00:00"/>
    <s v="TIR1208"/>
    <x v="0"/>
    <s v="PM2306"/>
    <n v="516"/>
    <s v="HC1-HVAC1-Compressor 3 Noise"/>
    <x v="1"/>
    <x v="1"/>
    <m/>
    <x v="2"/>
    <x v="1"/>
    <m/>
    <m/>
    <x v="0"/>
    <x v="0"/>
    <x v="0"/>
  </r>
  <r>
    <d v="2022-02-01T00:00:00"/>
    <s v="TIR1209"/>
    <x v="0"/>
    <s v="PM2313"/>
    <n v="512"/>
    <s v="Hc1-First class passenger saloon light in reverse brightness"/>
    <x v="1"/>
    <x v="1"/>
    <m/>
    <x v="2"/>
    <x v="1"/>
    <m/>
    <m/>
    <x v="0"/>
    <x v="0"/>
    <x v="0"/>
  </r>
  <r>
    <d v="2022-02-01T00:00:00"/>
    <s v="TIR1210"/>
    <x v="0"/>
    <s v="PM2313"/>
    <n v="512"/>
    <s v="Hc1-First class passenger saloon light in reverse brightness"/>
    <x v="1"/>
    <x v="1"/>
    <m/>
    <x v="2"/>
    <x v="1"/>
    <m/>
    <m/>
    <x v="0"/>
    <x v="0"/>
    <x v="0"/>
  </r>
  <r>
    <d v="2022-02-01T00:00:00"/>
    <s v="TIR1211"/>
    <x v="0"/>
    <s v="PM2307"/>
    <n v="415"/>
    <s v=" HC2-PCE cooling fan cover one screw need to re-tap"/>
    <x v="1"/>
    <x v="2"/>
    <m/>
    <x v="3"/>
    <x v="1"/>
    <m/>
    <m/>
    <x v="0"/>
    <x v="0"/>
    <x v="0"/>
  </r>
  <r>
    <d v="2022-02-01T00:00:00"/>
    <s v="TIR1212"/>
    <x v="0"/>
    <s v="30k MAINTENANCE "/>
    <n v="416"/>
    <s v="HC1 AXLE4 LHS primary suspension dummy caps (bottom part ) are missing  HC2 AXLE1 RHS and AXLE4 LHS primary suspension dummy caps (bottom part ) are missing "/>
    <x v="1"/>
    <x v="3"/>
    <s v="03/08 : Need 8 Pcs to normalize"/>
    <x v="3"/>
    <x v="1"/>
    <m/>
    <m/>
    <x v="3"/>
    <x v="0"/>
    <x v="0"/>
  </r>
  <r>
    <d v="2022-02-01T00:00:00"/>
    <s v="TIR1213"/>
    <x v="0"/>
    <s v="30k MAINTENANCE "/>
    <n v="416"/>
    <s v="HC1 Bogie 2 Horizontal damper doesnt have torque marks on its bolts on one end ( two bolts );ALL ECR(earth current return ) cables are without proper torque marks on them (HC1 +HC2)_x000a_all axle box outer covers are without proper legible  torque marks on them (marks are mostly faded are not good)"/>
    <x v="1"/>
    <x v="4"/>
    <m/>
    <x v="4"/>
    <x v="1"/>
    <m/>
    <m/>
    <x v="13"/>
    <x v="0"/>
    <x v="0"/>
  </r>
  <r>
    <d v="2022-02-01T00:00:00"/>
    <s v="TIR1214"/>
    <x v="0"/>
    <s v="PM2310"/>
    <n v="606"/>
    <s v="IOS61 : At least one door is not operational indication"/>
    <x v="1"/>
    <x v="1"/>
    <m/>
    <x v="1"/>
    <x v="0"/>
    <d v="2022-02-28T00:00:00"/>
    <m/>
    <x v="0"/>
    <x v="0"/>
    <x v="0"/>
  </r>
  <r>
    <d v="2022-02-01T00:00:00"/>
    <s v="TIR1215"/>
    <x v="3"/>
    <m/>
    <n v="608"/>
    <s v="IOS191:Loss of video recorder_x000a_IOS200:Loss of all superwides in the same doors platform_x000a_IOS199:Loss of all interior LCD compact displays in the same platform_x000a_IOS198:Loss of LCD 16/9 in the same class_x000a_IOS195:Loss of All PEI in the same class_x000a_IOS196:Loss of at least 1 PEI in a class"/>
    <x v="1"/>
    <x v="5"/>
    <s v="Checked PEIs all online and no ios report"/>
    <x v="1"/>
    <x v="0"/>
    <d v="2022-02-27T00:00:00"/>
    <m/>
    <x v="0"/>
    <x v="0"/>
    <x v="0"/>
  </r>
  <r>
    <d v="2022-02-01T00:00:00"/>
    <s v="TIR1216"/>
    <x v="0"/>
    <s v="PM2319"/>
    <n v="503"/>
    <s v="HC1-HVAC1 compressor 1,2,3 are Noisy"/>
    <x v="1"/>
    <x v="1"/>
    <m/>
    <x v="2"/>
    <x v="1"/>
    <m/>
    <m/>
    <x v="0"/>
    <x v="0"/>
    <x v="0"/>
  </r>
  <r>
    <d v="2022-02-01T00:00:00"/>
    <s v="TIR1217"/>
    <x v="0"/>
    <s v="PM2319"/>
    <n v="503"/>
    <s v="HC2 Compressor -AirLeakage"/>
    <x v="1"/>
    <x v="3"/>
    <m/>
    <x v="2"/>
    <x v="1"/>
    <m/>
    <m/>
    <x v="0"/>
    <x v="0"/>
    <x v="0"/>
  </r>
  <r>
    <d v="2022-02-01T00:00:00"/>
    <s v="TIR1218"/>
    <x v="0"/>
    <s v="PM2319"/>
    <n v="503"/>
    <s v="HC1&amp; HC2-Cab Light Dim(inverse )"/>
    <x v="1"/>
    <x v="1"/>
    <s v="Already created NCR"/>
    <x v="3"/>
    <x v="1"/>
    <m/>
    <s v="NCR0425"/>
    <x v="0"/>
    <x v="0"/>
    <x v="0"/>
  </r>
  <r>
    <d v="2022-02-01T00:00:00"/>
    <s v="TIR1219"/>
    <x v="0"/>
    <s v="PM2319"/>
    <n v="503"/>
    <s v="HC1- Train can't be sleep"/>
    <x v="1"/>
    <x v="3"/>
    <m/>
    <x v="0"/>
    <x v="0"/>
    <d v="2022-02-23T00:00:00"/>
    <m/>
    <x v="0"/>
    <x v="0"/>
    <x v="0"/>
  </r>
  <r>
    <d v="2022-02-06T00:00:00"/>
    <s v="TIR1220"/>
    <x v="0"/>
    <s v="PM2326"/>
    <n v="517"/>
    <s v="HC1-Stinger 750vdc  Power connector female broken(Refer Pic)"/>
    <x v="1"/>
    <x v="1"/>
    <m/>
    <x v="3"/>
    <x v="1"/>
    <m/>
    <s v="NCR1220"/>
    <x v="0"/>
    <x v="0"/>
    <x v="0"/>
  </r>
  <r>
    <d v="2022-02-06T00:00:00"/>
    <s v="TIR1221"/>
    <x v="0"/>
    <s v="PM2326"/>
    <n v="517"/>
    <s v="HC1-Bogie1 left side Fuse box -JB cable clamp missing(Refer Pic)"/>
    <x v="1"/>
    <x v="1"/>
    <m/>
    <x v="3"/>
    <x v="1"/>
    <m/>
    <s v="NCR1221"/>
    <x v="0"/>
    <x v="0"/>
    <x v="0"/>
  </r>
  <r>
    <d v="2022-02-06T00:00:00"/>
    <s v="TIR1222"/>
    <x v="0"/>
    <s v="PM2327"/>
    <n v="518"/>
    <s v="HC1- Becon Antenna cable stressed due to unfit bracket installed"/>
    <x v="1"/>
    <x v="3"/>
    <m/>
    <x v="2"/>
    <x v="1"/>
    <m/>
    <m/>
    <x v="0"/>
    <x v="0"/>
    <x v="0"/>
  </r>
  <r>
    <d v="2022-02-06T00:00:00"/>
    <s v="TIR1223"/>
    <x v="0"/>
    <s v="PM2327"/>
    <n v="518"/>
    <s v="HC1-HVAC1/LP2 Low level ;HC2-HVAC1/LP2 Low Level"/>
    <x v="1"/>
    <x v="1"/>
    <m/>
    <x v="2"/>
    <x v="1"/>
    <m/>
    <m/>
    <x v="0"/>
    <x v="0"/>
    <x v="0"/>
  </r>
  <r>
    <d v="2022-02-06T00:00:00"/>
    <s v="TIR1224"/>
    <x v="0"/>
    <s v="PM2327"/>
    <n v="518"/>
    <s v="HC1-Bogie 1 observed abnormal sound while movment"/>
    <x v="1"/>
    <x v="2"/>
    <m/>
    <x v="2"/>
    <x v="1"/>
    <m/>
    <m/>
    <x v="0"/>
    <x v="0"/>
    <x v="0"/>
  </r>
  <r>
    <d v="2022-02-06T00:00:00"/>
    <s v="TIR1225"/>
    <x v="0"/>
    <s v="PM2322"/>
    <n v="610"/>
    <s v="Semi permament coupler earth strip missing one bolt"/>
    <x v="1"/>
    <x v="1"/>
    <m/>
    <x v="3"/>
    <x v="1"/>
    <m/>
    <m/>
    <x v="0"/>
    <x v="0"/>
    <x v="0"/>
  </r>
  <r>
    <d v="2022-02-06T00:00:00"/>
    <s v="TIR1226"/>
    <x v="0"/>
    <s v="PM2324"/>
    <n v="618"/>
    <s v="HC-02, A-matric exhaust filter Bottom side -  bolt missing and HC-01, Auxillary panel lock is missing"/>
    <x v="1"/>
    <x v="2"/>
    <m/>
    <x v="3"/>
    <x v="1"/>
    <m/>
    <s v="NCR1226"/>
    <x v="0"/>
    <x v="0"/>
    <x v="0"/>
  </r>
  <r>
    <d v="2022-02-06T00:00:00"/>
    <s v="TIR1227"/>
    <x v="0"/>
    <s v="30K maintenance"/>
    <n v="414"/>
    <s v="No proper (legible ) torque marks on the axle box outer covers (all the axles )-all marks are faded;none of the ECR(EARTH CURRENT RETURN ) cables  have  proper torque marks on them"/>
    <x v="1"/>
    <x v="4"/>
    <m/>
    <x v="4"/>
    <x v="1"/>
    <m/>
    <m/>
    <x v="13"/>
    <x v="0"/>
    <x v="0"/>
  </r>
  <r>
    <d v="2022-02-06T00:00:00"/>
    <s v="TIR1228"/>
    <x v="0"/>
    <s v="30K maintenance"/>
    <n v="414"/>
    <s v="HC2 AXLE3 RHS-one of the clamp holding the odometer cable to the bogie frame is missing -already tied with cable tie"/>
    <x v="1"/>
    <x v="3"/>
    <m/>
    <x v="2"/>
    <x v="1"/>
    <m/>
    <m/>
    <x v="0"/>
    <x v="0"/>
    <x v="0"/>
  </r>
  <r>
    <d v="2022-02-06T00:00:00"/>
    <s v="TIR1229"/>
    <x v="0"/>
    <s v="30K maintenance"/>
    <n v="414"/>
    <s v="Lubricator  sticks are not available in stock  HC1- 13 sticks are needed to add; HC2-14 sticks are needed to add"/>
    <x v="1"/>
    <x v="4"/>
    <m/>
    <x v="4"/>
    <x v="1"/>
    <m/>
    <m/>
    <x v="15"/>
    <x v="0"/>
    <x v="0"/>
  </r>
  <r>
    <d v="2022-02-06T00:00:00"/>
    <s v="TIR1230"/>
    <x v="0"/>
    <s v="PM2304"/>
    <n v="608"/>
    <s v="HC1 HVAC1 not able to launch TEST PROTOCOL as the pre condition is not getting high-but physically  HVAC found working"/>
    <x v="1"/>
    <x v="1"/>
    <m/>
    <x v="1"/>
    <x v="0"/>
    <d v="2022-02-24T00:00:00"/>
    <m/>
    <x v="0"/>
    <x v="0"/>
    <x v="0"/>
  </r>
  <r>
    <d v="2022-02-06T00:00:00"/>
    <s v="TIR1231"/>
    <x v="0"/>
    <s v="PM2300"/>
    <n v="411"/>
    <s v="LEDI4,LCD4,SWD4 HC1 are showing offline-Physically they are working good"/>
    <x v="1"/>
    <x v="0"/>
    <m/>
    <x v="1"/>
    <x v="0"/>
    <d v="2022-02-28T00:00:00"/>
    <m/>
    <x v="0"/>
    <x v="0"/>
    <x v="0"/>
  </r>
  <r>
    <d v="2022-02-07T00:00:00"/>
    <s v="TIR1232"/>
    <x v="0"/>
    <s v="PM2330"/>
    <n v="408"/>
    <s v="HC1 LCD.C.5 display is black in screen (ip is online )"/>
    <x v="1"/>
    <x v="0"/>
    <m/>
    <x v="1"/>
    <x v="0"/>
    <d v="2022-02-28T00:00:00"/>
    <m/>
    <x v="0"/>
    <x v="0"/>
    <x v="0"/>
  </r>
  <r>
    <d v="2022-02-07T00:00:00"/>
    <s v="TIR1233"/>
    <x v="0"/>
    <s v="PM2330"/>
    <n v="408"/>
    <s v="ONE GANGWAY PANEL DOOR IS MISSING"/>
    <x v="1"/>
    <x v="1"/>
    <m/>
    <x v="3"/>
    <x v="1"/>
    <m/>
    <s v="NCR1098"/>
    <x v="0"/>
    <x v="0"/>
    <x v="0"/>
  </r>
  <r>
    <d v="2022-02-07T00:00:00"/>
    <s v="TIR1234"/>
    <x v="0"/>
    <s v="PM2328"/>
    <n v="404"/>
    <s v="IOS264 : More than one MUC have a communication fault;In software versions the UMC1,UMC2 showing 0.0.0"/>
    <x v="1"/>
    <x v="0"/>
    <s v="Checked both TCCU version STR570; Updated software again to follow"/>
    <x v="1"/>
    <x v="0"/>
    <d v="2022-02-17T00:00:00"/>
    <m/>
    <x v="0"/>
    <x v="0"/>
    <x v="0"/>
  </r>
  <r>
    <d v="2022-02-07T00:00:00"/>
    <s v="TIR1235"/>
    <x v="0"/>
    <s v="30K maintenance"/>
    <n v="404"/>
    <s v="No proper (legible ) torque marks on the axle box outer covers (all the axles )-all marks are faded"/>
    <x v="1"/>
    <x v="4"/>
    <m/>
    <x v="4"/>
    <x v="1"/>
    <m/>
    <m/>
    <x v="13"/>
    <x v="0"/>
    <x v="0"/>
  </r>
  <r>
    <d v="2022-02-07T00:00:00"/>
    <s v="TIR1236"/>
    <x v="0"/>
    <s v="PM2331"/>
    <n v="612"/>
    <s v="HC2 DOOR-5 ROOF PANEL IS NOT LOCKED IN ONE END-LOCK ISSUE"/>
    <x v="1"/>
    <x v="1"/>
    <m/>
    <x v="2"/>
    <x v="1"/>
    <m/>
    <m/>
    <x v="0"/>
    <x v="0"/>
    <x v="0"/>
  </r>
  <r>
    <d v="2022-02-07T00:00:00"/>
    <s v="TIR1237"/>
    <x v="2"/>
    <m/>
    <n v="613"/>
    <s v="Network instability "/>
    <x v="3"/>
    <x v="3"/>
    <s v="02/08/2022 : logs checked and found MPU restarted without any reason. Train monitored 2 days in the stabling. All are ok."/>
    <x v="1"/>
    <x v="0"/>
    <d v="2022-02-08T00:00:00"/>
    <m/>
    <x v="0"/>
    <x v="0"/>
    <x v="0"/>
  </r>
  <r>
    <d v="2022-02-07T00:00:00"/>
    <s v="TIR1238"/>
    <x v="3"/>
    <m/>
    <n v="417"/>
    <s v="IOS15 in the mainline"/>
    <x v="3"/>
    <x v="3"/>
    <s v="07/02/2022 : no issue found. Relay =&gt; ok. Loop release =&gt; ok, pressure switch =&gt; ok. MPU trace armed to catch the issue if happen again."/>
    <x v="0"/>
    <x v="0"/>
    <d v="2022-02-07T00:00:00"/>
    <s v="NCR327"/>
    <x v="0"/>
    <x v="0"/>
    <x v="0"/>
  </r>
  <r>
    <d v="2022-02-07T00:00:00"/>
    <s v="TIR1239"/>
    <x v="3"/>
    <m/>
    <n v="626"/>
    <s v="Traction Frimware issue "/>
    <x v="3"/>
    <x v="0"/>
    <s v="Updated firmware of version 113, and test no traction issue port"/>
    <x v="0"/>
    <x v="0"/>
    <d v="2022-02-09T00:00:00"/>
    <m/>
    <x v="0"/>
    <x v="0"/>
    <x v="0"/>
  </r>
  <r>
    <d v="2022-02-07T00:00:00"/>
    <s v="TIR1240"/>
    <x v="4"/>
    <m/>
    <n v="617"/>
    <s v="HC1 windscreen glass broken"/>
    <x v="3"/>
    <x v="1"/>
    <m/>
    <x v="3"/>
    <x v="1"/>
    <m/>
    <s v="NCR1240"/>
    <x v="0"/>
    <x v="0"/>
    <x v="0"/>
  </r>
  <r>
    <d v="2022-02-07T00:00:00"/>
    <s v="TIR1241"/>
    <x v="4"/>
    <m/>
    <n v="617"/>
    <s v="HC 1 Wiper"/>
    <x v="1"/>
    <x v="1"/>
    <m/>
    <x v="1"/>
    <x v="0"/>
    <d v="2022-02-16T00:00:00"/>
    <m/>
    <x v="0"/>
    <x v="0"/>
    <x v="0"/>
  </r>
  <r>
    <d v="2022-02-07T00:00:00"/>
    <s v="TIR1242"/>
    <x v="4"/>
    <m/>
    <n v="617"/>
    <s v="HC&amp; side pannel needs repaints"/>
    <x v="1"/>
    <x v="1"/>
    <m/>
    <x v="1"/>
    <x v="0"/>
    <d v="2022-02-16T00:00:00"/>
    <m/>
    <x v="0"/>
    <x v="0"/>
    <x v="0"/>
  </r>
  <r>
    <d v="2022-02-08T00:00:00"/>
    <s v="TIR1243"/>
    <x v="0"/>
    <s v="PM2334"/>
    <n v="420"/>
    <s v="current collector shoe #4 in critical condition/for replacement"/>
    <x v="2"/>
    <x v="1"/>
    <m/>
    <x v="0"/>
    <x v="0"/>
    <d v="2022-02-15T00:00:00"/>
    <s v="CMN1243"/>
    <x v="0"/>
    <x v="0"/>
    <x v="0"/>
  </r>
  <r>
    <d v="2022-02-08T00:00:00"/>
    <s v="TIR1244"/>
    <x v="0"/>
    <s v="PM2336"/>
    <n v="611"/>
    <s v="semi-permanent coupler grounding bolt missing"/>
    <x v="1"/>
    <x v="1"/>
    <m/>
    <x v="3"/>
    <x v="1"/>
    <m/>
    <s v="NCR1244"/>
    <x v="0"/>
    <x v="0"/>
    <x v="0"/>
  </r>
  <r>
    <d v="2022-02-08T00:00:00"/>
    <s v="TIR1245"/>
    <x v="0"/>
    <s v="PM2340"/>
    <n v="515"/>
    <s v="Primary 32 suspension bottom cover missing 32 nos"/>
    <x v="1"/>
    <x v="3"/>
    <m/>
    <x v="2"/>
    <x v="1"/>
    <m/>
    <m/>
    <x v="0"/>
    <x v="0"/>
    <x v="0"/>
  </r>
  <r>
    <d v="2022-02-08T00:00:00"/>
    <s v="TIR1246"/>
    <x v="0"/>
    <s v="PM2340"/>
    <n v="515"/>
    <s v="Hc2- Both Derailment sensor and earth cable clamp missing"/>
    <x v="1"/>
    <x v="3"/>
    <m/>
    <x v="3"/>
    <x v="1"/>
    <m/>
    <s v="NCR1246"/>
    <x v="0"/>
    <x v="0"/>
    <x v="0"/>
  </r>
  <r>
    <d v="2022-02-08T00:00:00"/>
    <s v="TIR1247"/>
    <x v="0"/>
    <s v="PM2340"/>
    <n v="515"/>
    <s v="HC1-Bogie2 Left Primary suspension bottom found corrorosion paint scracth"/>
    <x v="1"/>
    <x v="3"/>
    <s v="Painted."/>
    <x v="0"/>
    <x v="0"/>
    <d v="2022-03-15T00:00:00"/>
    <s v="NCR1247"/>
    <x v="0"/>
    <x v="0"/>
    <x v="0"/>
  </r>
  <r>
    <d v="2022-02-08T00:00:00"/>
    <s v="TIR1248"/>
    <x v="0"/>
    <s v="PM"/>
    <n v="507"/>
    <s v="HC1-Door 2 has delay timing to close ( closing time is not equal to other doors)"/>
    <x v="1"/>
    <x v="2"/>
    <s v="Tested and no issues observed."/>
    <x v="1"/>
    <x v="0"/>
    <d v="2022-02-17T00:00:00"/>
    <m/>
    <x v="0"/>
    <x v="0"/>
    <x v="0"/>
  </r>
  <r>
    <d v="2022-02-08T00:00:00"/>
    <s v="TIR1249"/>
    <x v="0"/>
    <s v="PM2339"/>
    <n v="508"/>
    <s v="Nvr .1-offline;IOS191 : Loss of video recorder"/>
    <x v="1"/>
    <x v="2"/>
    <s v="Configuration file missing inside NVR, reupload file and restart NVR. NVR working normally."/>
    <x v="0"/>
    <x v="0"/>
    <d v="2022-02-16T00:00:00"/>
    <s v="CMN1249"/>
    <x v="0"/>
    <x v="0"/>
    <x v="0"/>
  </r>
  <r>
    <d v="2022-02-08T00:00:00"/>
    <s v="TIR1250"/>
    <x v="3"/>
    <m/>
    <n v="414"/>
    <s v="TS414 didn’t open doors in all stations in up direction (PF1). Down direction is OK (PF2) "/>
    <x v="1"/>
    <x v="1"/>
    <m/>
    <x v="1"/>
    <x v="0"/>
    <d v="2022-01-09T00:00:00"/>
    <m/>
    <x v="0"/>
    <x v="0"/>
    <x v="0"/>
  </r>
  <r>
    <d v="2022-02-08T00:00:00"/>
    <s v="TIR1251"/>
    <x v="3"/>
    <s v="NA"/>
    <n v="609"/>
    <s v="After the wake-up , the Automatic Combined Test are failed and TOM unavailable in ATS HMI due to AutoTestUMC failed."/>
    <x v="3"/>
    <x v="0"/>
    <s v="02/13 : Mohamed :  Automatic combined test failed because the Autotest for ACE1 and UMC are failed._x000a_Autotest ACE now ok : ACE1 was locked, reset done and no more issue._x000a_Guan : UMCAutoTest nok : Need to replace Both TCCU_x000a_2/14/2022:Replaced TCCU1 and autotest OK_x000a_"/>
    <x v="0"/>
    <x v="0"/>
    <d v="2022-02-14T00:00:00"/>
    <s v="NCR1251"/>
    <x v="0"/>
    <x v="0"/>
    <x v="0"/>
  </r>
  <r>
    <d v="2022-02-08T00:00:00"/>
    <s v="TIR1252"/>
    <x v="3"/>
    <m/>
    <n v="625"/>
    <s v="At least one minor failure on PCE"/>
    <x v="1"/>
    <x v="2"/>
    <m/>
    <x v="1"/>
    <x v="0"/>
    <d v="2022-02-16T00:00:00"/>
    <m/>
    <x v="0"/>
    <x v="0"/>
    <x v="0"/>
  </r>
  <r>
    <d v="2022-02-08T00:00:00"/>
    <s v="TIR1253"/>
    <x v="3"/>
    <m/>
    <n v="401"/>
    <s v="One compressor out of service indication"/>
    <x v="1"/>
    <x v="3"/>
    <s v="27/02 : no IOS  from MPU logs. Monitored last week also during TT nothing"/>
    <x v="1"/>
    <x v="0"/>
    <d v="2022-02-27T00:00:00"/>
    <m/>
    <x v="0"/>
    <x v="0"/>
    <x v="0"/>
  </r>
  <r>
    <d v="2022-02-08T00:00:00"/>
    <s v="TIR1253"/>
    <x v="3"/>
    <m/>
    <n v="408"/>
    <s v="HC_1 Motoring push button not functioning."/>
    <x v="2"/>
    <x v="1"/>
    <s v="both side train moving in wash mode with S_MotBrk"/>
    <x v="1"/>
    <x v="0"/>
    <d v="2022-02-10T00:00:00"/>
    <m/>
    <x v="0"/>
    <x v="0"/>
    <x v="0"/>
  </r>
  <r>
    <d v="2022-02-09T00:00:00"/>
    <s v="TIR1254"/>
    <x v="3"/>
    <s v="NA"/>
    <n v="609"/>
    <s v="HC1_Inverter cooling fan abnormal sound."/>
    <x v="3"/>
    <x v="1"/>
    <m/>
    <x v="0"/>
    <x v="0"/>
    <m/>
    <s v="NCR1254"/>
    <x v="0"/>
    <x v="0"/>
    <x v="1"/>
  </r>
  <r>
    <d v="2022-02-10T00:00:00"/>
    <s v="TIR1255"/>
    <x v="3"/>
    <m/>
    <n v="608"/>
    <s v="HC2 – Abnormal sound"/>
    <x v="1"/>
    <x v="1"/>
    <m/>
    <x v="2"/>
    <x v="1"/>
    <m/>
    <m/>
    <x v="0"/>
    <x v="0"/>
    <x v="0"/>
  </r>
  <r>
    <d v="2022-02-10T00:00:00"/>
    <s v="TIR1256"/>
    <x v="2"/>
    <m/>
    <n v="422"/>
    <s v="PA not working "/>
    <x v="1"/>
    <x v="0"/>
    <s v="Checked TCCU no received the signal of ISM live announcement, need check ISM side"/>
    <x v="1"/>
    <x v="0"/>
    <d v="2022-02-13T00:00:00"/>
    <m/>
    <x v="0"/>
    <x v="0"/>
    <x v="0"/>
  </r>
  <r>
    <d v="2022-02-10T00:00:00"/>
    <s v="TIR1257"/>
    <x v="2"/>
    <m/>
    <n v="404"/>
    <s v="PA not working "/>
    <x v="1"/>
    <x v="0"/>
    <s v="Updated TCCU software manually and test Ok"/>
    <x v="0"/>
    <x v="0"/>
    <d v="2022-02-13T00:00:00"/>
    <m/>
    <x v="0"/>
    <x v="0"/>
    <x v="0"/>
  </r>
  <r>
    <d v="2022-02-14T00:00:00"/>
    <s v="TIR1258"/>
    <x v="3"/>
    <m/>
    <n v="620"/>
    <s v="IOS196:Loss of at least 1 PEI in a class"/>
    <x v="1"/>
    <x v="0"/>
    <s v="Checked PEIs all online and no ios report"/>
    <x v="1"/>
    <x v="0"/>
    <d v="2022-02-27T00:00:00"/>
    <m/>
    <x v="0"/>
    <x v="0"/>
    <x v="0"/>
  </r>
  <r>
    <d v="2022-02-14T00:00:00"/>
    <s v="TIR1259"/>
    <x v="3"/>
    <m/>
    <n v="413"/>
    <s v="IOS196:Loss of at least 1 PEI in a class"/>
    <x v="1"/>
    <x v="5"/>
    <m/>
    <x v="1"/>
    <x v="0"/>
    <d v="2022-02-28T00:00:00"/>
    <m/>
    <x v="0"/>
    <x v="0"/>
    <x v="0"/>
  </r>
  <r>
    <d v="2022-02-10T00:00:00"/>
    <s v="TIR1260"/>
    <x v="0"/>
    <m/>
    <n v="406"/>
    <s v="SWD-6 HC2 not working"/>
    <x v="1"/>
    <x v="0"/>
    <m/>
    <x v="1"/>
    <x v="0"/>
    <d v="2022-03-17T00:00:00"/>
    <m/>
    <x v="0"/>
    <x v="0"/>
    <x v="0"/>
  </r>
  <r>
    <d v="2022-02-10T00:00:00"/>
    <s v="TIR1261"/>
    <x v="0"/>
    <m/>
    <n v="413"/>
    <s v="led2-v2,lcd2-v2,swd2-v2  showing offline in ip scanner"/>
    <x v="1"/>
    <x v="0"/>
    <m/>
    <x v="1"/>
    <x v="0"/>
    <d v="2022-02-28T00:00:00"/>
    <m/>
    <x v="0"/>
    <x v="0"/>
    <x v="0"/>
  </r>
  <r>
    <d v="2022-02-10T00:00:00"/>
    <s v="TIR1262"/>
    <x v="0"/>
    <m/>
    <n v="601"/>
    <s v="IOS196 : Loss of at least 1 PEI in a class"/>
    <x v="1"/>
    <x v="0"/>
    <s v="Checked PEIs all online and no ios report"/>
    <x v="1"/>
    <x v="0"/>
    <d v="2022-02-27T00:00:00"/>
    <m/>
    <x v="0"/>
    <x v="0"/>
    <x v="0"/>
  </r>
  <r>
    <d v="2022-02-10T00:00:00"/>
    <s v="TIR1263"/>
    <x v="0"/>
    <m/>
    <n v="616"/>
    <s v="HC2 AXLE4 gearbox oil level is low"/>
    <x v="1"/>
    <x v="3"/>
    <s v="Need to normalize the oil level"/>
    <x v="3"/>
    <x v="1"/>
    <m/>
    <m/>
    <x v="3"/>
    <x v="0"/>
    <x v="0"/>
  </r>
  <r>
    <d v="2022-02-10T00:00:00"/>
    <s v="TIR1264"/>
    <x v="0"/>
    <m/>
    <n v="505"/>
    <s v="Gangway internal Panel has minor scratch"/>
    <x v="1"/>
    <x v="1"/>
    <m/>
    <x v="2"/>
    <x v="1"/>
    <m/>
    <m/>
    <x v="0"/>
    <x v="0"/>
    <x v="0"/>
  </r>
  <r>
    <d v="2022-02-10T00:00:00"/>
    <s v="TIR1265"/>
    <x v="0"/>
    <m/>
    <n v="510"/>
    <s v="HC1-HVAC2 LP2  Gas level Low"/>
    <x v="1"/>
    <x v="1"/>
    <m/>
    <x v="2"/>
    <x v="1"/>
    <m/>
    <m/>
    <x v="0"/>
    <x v="0"/>
    <x v="0"/>
  </r>
  <r>
    <d v="2022-02-14T00:00:00"/>
    <s v="TIR1266"/>
    <x v="3"/>
    <m/>
    <n v="424"/>
    <s v="EB Derailment"/>
    <x v="1"/>
    <x v="4"/>
    <s v="No issue found"/>
    <x v="1"/>
    <x v="0"/>
    <m/>
    <m/>
    <x v="0"/>
    <x v="0"/>
    <x v="0"/>
  </r>
  <r>
    <d v="2022-02-14T00:00:00"/>
    <s v="TIR1267"/>
    <x v="3"/>
    <m/>
    <n v="422"/>
    <s v="IOS179: 1 APC MV Status false,_x000a_IOS185: 1 APC LV Status false."/>
    <x v="1"/>
    <x v="4"/>
    <s v="New CVS Sw will solve the issue "/>
    <x v="1"/>
    <x v="0"/>
    <m/>
    <m/>
    <x v="0"/>
    <x v="0"/>
    <x v="0"/>
  </r>
  <r>
    <d v="2022-02-14T00:00:00"/>
    <s v="TIR1268"/>
    <x v="3"/>
    <m/>
    <n v="601"/>
    <s v="IOS196:Loss of at least 1 PEI in a class"/>
    <x v="1"/>
    <x v="5"/>
    <s v="Checked PEIs all online and no ios report"/>
    <x v="1"/>
    <x v="0"/>
    <d v="2022-02-27T00:00:00"/>
    <m/>
    <x v="0"/>
    <x v="0"/>
    <x v="0"/>
  </r>
  <r>
    <d v="2022-02-14T00:00:00"/>
    <s v="TIR1269"/>
    <x v="3"/>
    <m/>
    <n v="607"/>
    <s v="IOS196:Loss of at least 1 PEI in a class"/>
    <x v="1"/>
    <x v="5"/>
    <s v="checked it online and display ok"/>
    <x v="1"/>
    <x v="0"/>
    <d v="2022-02-24T00:00:00"/>
    <m/>
    <x v="0"/>
    <x v="0"/>
    <x v="0"/>
  </r>
  <r>
    <d v="2022-02-11T00:00:00"/>
    <s v="TIR1270"/>
    <x v="0"/>
    <s v="PM2352"/>
    <n v="607"/>
    <s v="led2-v2,lcd2-v2,swd2-v2- IP Offline"/>
    <x v="1"/>
    <x v="0"/>
    <s v="checked it online and display ok"/>
    <x v="1"/>
    <x v="0"/>
    <d v="2022-02-24T00:00:00"/>
    <m/>
    <x v="0"/>
    <x v="0"/>
    <x v="0"/>
  </r>
  <r>
    <d v="2022-02-11T00:00:00"/>
    <s v="TIR1271"/>
    <x v="0"/>
    <s v="PM2353"/>
    <n v="619"/>
    <s v="HC2 HVAC1 &quot;EXHAUST AIR FAN LOW &quot; and &quot;exhaust air fan high&quot; failed in TEST PROTOCOL procedures and error codes are DF1005,DF1006 "/>
    <x v="1"/>
    <x v="1"/>
    <m/>
    <x v="2"/>
    <x v="1"/>
    <m/>
    <m/>
    <x v="0"/>
    <x v="0"/>
    <x v="0"/>
  </r>
  <r>
    <d v="2022-02-11T00:00:00"/>
    <s v="TIR1272"/>
    <x v="0"/>
    <s v="PM2357"/>
    <n v="409"/>
    <s v="Found one scratch in SWD-4 front cover HC2"/>
    <x v="1"/>
    <x v="0"/>
    <s v="To replace SWD"/>
    <x v="3"/>
    <x v="1"/>
    <m/>
    <s v="NCR1272"/>
    <x v="0"/>
    <x v="0"/>
    <x v="2"/>
  </r>
  <r>
    <d v="2022-02-11T00:00:00"/>
    <s v="TIR1273"/>
    <x v="0"/>
    <s v="PM2359"/>
    <n v="623"/>
    <s v="HC1 IES stinger connector cover is broken"/>
    <x v="1"/>
    <x v="1"/>
    <m/>
    <x v="3"/>
    <x v="1"/>
    <m/>
    <s v="NCR0406"/>
    <x v="0"/>
    <x v="0"/>
    <x v="2"/>
  </r>
  <r>
    <d v="2022-02-11T00:00:00"/>
    <s v="TIR1274"/>
    <x v="0"/>
    <s v="PM2359"/>
    <n v="623"/>
    <s v="HC1 ACE rubber gasket is damaged around the AGATE compartment"/>
    <x v="1"/>
    <x v="1"/>
    <m/>
    <x v="2"/>
    <x v="1"/>
    <m/>
    <m/>
    <x v="0"/>
    <x v="0"/>
    <x v="0"/>
  </r>
  <r>
    <d v="2022-02-11T00:00:00"/>
    <s v="TIR1275"/>
    <x v="0"/>
    <s v="PM2361"/>
    <n v="501"/>
    <s v="HC2-Bogie2 Right side odometer cable metal plate clamp missing"/>
    <x v="1"/>
    <x v="2"/>
    <s v="By part catalog, no metal clamp needed."/>
    <x v="1"/>
    <x v="0"/>
    <m/>
    <m/>
    <x v="0"/>
    <x v="0"/>
    <x v="0"/>
  </r>
  <r>
    <d v="2022-02-11T00:00:00"/>
    <s v="TIR1276"/>
    <x v="0"/>
    <s v="PM2361"/>
    <n v="501"/>
    <s v="HC2-HSCB not closed after restart then closed"/>
    <x v="1"/>
    <x v="2"/>
    <s v="Logs download and no major issues observed."/>
    <x v="1"/>
    <x v="0"/>
    <m/>
    <m/>
    <x v="0"/>
    <x v="0"/>
    <x v="0"/>
  </r>
  <r>
    <d v="2022-02-11T00:00:00"/>
    <s v="TIR1277"/>
    <x v="0"/>
    <s v="PM2362"/>
    <n v="506"/>
    <s v="Interglass door function  - not open/close fully"/>
    <x v="1"/>
    <x v="1"/>
    <m/>
    <x v="2"/>
    <x v="1"/>
    <m/>
    <m/>
    <x v="0"/>
    <x v="0"/>
    <x v="0"/>
  </r>
  <r>
    <d v="2022-02-11T00:00:00"/>
    <s v="TIR1278"/>
    <x v="0"/>
    <s v="PM2361"/>
    <n v="501"/>
    <s v="HC1_Door no.4 4 have an  issue getting closed instandly without delay"/>
    <x v="1"/>
    <x v="2"/>
    <s v="50 seconds delay time not applied"/>
    <x v="0"/>
    <x v="0"/>
    <d v="2022-02-17T00:00:00"/>
    <m/>
    <x v="0"/>
    <x v="0"/>
    <x v="0"/>
  </r>
  <r>
    <d v="2022-02-13T00:00:00"/>
    <s v="TIR1279"/>
    <x v="5"/>
    <s v="NA"/>
    <n v="626"/>
    <s v="AGTU HC2  retrofit pending"/>
    <x v="1"/>
    <x v="1"/>
    <m/>
    <x v="3"/>
    <x v="1"/>
    <m/>
    <s v="NCR1279"/>
    <x v="0"/>
    <x v="0"/>
    <x v="2"/>
  </r>
  <r>
    <d v="2022-02-13T00:00:00"/>
    <s v="TIR1280"/>
    <x v="5"/>
    <s v="NA"/>
    <n v="514"/>
    <s v="AGTU HC2  retrofit pending"/>
    <x v="1"/>
    <x v="1"/>
    <m/>
    <x v="3"/>
    <x v="1"/>
    <m/>
    <s v="NCR1280"/>
    <x v="0"/>
    <x v="0"/>
    <x v="2"/>
  </r>
  <r>
    <d v="2022-02-14T00:00:00"/>
    <s v="TIR1281"/>
    <x v="0"/>
    <s v="PM2369"/>
    <n v="401"/>
    <s v="gear oil levels are low in HC1 Axle1,axle2,axle3"/>
    <x v="1"/>
    <x v="3"/>
    <m/>
    <x v="4"/>
    <x v="1"/>
    <m/>
    <m/>
    <x v="3"/>
    <x v="0"/>
    <x v="0"/>
  </r>
  <r>
    <d v="2022-02-14T00:00:00"/>
    <s v="TIR1282"/>
    <x v="0"/>
    <s v="PM2370"/>
    <n v="411"/>
    <s v=" HC2, PCE-underframe cover one screw need re-tap"/>
    <x v="1"/>
    <x v="2"/>
    <s v="Need inserted tool for fix new inserted."/>
    <x v="3"/>
    <x v="1"/>
    <m/>
    <s v="NCR1282"/>
    <x v="0"/>
    <x v="0"/>
    <x v="0"/>
  </r>
  <r>
    <d v="2022-02-14T00:00:00"/>
    <s v="TIR1283"/>
    <x v="0"/>
    <s v="PM2371"/>
    <n v="412"/>
    <s v=" HC2, CVS earth cable lose"/>
    <x v="1"/>
    <x v="2"/>
    <m/>
    <x v="2"/>
    <x v="1"/>
    <m/>
    <m/>
    <x v="0"/>
    <x v="0"/>
    <x v="0"/>
  </r>
  <r>
    <d v="2022-02-14T00:00:00"/>
    <s v="TIR1284"/>
    <x v="0"/>
    <s v="PM2372"/>
    <n v="603"/>
    <s v="IOS267 : At least one software version discordancy fault"/>
    <x v="1"/>
    <x v="5"/>
    <m/>
    <x v="1"/>
    <x v="0"/>
    <m/>
    <m/>
    <x v="0"/>
    <x v="0"/>
    <x v="0"/>
  </r>
  <r>
    <d v="2022-02-14T00:00:00"/>
    <s v="TIR1285"/>
    <x v="0"/>
    <s v="PM2373"/>
    <n v="608"/>
    <s v="HC2, PCE-Underframe cover - need retap"/>
    <x v="1"/>
    <x v="2"/>
    <m/>
    <x v="3"/>
    <x v="1"/>
    <m/>
    <m/>
    <x v="0"/>
    <x v="0"/>
    <x v="0"/>
  </r>
  <r>
    <d v="2022-02-14T00:00:00"/>
    <s v="TIR1286"/>
    <x v="0"/>
    <s v="PM2374"/>
    <n v="514"/>
    <s v="HC1-lcd3 offline; HC1-Lcd.3 BLANK,HC2 Lcd3 Dim"/>
    <x v="1"/>
    <x v="5"/>
    <m/>
    <x v="2"/>
    <x v="1"/>
    <m/>
    <m/>
    <x v="0"/>
    <x v="0"/>
    <x v="0"/>
  </r>
  <r>
    <d v="2022-02-14T00:00:00"/>
    <s v="TIR1287"/>
    <x v="0"/>
    <s v="PM2375"/>
    <n v="516"/>
    <s v="HC2-left side derailment sensor's cable support clamp found  bended,cable has  stressed ( Refer Pic)             "/>
    <x v="1"/>
    <x v="3"/>
    <m/>
    <x v="2"/>
    <x v="1"/>
    <m/>
    <m/>
    <x v="0"/>
    <x v="0"/>
    <x v="0"/>
  </r>
  <r>
    <d v="2022-02-14T00:00:00"/>
    <s v="TIR1288"/>
    <x v="0"/>
    <s v="PM2375"/>
    <n v="516"/>
    <s v="HC2-SWD 3 offline;HC2 -SWD.3 Half blank,half error message"/>
    <x v="1"/>
    <x v="5"/>
    <m/>
    <x v="2"/>
    <x v="1"/>
    <m/>
    <m/>
    <x v="0"/>
    <x v="0"/>
    <x v="0"/>
  </r>
  <r>
    <d v="2022-02-14T00:00:00"/>
    <s v="TIR1289"/>
    <x v="0"/>
    <s v="PM2375"/>
    <n v="516"/>
    <s v="HC1-Door 2 getting closed immediately when compare other doors"/>
    <x v="1"/>
    <x v="2"/>
    <m/>
    <x v="2"/>
    <x v="1"/>
    <m/>
    <m/>
    <x v="0"/>
    <x v="0"/>
    <x v="0"/>
  </r>
  <r>
    <d v="2022-02-15T00:00:00"/>
    <s v="TIR1290"/>
    <x v="0"/>
    <s v="NA"/>
    <n v="607"/>
    <s v="Momvement on torque marking bolt connection for automatic coupler assembly"/>
    <x v="1"/>
    <x v="1"/>
    <m/>
    <x v="2"/>
    <x v="1"/>
    <m/>
    <m/>
    <x v="0"/>
    <x v="0"/>
    <x v="0"/>
  </r>
  <r>
    <d v="2022-02-15T00:00:00"/>
    <s v="TIR1291"/>
    <x v="3"/>
    <s v="NA"/>
    <n v="605"/>
    <s v="Accident"/>
    <x v="3"/>
    <x v="1"/>
    <s v="13/3 : all damaged part already replaced and NRT still pending._x000a_20/03 NRT done on test track by Ahmad"/>
    <x v="0"/>
    <x v="0"/>
    <d v="2022-03-15T00:00:00"/>
    <m/>
    <x v="0"/>
    <x v="0"/>
    <x v="0"/>
  </r>
  <r>
    <d v="2022-02-15T00:00:00"/>
    <s v="TIR1292"/>
    <x v="0"/>
    <s v="PM2378"/>
    <n v="605"/>
    <s v="IOS180 : 1 APC Major failure"/>
    <x v="1"/>
    <x v="2"/>
    <s v="Checekd aafter CM repair all damaged part and cables. No issue observed."/>
    <x v="1"/>
    <x v="0"/>
    <m/>
    <m/>
    <x v="0"/>
    <x v="0"/>
    <x v="0"/>
  </r>
  <r>
    <d v="2022-02-15T00:00:00"/>
    <s v="TIR1293"/>
    <x v="0"/>
    <s v="PM2381"/>
    <n v="502"/>
    <s v="HC1-Ledi.6;HC2-Ledi3,Lcd3,Swd3  offline [HC1-Ledi.6-software not up-to-date ,HC2 -Ledi3 Error message] "/>
    <x v="1"/>
    <x v="0"/>
    <m/>
    <x v="2"/>
    <x v="1"/>
    <m/>
    <m/>
    <x v="0"/>
    <x v="0"/>
    <x v="0"/>
  </r>
  <r>
    <d v="2022-02-15T00:00:00"/>
    <s v="TIR1294"/>
    <x v="0"/>
    <s v="PM2382"/>
    <n v="512"/>
    <s v="HC1-Ledi.6;HC2-Ledi3,Lcd3,Swd3  offline [HC1-Ledi.6-software not up-to-date ,HC2 -Ledi3 Error message] "/>
    <x v="1"/>
    <x v="0"/>
    <m/>
    <x v="2"/>
    <x v="1"/>
    <m/>
    <m/>
    <x v="0"/>
    <x v="0"/>
    <x v="0"/>
  </r>
  <r>
    <d v="2022-02-16T00:00:00"/>
    <s v="TIR1295"/>
    <x v="3"/>
    <s v="NA"/>
    <n v="501"/>
    <s v="Train is not moving with Cab1 active"/>
    <x v="3"/>
    <x v="2"/>
    <s v="Found connector inside GCL and GCR for ATC rack loosen._x000a_20/02/2022 issue still present_x000a_21/02/2022 : issue resovled now ok. No issue found with traction, issue coming from the FWD input not receiving at tcms level. Apres checking foung the connector XR01 RP3 was loose. "/>
    <x v="0"/>
    <x v="0"/>
    <d v="2022-02-20T00:00:00"/>
    <m/>
    <x v="0"/>
    <x v="0"/>
    <x v="0"/>
  </r>
  <r>
    <d v="2022-02-16T00:00:00"/>
    <s v="TIR1296"/>
    <x v="4"/>
    <s v="NA"/>
    <n v="409"/>
    <s v="Dirty on the external paint - glue from cocoon"/>
    <x v="1"/>
    <x v="1"/>
    <m/>
    <x v="0"/>
    <x v="0"/>
    <m/>
    <s v="NCR1296"/>
    <x v="0"/>
    <x v="0"/>
    <x v="0"/>
  </r>
  <r>
    <d v="2022-02-16T00:00:00"/>
    <s v="TIR1297"/>
    <x v="2"/>
    <s v="NA"/>
    <n v="612"/>
    <s v="Loss of LED6V1. Needs to be replaced"/>
    <x v="1"/>
    <x v="5"/>
    <m/>
    <x v="1"/>
    <x v="0"/>
    <d v="2022-03-15T00:00:00"/>
    <s v="NCR1297"/>
    <x v="0"/>
    <x v="0"/>
    <x v="2"/>
  </r>
  <r>
    <d v="2022-02-16T00:00:00"/>
    <s v="TIR1298"/>
    <x v="0"/>
    <s v="PM2384"/>
    <n v="601"/>
    <s v="IP scanner: HVAC1-v1- Offline ; HVAC 1 not communicating"/>
    <x v="2"/>
    <x v="1"/>
    <s v="all HVAC are online"/>
    <x v="1"/>
    <x v="0"/>
    <d v="2022-02-28T00:00:00"/>
    <m/>
    <x v="0"/>
    <x v="0"/>
    <x v="0"/>
  </r>
  <r>
    <d v="2022-02-16T00:00:00"/>
    <s v="TIR1299"/>
    <x v="0"/>
    <s v="PM2387"/>
    <n v="617"/>
    <s v="IP scanner: Hc1 Dcu1,3,4&amp;5 - Offline; IOS68 : Zero velocity fault detected by doors"/>
    <x v="1"/>
    <x v="2"/>
    <s v="24/02 : all doors are online. Checked and no issue observed"/>
    <x v="1"/>
    <x v="0"/>
    <d v="2022-02-24T00:00:00"/>
    <m/>
    <x v="0"/>
    <x v="0"/>
    <x v="0"/>
  </r>
  <r>
    <d v="2022-02-16T00:00:00"/>
    <s v="TIR1300"/>
    <x v="0"/>
    <s v="PM2387"/>
    <n v="617"/>
    <s v="IOS14 : Service brake applied loop in default indication"/>
    <x v="3"/>
    <x v="3"/>
    <s v="02/24 : F032 : parking brake fault to open seen in BCE1 logs. trace armed and under monitoring"/>
    <x v="1"/>
    <x v="0"/>
    <m/>
    <m/>
    <x v="0"/>
    <x v="0"/>
    <x v="0"/>
  </r>
  <r>
    <d v="2022-02-16T00:00:00"/>
    <s v="TIR1301"/>
    <x v="0"/>
    <s v="PM2387"/>
    <n v="617"/>
    <s v="HVAC1-HC1 not communicating in mona for test protocol"/>
    <x v="1"/>
    <x v="1"/>
    <s v="no issue found in test mode connection"/>
    <x v="1"/>
    <x v="0"/>
    <d v="2022-02-28T00:00:00"/>
    <m/>
    <x v="0"/>
    <x v="0"/>
    <x v="0"/>
  </r>
  <r>
    <d v="2022-02-16T00:00:00"/>
    <s v="TIR1302"/>
    <x v="0"/>
    <s v="PM2388"/>
    <n v="624"/>
    <s v="IP Scanner: Swd6-V1 &amp; Swd1-V2- Offline"/>
    <x v="1"/>
    <x v="0"/>
    <m/>
    <x v="1"/>
    <x v="0"/>
    <d v="2022-02-28T00:00:00"/>
    <m/>
    <x v="0"/>
    <x v="0"/>
    <x v="0"/>
  </r>
  <r>
    <d v="2022-02-16T00:00:00"/>
    <s v="TIR1303"/>
    <x v="0"/>
    <s v="PM2388"/>
    <n v="624"/>
    <s v="HVAC1-HC1 not communicating in mona for test protocol"/>
    <x v="1"/>
    <x v="1"/>
    <m/>
    <x v="1"/>
    <x v="0"/>
    <d v="2022-02-28T00:00:00"/>
    <m/>
    <x v="0"/>
    <x v="0"/>
    <x v="0"/>
  </r>
  <r>
    <d v="2022-02-16T00:00:00"/>
    <s v="TIR1304"/>
    <x v="0"/>
    <s v="PM2389"/>
    <n v="503"/>
    <s v="IP Offline: HC1- All Ledi-V1; HC2- All Ledi-V1, Lcd5-V2                                         _x000a_           PAPIS Display Visual Status: HC1 &amp; HC2- All Ledi Error Message; HC2-Lcd 2 &amp; 5 Blank                                                                                                                                             IOS199 : Loss of all interior LCD compact displays in the same platform"/>
    <x v="1"/>
    <x v="0"/>
    <m/>
    <x v="2"/>
    <x v="1"/>
    <m/>
    <m/>
    <x v="0"/>
    <x v="0"/>
    <x v="0"/>
  </r>
  <r>
    <d v="2022-02-16T00:00:00"/>
    <s v="TIR1305"/>
    <x v="0"/>
    <s v="PM2389"/>
    <n v="503"/>
    <s v="Partition Door not closing fully"/>
    <x v="1"/>
    <x v="1"/>
    <m/>
    <x v="2"/>
    <x v="1"/>
    <m/>
    <m/>
    <x v="0"/>
    <x v="0"/>
    <x v="0"/>
  </r>
  <r>
    <d v="2022-02-16T00:00:00"/>
    <s v="TIR1306"/>
    <x v="0"/>
    <s v="PM2390"/>
    <n v="503"/>
    <s v="IP Offline: HC1- All Ledi-V1; HC2- All Ledi-V1, Lcd5-V2                                                    PAPIS Display Visual Status:   HC1:LCD2,LEDI3-Nok; SWD3 Half display with error message; SWD5 Half display      HC2:LEDI2 Nok SW Not Up-To-Date-                                          "/>
    <x v="1"/>
    <x v="0"/>
    <m/>
    <x v="2"/>
    <x v="1"/>
    <m/>
    <m/>
    <x v="0"/>
    <x v="0"/>
    <x v="0"/>
  </r>
  <r>
    <d v="2022-02-16T00:00:00"/>
    <s v="TIR1307"/>
    <x v="0"/>
    <s v="PM2390"/>
    <n v="503"/>
    <s v="HC1-HVAC1 Compressor1,2,3 are Noisy"/>
    <x v="1"/>
    <x v="1"/>
    <m/>
    <x v="2"/>
    <x v="1"/>
    <m/>
    <m/>
    <x v="0"/>
    <x v="0"/>
    <x v="0"/>
  </r>
  <r>
    <d v="2022-02-17T00:00:00"/>
    <s v="TIR1308"/>
    <x v="0"/>
    <s v="PM2390"/>
    <n v="503"/>
    <s v="Partition Door not closing fully"/>
    <x v="1"/>
    <x v="1"/>
    <m/>
    <x v="2"/>
    <x v="1"/>
    <m/>
    <m/>
    <x v="0"/>
    <x v="0"/>
    <x v="0"/>
  </r>
  <r>
    <d v="2022-02-17T00:00:00"/>
    <s v="TIR1309"/>
    <x v="2"/>
    <m/>
    <n v="515"/>
    <s v="TCCU hc2  offline "/>
    <x v="1"/>
    <x v="4"/>
    <s v="Reprogram the firmware &amp; update the software 570 by Nayas"/>
    <x v="0"/>
    <x v="0"/>
    <d v="2022-02-17T00:00:00"/>
    <m/>
    <x v="0"/>
    <x v="0"/>
    <x v="0"/>
  </r>
  <r>
    <d v="2022-02-17T00:00:00"/>
    <s v="TIR1310"/>
    <x v="3"/>
    <m/>
    <n v="412"/>
    <s v="IOS196:Loss of at least 1 PEI in a class"/>
    <x v="1"/>
    <x v="5"/>
    <s v="checked it online and display ok"/>
    <x v="1"/>
    <x v="0"/>
    <d v="2022-02-24T00:00:00"/>
    <m/>
    <x v="0"/>
    <x v="0"/>
    <x v="0"/>
  </r>
  <r>
    <d v="2022-02-18T00:00:00"/>
    <s v="TIR1311"/>
    <x v="3"/>
    <m/>
    <n v="420"/>
    <s v="HC1 front skirt scratched"/>
    <x v="1"/>
    <x v="1"/>
    <s v="13/3 : all damaged part already replaced and NRT still pending."/>
    <x v="3"/>
    <x v="1"/>
    <d v="2022-03-15T00:00:00"/>
    <m/>
    <x v="0"/>
    <x v="0"/>
    <x v="0"/>
  </r>
  <r>
    <d v="2022-02-17T00:00:00"/>
    <s v="TIR1312"/>
    <x v="0"/>
    <m/>
    <n v="612"/>
    <s v="SWD6-V1 half display,ledi6-v1 error and offline"/>
    <x v="1"/>
    <x v="0"/>
    <m/>
    <x v="1"/>
    <x v="0"/>
    <d v="2022-03-15T00:00:00"/>
    <s v="NCR1312"/>
    <x v="0"/>
    <x v="0"/>
    <x v="2"/>
  </r>
  <r>
    <d v="2022-02-17T00:00:00"/>
    <s v="TIR1313"/>
    <x v="0"/>
    <m/>
    <n v="423"/>
    <s v="SWD6-V2;LCD6-V2;LEDI6-V2 offline"/>
    <x v="1"/>
    <x v="0"/>
    <m/>
    <x v="1"/>
    <x v="0"/>
    <d v="2022-03-13T00:00:00"/>
    <s v="NCR1313"/>
    <x v="0"/>
    <x v="0"/>
    <x v="2"/>
  </r>
  <r>
    <d v="2022-02-17T00:00:00"/>
    <s v="TIR1314"/>
    <x v="0"/>
    <s v="PM2397"/>
    <n v="517"/>
    <s v="IP scanner : MPU2 Offline, TCN: MPU2 Offline                                              _x000a_            IOS242 : One MPU have a communication fault"/>
    <x v="2"/>
    <x v="2"/>
    <s v="01/03 : Need to change the CRS5 V2. delay to power on and as effect it will generate the IOS242. new crs installed and test ok. Crs took from 605 because no more spare available "/>
    <x v="0"/>
    <x v="0"/>
    <d v="2022-03-01T00:00:00"/>
    <s v="NCR1314"/>
    <x v="0"/>
    <x v="0"/>
    <x v="0"/>
  </r>
  <r>
    <d v="2022-02-17T00:00:00"/>
    <s v="TIR1315"/>
    <x v="0"/>
    <s v="PM2397"/>
    <n v="517"/>
    <s v="IOS243 : One TRS Or NETBOX have a communication fault"/>
    <x v="1"/>
    <x v="2"/>
    <m/>
    <x v="0"/>
    <x v="0"/>
    <d v="2022-03-01T00:00:00"/>
    <m/>
    <x v="0"/>
    <x v="0"/>
    <x v="0"/>
  </r>
  <r>
    <d v="2022-02-17T00:00:00"/>
    <s v="TIR1316"/>
    <x v="0"/>
    <s v="PM2397"/>
    <n v="517"/>
    <s v="HVAC1-V1  gas level Low pressure 1 &amp; 2"/>
    <x v="1"/>
    <x v="1"/>
    <m/>
    <x v="2"/>
    <x v="1"/>
    <m/>
    <m/>
    <x v="0"/>
    <x v="0"/>
    <x v="0"/>
  </r>
  <r>
    <d v="2022-02-17T00:00:00"/>
    <s v="TIR1317"/>
    <x v="0"/>
    <s v="PM2398"/>
    <n v="518"/>
    <s v="IP Offline: Dcu1-v1, papis-pa1, dcu2-v2, pei5-v2, ledi 3&amp;5-v2, lcd 3&amp;5-v2, swd 3&amp;5-v2 - offline;  IOS262 : More than one DCU have a communication fault; IOS196 : Loss of at least 1 PEI in a class"/>
    <x v="1"/>
    <x v="0"/>
    <m/>
    <x v="2"/>
    <x v="1"/>
    <m/>
    <m/>
    <x v="0"/>
    <x v="0"/>
    <x v="0"/>
  </r>
  <r>
    <d v="2022-02-17T00:00:00"/>
    <s v="TIR1318"/>
    <x v="0"/>
    <s v="PM2398"/>
    <n v="518"/>
    <s v="HC1-HVAC1 Compressor1,2,3&amp;4 are Noisy."/>
    <x v="1"/>
    <x v="1"/>
    <m/>
    <x v="2"/>
    <x v="1"/>
    <m/>
    <m/>
    <x v="0"/>
    <x v="0"/>
    <x v="0"/>
  </r>
  <r>
    <d v="2022-02-20T00:00:00"/>
    <s v="TIR1319"/>
    <x v="2"/>
    <s v="NA"/>
    <n v="501"/>
    <s v="HC2_not able to sleep"/>
    <x v="1"/>
    <x v="3"/>
    <s v="20/02 : We found that the cable WF00062 was connected to the PIN 73 of the connector XR03+CCC instead of connector XR02+CCC"/>
    <x v="0"/>
    <x v="0"/>
    <d v="2022-02-20T00:00:00"/>
    <s v="CMN1319"/>
    <x v="0"/>
    <x v="0"/>
    <x v="0"/>
  </r>
  <r>
    <d v="2022-02-20T00:00:00"/>
    <s v="TIR1320"/>
    <x v="3"/>
    <m/>
    <n v="518"/>
    <s v="Long Docking happened a lots"/>
    <x v="3"/>
    <x v="3"/>
    <m/>
    <x v="2"/>
    <x v="1"/>
    <m/>
    <m/>
    <x v="0"/>
    <x v="0"/>
    <x v="0"/>
  </r>
  <r>
    <d v="2022-02-20T00:00:00"/>
    <s v="TIR1321"/>
    <x v="3"/>
    <m/>
    <n v="503"/>
    <s v="IOS199+ IOS196"/>
    <x v="1"/>
    <x v="0"/>
    <m/>
    <x v="2"/>
    <x v="1"/>
    <m/>
    <m/>
    <x v="0"/>
    <x v="0"/>
    <x v="0"/>
  </r>
  <r>
    <d v="2022-02-20T00:00:00"/>
    <s v="TIR1322"/>
    <x v="3"/>
    <m/>
    <n v="517"/>
    <s v="IOS243 : One TRS Or NETBOX have a communication fault."/>
    <x v="1"/>
    <x v="2"/>
    <s v="Same  TIR1315 =&gt; Same CMN"/>
    <x v="0"/>
    <x v="0"/>
    <d v="2022-03-01T00:00:00"/>
    <m/>
    <x v="0"/>
    <x v="0"/>
    <x v="0"/>
  </r>
  <r>
    <d v="2022-02-20T00:00:00"/>
    <s v="TIR1323"/>
    <x v="3"/>
    <m/>
    <n v="514"/>
    <s v="IOS126 appeared &amp; disappeared after “maybe because of the dust inside the tunnel”,  IOS126 : External smoke is detected."/>
    <x v="1"/>
    <x v="1"/>
    <m/>
    <x v="2"/>
    <x v="1"/>
    <m/>
    <m/>
    <x v="0"/>
    <x v="0"/>
    <x v="0"/>
  </r>
  <r>
    <d v="2022-02-20T00:00:00"/>
    <s v="TIR1324"/>
    <x v="3"/>
    <m/>
    <n v="516"/>
    <s v="IOS64 : Door RELEASE control fault train indication"/>
    <x v="1"/>
    <x v="3"/>
    <m/>
    <x v="2"/>
    <x v="1"/>
    <m/>
    <m/>
    <x v="0"/>
    <x v="0"/>
    <x v="0"/>
  </r>
  <r>
    <d v="2022-02-20T00:00:00"/>
    <s v="TIR1325"/>
    <x v="3"/>
    <m/>
    <n v="518"/>
    <s v="IOS196: Loss of at least 1 PEI in a class"/>
    <x v="1"/>
    <x v="0"/>
    <m/>
    <x v="2"/>
    <x v="1"/>
    <m/>
    <m/>
    <x v="0"/>
    <x v="0"/>
    <x v="0"/>
  </r>
  <r>
    <d v="2022-02-20T00:00:00"/>
    <s v="TIR1326"/>
    <x v="3"/>
    <m/>
    <n v="518"/>
    <s v="Under Frame noise, as per our team they suspect flat wheel."/>
    <x v="3"/>
    <x v="3"/>
    <m/>
    <x v="2"/>
    <x v="1"/>
    <m/>
    <m/>
    <x v="0"/>
    <x v="0"/>
    <x v="0"/>
  </r>
  <r>
    <d v="2022-02-20T00:00:00"/>
    <s v="TIR1327"/>
    <x v="3"/>
    <m/>
    <n v="518"/>
    <s v="IOS64 : Door RELEASE control fault train indication"/>
    <x v="1"/>
    <x v="3"/>
    <m/>
    <x v="2"/>
    <x v="1"/>
    <m/>
    <m/>
    <x v="0"/>
    <x v="0"/>
    <x v="0"/>
  </r>
  <r>
    <d v="2022-02-21T00:00:00"/>
    <s v="TIR1328"/>
    <x v="3"/>
    <s v="PM2404"/>
    <n v="504"/>
    <s v="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
    <x v="1"/>
    <x v="0"/>
    <m/>
    <x v="2"/>
    <x v="1"/>
    <m/>
    <m/>
    <x v="0"/>
    <x v="0"/>
    <x v="0"/>
  </r>
  <r>
    <d v="2022-02-21T00:00:00"/>
    <s v="TIR1329"/>
    <x v="3"/>
    <s v="PM2404"/>
    <n v="504"/>
    <s v="wheel flat on HC2 Bogie 2- Right side Axle 3- Needs to be checked( Refer Pic)"/>
    <x v="2"/>
    <x v="3"/>
    <m/>
    <x v="2"/>
    <x v="1"/>
    <m/>
    <m/>
    <x v="0"/>
    <x v="0"/>
    <x v="0"/>
  </r>
  <r>
    <d v="2022-02-21T00:00:00"/>
    <s v="TIR1330"/>
    <x v="3"/>
    <s v="PM"/>
    <n v="507"/>
    <s v="IP scanner : HC1-swd4; Hc2-Ledi3,Lcd3,Pei3,swd3- Offline;                      _x000a_  PAPIS Display Visual Status : SWD3-V1 half blank, SWD4-V1 black                                                            _x000a_IOS196 : Loss of at least 1 PEI in a class"/>
    <x v="1"/>
    <x v="0"/>
    <m/>
    <x v="2"/>
    <x v="1"/>
    <m/>
    <m/>
    <x v="0"/>
    <x v="0"/>
    <x v="0"/>
  </r>
  <r>
    <d v="2022-02-21T00:00:00"/>
    <s v="TIR1331"/>
    <x v="3"/>
    <s v="PM"/>
    <n v="507"/>
    <s v="Hc2 Sleep button Not working"/>
    <x v="1"/>
    <x v="3"/>
    <s v="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
    <x v="1"/>
    <x v="0"/>
    <d v="2022-03-02T00:00:00"/>
    <m/>
    <x v="0"/>
    <x v="0"/>
    <x v="0"/>
  </r>
  <r>
    <d v="2022-02-21T00:00:00"/>
    <s v="TIR1332"/>
    <x v="0"/>
    <s v="PM2408"/>
    <n v="424"/>
    <s v="HC1-DCU5 offline ;  DCU failed in auto test"/>
    <x v="2"/>
    <x v="1"/>
    <s v="all door was online and working fine"/>
    <x v="1"/>
    <x v="0"/>
    <d v="2022-01-28T00:00:00"/>
    <m/>
    <x v="0"/>
    <x v="0"/>
    <x v="0"/>
  </r>
  <r>
    <d v="2022-02-23T00:00:00"/>
    <s v="TIR1333"/>
    <x v="0"/>
    <s v="NA"/>
    <n v="625"/>
    <s v="TCCU2 no communication with ISM "/>
    <x v="1"/>
    <x v="0"/>
    <s v="Replaced a new TCCU and test ok"/>
    <x v="0"/>
    <x v="0"/>
    <d v="2022-02-24T00:00:00"/>
    <s v="NCR1333"/>
    <x v="0"/>
    <x v="0"/>
    <x v="0"/>
  </r>
  <r>
    <d v="2022-02-23T00:00:00"/>
    <s v="TIR1334"/>
    <x v="0"/>
    <s v="PM2410"/>
    <n v="613"/>
    <s v="HC1 AXLE 3 gear oil level is low"/>
    <x v="1"/>
    <x v="3"/>
    <m/>
    <x v="4"/>
    <x v="1"/>
    <m/>
    <m/>
    <x v="3"/>
    <x v="0"/>
    <x v="0"/>
  </r>
  <r>
    <d v="2022-02-23T00:00:00"/>
    <s v="TIR1335"/>
    <x v="0"/>
    <s v="PM2410"/>
    <n v="613"/>
    <s v="Both Gangway door panels are Not available"/>
    <x v="1"/>
    <x v="1"/>
    <m/>
    <x v="4"/>
    <x v="1"/>
    <m/>
    <m/>
    <x v="0"/>
    <x v="0"/>
    <x v="0"/>
  </r>
  <r>
    <d v="2022-02-23T00:00:00"/>
    <s v="TIR1336"/>
    <x v="0"/>
    <s v="PM2410"/>
    <n v="613"/>
    <s v="HC1 CVS gasket (surrounding the AGATE panel )came out condition"/>
    <x v="1"/>
    <x v="2"/>
    <m/>
    <x v="2"/>
    <x v="1"/>
    <m/>
    <m/>
    <x v="0"/>
    <x v="0"/>
    <x v="0"/>
  </r>
  <r>
    <d v="2022-02-23T00:00:00"/>
    <s v="TIR1337"/>
    <x v="0"/>
    <s v="PM2412"/>
    <n v="626"/>
    <s v="HC1 SWD2 half of the display is in blue colour and the other half is working normal"/>
    <x v="1"/>
    <x v="0"/>
    <m/>
    <x v="1"/>
    <x v="0"/>
    <d v="2022-02-28T00:00:00"/>
    <m/>
    <x v="0"/>
    <x v="0"/>
    <x v="0"/>
  </r>
  <r>
    <d v="2022-02-23T00:00:00"/>
    <s v="TIR1338"/>
    <x v="0"/>
    <s v="PM2407"/>
    <n v="420"/>
    <s v="HC1 AXLE 3 gear oil level is low"/>
    <x v="1"/>
    <x v="3"/>
    <s v="checked and Oil ok now "/>
    <x v="1"/>
    <x v="0"/>
    <m/>
    <m/>
    <x v="3"/>
    <x v="0"/>
    <x v="0"/>
  </r>
  <r>
    <d v="2022-02-23T00:00:00"/>
    <s v="TIR1339"/>
    <x v="0"/>
    <s v="PM2413"/>
    <n v="508"/>
    <s v="IP scanner : HC1-ledi4 &amp; 5; Swd2 &amp; 6; lcd6                                                        _x000a_PAPIS Display Visual Status : HC1-swd.2-Half error message &amp;half blank; Ledi4 black                                                                                                              IOS199 : Loss of all interior LCD compact displays in the same platform "/>
    <x v="1"/>
    <x v="0"/>
    <m/>
    <x v="2"/>
    <x v="1"/>
    <m/>
    <m/>
    <x v="0"/>
    <x v="0"/>
    <x v="0"/>
  </r>
  <r>
    <d v="2022-02-23T00:00:00"/>
    <s v="TIR1340"/>
    <x v="8"/>
    <m/>
    <m/>
    <s v="PM"/>
    <x v="0"/>
    <x v="6"/>
    <m/>
    <x v="5"/>
    <x v="2"/>
    <m/>
    <m/>
    <x v="0"/>
    <x v="0"/>
    <x v="0"/>
  </r>
  <r>
    <d v="2022-02-23T00:00:00"/>
    <s v="TIR1341"/>
    <x v="0"/>
    <s v="NA"/>
    <n v="651"/>
    <s v=". Found also wire (41K05_XR_01/A3) damaged short with body."/>
    <x v="1"/>
    <x v="1"/>
    <m/>
    <x v="2"/>
    <x v="1"/>
    <m/>
    <m/>
    <x v="0"/>
    <x v="0"/>
    <x v="0"/>
  </r>
  <r>
    <d v="2022-02-23T00:00:00"/>
    <s v="TIR1342"/>
    <x v="5"/>
    <s v="PM2415"/>
    <n v="406"/>
    <s v="HC1 lube sticks required are 14 nos _x000a_HC2 lube sticks required are 11 nos (total 25 nos of sticks are needed for this train)"/>
    <x v="1"/>
    <x v="6"/>
    <m/>
    <x v="2"/>
    <x v="1"/>
    <m/>
    <m/>
    <x v="0"/>
    <x v="0"/>
    <x v="0"/>
  </r>
  <r>
    <d v="2022-02-23T00:00:00"/>
    <s v="TIR1343"/>
    <x v="8"/>
    <s v="PM2416"/>
    <n v="410"/>
    <s v="HC2, BOGIE-1, Right side, CCD HV cable no clamp for return line"/>
    <x v="1"/>
    <x v="6"/>
    <m/>
    <x v="2"/>
    <x v="1"/>
    <m/>
    <m/>
    <x v="0"/>
    <x v="0"/>
    <x v="0"/>
  </r>
  <r>
    <d v="2022-02-23T00:00:00"/>
    <s v="TIR1344"/>
    <x v="8"/>
    <s v="PM2417"/>
    <n v="410"/>
    <s v="HC1 lube sticks required are 14 nos _x000a_HC2 lube sticks required are 14 nos (total 28 nos of sticks are needed for this train)"/>
    <x v="1"/>
    <x v="6"/>
    <m/>
    <x v="2"/>
    <x v="1"/>
    <m/>
    <m/>
    <x v="0"/>
    <x v="0"/>
    <x v="0"/>
  </r>
  <r>
    <d v="2022-02-23T00:00:00"/>
    <s v="TIR1345"/>
    <x v="0"/>
    <s v="PM2418"/>
    <n v="413"/>
    <s v="HC1 lube sticks required are 4 nos _x000a_HC2 lube sticks required are 4 nos (total 8 nos of sticks are needed for this train)"/>
    <x v="1"/>
    <x v="2"/>
    <m/>
    <x v="3"/>
    <x v="1"/>
    <m/>
    <m/>
    <x v="0"/>
    <x v="0"/>
    <x v="0"/>
  </r>
  <r>
    <d v="2022-02-23T00:00:00"/>
    <s v="TIR1346"/>
    <x v="8"/>
    <s v="PM2419"/>
    <n v="414"/>
    <s v="HC2 PCE filter cover needs retapping for bolt"/>
    <x v="1"/>
    <x v="6"/>
    <m/>
    <x v="2"/>
    <x v="1"/>
    <m/>
    <m/>
    <x v="0"/>
    <x v="0"/>
    <x v="0"/>
  </r>
  <r>
    <d v="2022-02-23T00:00:00"/>
    <s v="TIR1347"/>
    <x v="8"/>
    <s v="PM2420"/>
    <n v="414"/>
    <s v="HC1 lube sticks required are 8 nos _x000a_HC2 lube sticks required are 9 nos (total 17 nos of sticks are needed for this train)"/>
    <x v="1"/>
    <x v="6"/>
    <m/>
    <x v="2"/>
    <x v="1"/>
    <m/>
    <m/>
    <x v="0"/>
    <x v="0"/>
    <x v="0"/>
  </r>
  <r>
    <d v="2022-02-23T00:00:00"/>
    <s v="TIR1348"/>
    <x v="8"/>
    <s v="PM2421"/>
    <n v="421"/>
    <s v="HC1 lube sticks required are 16 nos _x000a_HC2 lube sticks required are 16 nos (total 32 nos of sticks are needed for this train)"/>
    <x v="1"/>
    <x v="2"/>
    <m/>
    <x v="3"/>
    <x v="1"/>
    <m/>
    <m/>
    <x v="0"/>
    <x v="0"/>
    <x v="0"/>
  </r>
  <r>
    <d v="2022-02-23T00:00:00"/>
    <s v="TIR1349"/>
    <x v="8"/>
    <s v="PM2422"/>
    <n v="616"/>
    <s v="HC1 AXLE 3 gear box oil level is low"/>
    <x v="1"/>
    <x v="3"/>
    <s v="Oil level ok"/>
    <x v="1"/>
    <x v="0"/>
    <m/>
    <m/>
    <x v="3"/>
    <x v="0"/>
    <x v="0"/>
  </r>
  <r>
    <d v="2022-02-23T00:00:00"/>
    <s v="TIR1350"/>
    <x v="8"/>
    <s v="PM2423"/>
    <n v="616"/>
    <s v="HC1 lube sticks required are 13 nos _x000a_HC2 lube sticks required are 11 nos (total 24 nos of sticks are needed for this train)"/>
    <x v="1"/>
    <x v="6"/>
    <m/>
    <x v="2"/>
    <x v="1"/>
    <m/>
    <m/>
    <x v="0"/>
    <x v="0"/>
    <x v="0"/>
  </r>
  <r>
    <d v="2022-02-23T00:00:00"/>
    <s v="TIR1351"/>
    <x v="8"/>
    <s v="PM2424"/>
    <n v="505"/>
    <s v="Partition door takes too long to open"/>
    <x v="1"/>
    <x v="6"/>
    <m/>
    <x v="2"/>
    <x v="1"/>
    <m/>
    <m/>
    <x v="0"/>
    <x v="0"/>
    <x v="0"/>
  </r>
  <r>
    <d v="2022-02-23T00:00:00"/>
    <s v="TIR1352"/>
    <x v="8"/>
    <s v="PM2425"/>
    <n v="510"/>
    <s v="Gangway internal Panel has minor scratch( Refer PIC)"/>
    <x v="1"/>
    <x v="1"/>
    <m/>
    <x v="3"/>
    <x v="1"/>
    <m/>
    <s v="NCR1136"/>
    <x v="0"/>
    <x v="0"/>
    <x v="0"/>
  </r>
  <r>
    <d v="2022-02-24T00:00:00"/>
    <s v="TIR1353"/>
    <x v="0"/>
    <s v="Mail"/>
    <n v="605"/>
    <s v="Issue Detected in Train 605A &amp; 605B: Missing/ Damage External Safety labels for Battery Box (see photo attached)"/>
    <x v="1"/>
    <x v="3"/>
    <m/>
    <x v="3"/>
    <x v="1"/>
    <m/>
    <s v="NCR1353"/>
    <x v="0"/>
    <x v="0"/>
    <x v="0"/>
  </r>
  <r>
    <d v="2022-02-24T00:00:00"/>
    <s v="TIR1354"/>
    <x v="8"/>
    <m/>
    <n v="409"/>
    <s v="Issue Detected in Train 409 &amp; 601: Bolt class requirement FOR AUTOMATIC COUPLER CLASS A4-80 DOES NOT MATCH with the actual installed bolts of CLASS A4-70.  (see photo attached)"/>
    <x v="1"/>
    <x v="6"/>
    <m/>
    <x v="2"/>
    <x v="1"/>
    <m/>
    <m/>
    <x v="0"/>
    <x v="0"/>
    <x v="0"/>
  </r>
  <r>
    <d v="2022-02-24T00:00:00"/>
    <s v="TIR1355"/>
    <x v="8"/>
    <m/>
    <n v="601"/>
    <s v="Issue Detected in Train 409 &amp; 601: Bolt class requirement FOR AUTOMATIC COUPLER CLASS A4-80 DOES NOT MATCH with the actual installed bolts of CLASS A4-70.  (see photo attached)"/>
    <x v="1"/>
    <x v="2"/>
    <s v="Bolt were installed for earthing cable."/>
    <x v="1"/>
    <x v="0"/>
    <m/>
    <m/>
    <x v="0"/>
    <x v="0"/>
    <x v="0"/>
  </r>
  <r>
    <d v="2022-02-24T00:00:00"/>
    <s v="TIR1356"/>
    <x v="5"/>
    <s v="Mail"/>
    <n v="406"/>
    <s v="Issue Detected in Train 406: Automatic Coupler assembly bolt connection was having signs of movement on torque markings @ Train 406B.  (see photo attached)"/>
    <x v="1"/>
    <x v="6"/>
    <m/>
    <x v="2"/>
    <x v="1"/>
    <m/>
    <m/>
    <x v="0"/>
    <x v="0"/>
    <x v="0"/>
  </r>
  <r>
    <d v="2022-02-24T00:00:00"/>
    <s v="TIR1357"/>
    <x v="5"/>
    <s v="Mail"/>
    <n v="607"/>
    <s v="Issue Detected in Train 607: Automatic Coupler assembly bolt connection was having signs of movement on torque markings @ Train 607B.  (see photo attached)"/>
    <x v="1"/>
    <x v="6"/>
    <m/>
    <x v="2"/>
    <x v="1"/>
    <m/>
    <m/>
    <x v="0"/>
    <x v="0"/>
    <x v="0"/>
  </r>
  <r>
    <d v="2022-02-24T00:00:00"/>
    <s v="TIR1358"/>
    <x v="5"/>
    <s v="Mail"/>
    <n v="406"/>
    <s v="ssue Detected in Train 406 &amp; 614: Torque marking were no longer visible (fully covered with dust/dirt) to serve its purpose for easy identification for any loose bolt connection.  This condition was observed in many trains. (see photo attached)"/>
    <x v="1"/>
    <x v="6"/>
    <m/>
    <x v="2"/>
    <x v="1"/>
    <m/>
    <m/>
    <x v="0"/>
    <x v="0"/>
    <x v="0"/>
  </r>
  <r>
    <d v="2022-02-24T00:00:00"/>
    <s v="TIR1359"/>
    <x v="5"/>
    <s v="Mail"/>
    <n v="614"/>
    <s v="ssue Detected in Train 406 &amp; 614: Torque marking were no longer visible (fully covered with dust/dirt) to serve its purpose for easy identification for any loose bolt connection.  This condition was observed in many trains. (see photo attached)"/>
    <x v="1"/>
    <x v="6"/>
    <m/>
    <x v="2"/>
    <x v="1"/>
    <m/>
    <m/>
    <x v="0"/>
    <x v="0"/>
    <x v="0"/>
  </r>
  <r>
    <d v="2022-02-24T00:00:00"/>
    <s v="TIR1360"/>
    <x v="5"/>
    <s v="Mail"/>
    <n v="611"/>
    <s v="Issue Detected in Train 611: Torque marking were no longer visible (fully covered with dust/dirt) to serve its purpose for easy identification for any loose bolt connection @ Train 611B Bogie 2. "/>
    <x v="1"/>
    <x v="6"/>
    <m/>
    <x v="2"/>
    <x v="1"/>
    <m/>
    <m/>
    <x v="0"/>
    <x v="0"/>
    <x v="0"/>
  </r>
  <r>
    <d v="2022-02-24T00:00:00"/>
    <s v="TIR1361"/>
    <x v="5"/>
    <s v="Mail"/>
    <n v="402"/>
    <s v="Issue Detected in Train 402: Obvious signs of movement on torque marking for bolt fasterners @ Train 402A Bogie 2 Axle no. 3 Right side odometer cover.  (see photo attached)"/>
    <x v="1"/>
    <x v="2"/>
    <m/>
    <x v="0"/>
    <x v="0"/>
    <d v="2022-03-15T00:00:00"/>
    <m/>
    <x v="0"/>
    <x v="0"/>
    <x v="0"/>
  </r>
  <r>
    <d v="2022-02-24T00:00:00"/>
    <s v="TIR1362"/>
    <x v="5"/>
    <s v="Mail"/>
    <n v="623"/>
    <s v="Issue Detected in Train 623: Material (net) stuck in Front wiper Train 623A which might affect its functionality later on.  (see photo attached)"/>
    <x v="1"/>
    <x v="6"/>
    <m/>
    <x v="2"/>
    <x v="1"/>
    <m/>
    <m/>
    <x v="0"/>
    <x v="0"/>
    <x v="0"/>
  </r>
  <r>
    <d v="2022-02-24T00:00:00"/>
    <s v="TIR1363"/>
    <x v="5"/>
    <s v="Mail"/>
    <n v="615"/>
    <s v="Issue Detected in Train 615: Fire extinguisher tag not updated.  (see photo attached)"/>
    <x v="1"/>
    <x v="1"/>
    <m/>
    <x v="4"/>
    <x v="1"/>
    <m/>
    <m/>
    <x v="16"/>
    <x v="0"/>
    <x v="0"/>
  </r>
  <r>
    <d v="2022-02-24T00:00:00"/>
    <s v="TIR1364"/>
    <x v="0"/>
    <s v="PM2423_x0009__x000a_"/>
    <n v="409"/>
    <s v="HC1: LV box-battery connector hinge is missing"/>
    <x v="1"/>
    <x v="6"/>
    <m/>
    <x v="2"/>
    <x v="1"/>
    <m/>
    <m/>
    <x v="13"/>
    <x v="0"/>
    <x v="0"/>
  </r>
  <r>
    <d v="2022-02-24T00:00:00"/>
    <s v="TIR1365"/>
    <x v="0"/>
    <s v="PM2424"/>
    <n v="419"/>
    <s v="HC2 PCE BOX cooling fan cover needs retapping"/>
    <x v="1"/>
    <x v="2"/>
    <m/>
    <x v="3"/>
    <x v="1"/>
    <m/>
    <m/>
    <x v="13"/>
    <x v="0"/>
    <x v="0"/>
  </r>
  <r>
    <d v="2022-02-24T00:00:00"/>
    <s v="TIR1366"/>
    <x v="0"/>
    <s v="PM2424"/>
    <n v="419"/>
    <s v="IOS61 : At least one door is not operational indication"/>
    <x v="2"/>
    <x v="3"/>
    <m/>
    <x v="1"/>
    <x v="0"/>
    <d v="2022-03-09T00:00:00"/>
    <m/>
    <x v="0"/>
    <x v="0"/>
    <x v="0"/>
  </r>
  <r>
    <d v="2022-02-24T00:00:00"/>
    <s v="TIR1367"/>
    <x v="0"/>
    <s v="PM2424"/>
    <n v="419"/>
    <s v="LUBE STICKS Needed HC1: L-2+2   ,R-2+1 ,HC2:L-1+1"/>
    <x v="1"/>
    <x v="4"/>
    <m/>
    <x v="4"/>
    <x v="1"/>
    <m/>
    <m/>
    <x v="15"/>
    <x v="0"/>
    <x v="0"/>
  </r>
  <r>
    <d v="2022-02-24T00:00:00"/>
    <s v="TIR1368"/>
    <x v="0"/>
    <s v="PM2425"/>
    <n v="607"/>
    <s v="Lube sticks - HC-1: L-2+3, R - 2+3 and HC-2, R-2+3, L- 3+2.  total - 20 Nos needed"/>
    <x v="1"/>
    <x v="4"/>
    <m/>
    <x v="4"/>
    <x v="1"/>
    <m/>
    <m/>
    <x v="15"/>
    <x v="0"/>
    <x v="0"/>
  </r>
  <r>
    <d v="2022-02-24T00:00:00"/>
    <s v="TIR1369"/>
    <x v="0"/>
    <s v="PM2426"/>
    <n v="619"/>
    <s v="HC2,  Electrical coupler isolate cock is missing (handle)"/>
    <x v="1"/>
    <x v="1"/>
    <m/>
    <x v="2"/>
    <x v="1"/>
    <m/>
    <m/>
    <x v="13"/>
    <x v="0"/>
    <x v="0"/>
  </r>
  <r>
    <d v="2022-02-24T00:00:00"/>
    <s v="TIR1370"/>
    <x v="0"/>
    <s v="PM2426"/>
    <n v="619"/>
    <s v="IOS180 : 1 APC Major failure"/>
    <x v="2"/>
    <x v="3"/>
    <s v="Checked and found the CVS software still not update and inside CVS history still present reversible issue as result kajor fault will appeared. (Under monitoring after software update)."/>
    <x v="1"/>
    <x v="0"/>
    <m/>
    <m/>
    <x v="11"/>
    <x v="3"/>
    <x v="0"/>
  </r>
  <r>
    <d v="2022-02-24T00:00:00"/>
    <s v="TIR1371"/>
    <x v="0"/>
    <s v="PM2426"/>
    <n v="619"/>
    <s v="LUBE STICKS Needed HC1: L-3+2,R- 3+3 HC2:L- 3+2 ,R-3 +3"/>
    <x v="1"/>
    <x v="4"/>
    <m/>
    <x v="4"/>
    <x v="1"/>
    <m/>
    <m/>
    <x v="15"/>
    <x v="0"/>
    <x v="0"/>
  </r>
  <r>
    <d v="2022-02-24T00:00:00"/>
    <s v="TIR1372"/>
    <x v="0"/>
    <s v="PM2427"/>
    <n v="623"/>
    <s v="HC2, PCE box, One screw need retap at cooling fan cover"/>
    <x v="1"/>
    <x v="2"/>
    <m/>
    <x v="3"/>
    <x v="1"/>
    <m/>
    <m/>
    <x v="13"/>
    <x v="3"/>
    <x v="0"/>
  </r>
  <r>
    <d v="2022-02-24T00:00:00"/>
    <s v="TIR1373"/>
    <x v="0"/>
    <s v="PM2427"/>
    <n v="623"/>
    <s v="Lube stick HC-1 : R-3+2, L-3+3. and HC-2, L-2+2, R - 2+2.  total = 19 Nos Needed"/>
    <x v="1"/>
    <x v="4"/>
    <m/>
    <x v="4"/>
    <x v="1"/>
    <m/>
    <m/>
    <x v="15"/>
    <x v="3"/>
    <x v="0"/>
  </r>
  <r>
    <d v="2022-02-24T00:00:00"/>
    <s v="TIR1374"/>
    <x v="0"/>
    <s v="PM2428"/>
    <n v="625"/>
    <s v="Ip scanner : HC2 LEDI2 ,SWD,LCD2 showing offline in  &amp; physically data not updated in display"/>
    <x v="1"/>
    <x v="5"/>
    <m/>
    <x v="1"/>
    <x v="0"/>
    <d v="2022-03-16T00:00:00"/>
    <m/>
    <x v="2"/>
    <x v="0"/>
    <x v="0"/>
  </r>
  <r>
    <d v="2022-02-24T00:00:00"/>
    <s v="TIR1375"/>
    <x v="0"/>
    <s v="PM2428"/>
    <n v="625"/>
    <s v="LUBE STICKS Needed HC1: L-3+3 ,R- 3+3 HC2:L- 2+3 ,R- 2+3"/>
    <x v="1"/>
    <x v="4"/>
    <m/>
    <x v="4"/>
    <x v="1"/>
    <m/>
    <m/>
    <x v="15"/>
    <x v="3"/>
    <x v="0"/>
  </r>
  <r>
    <d v="2022-02-24T00:00:00"/>
    <s v="TIR1376"/>
    <x v="0"/>
    <s v="PM2429"/>
    <n v="501"/>
    <s v="PCE2 failed in Auto test and Offline in TCN; Ip Offline: PCE2; IOS235 : Faulty auto test on at least one    PCE; IOS245 : One PCE have a communication fault"/>
    <x v="2"/>
    <x v="2"/>
    <m/>
    <x v="0"/>
    <x v="0"/>
    <m/>
    <m/>
    <x v="7"/>
    <x v="3"/>
    <x v="1"/>
  </r>
  <r>
    <d v="2022-02-24T00:00:00"/>
    <s v="TIR1377"/>
    <x v="0"/>
    <s v="PM2430"/>
    <n v="506"/>
    <s v="IP offline : HC1-LEDI.1-offline ; HC2- LEDI2,LEDI4,LCD4,swd4  Display Visual Status: HC2- Ledi2- White, Lcd3- Dim, Lcd4- Black, Swd5- Nok Black"/>
    <x v="1"/>
    <x v="0"/>
    <m/>
    <x v="2"/>
    <x v="1"/>
    <m/>
    <m/>
    <x v="2"/>
    <x v="0"/>
    <x v="0"/>
  </r>
  <r>
    <d v="2022-02-24T00:00:00"/>
    <s v="TIR1378"/>
    <x v="0"/>
    <s v="PM2431"/>
    <n v="509"/>
    <s v="IP Offline : HC2- PEI1,3,5 &amp; LEDI 1,3,5 &amp; LCD1,3,5 &amp; SWD1,3,5 &amp; CAMI2  IOS192 : Loss of at least one camera ; IOS196 : Loss of at least 1 PEI in a class; "/>
    <x v="2"/>
    <x v="0"/>
    <m/>
    <x v="2"/>
    <x v="1"/>
    <m/>
    <m/>
    <x v="2"/>
    <x v="0"/>
    <x v="0"/>
  </r>
  <r>
    <d v="2022-02-27T00:00:00"/>
    <s v="TIR1379"/>
    <x v="0"/>
    <s v="PM2432"/>
    <n v="519"/>
    <s v="HC1-HVAC1 -Gas level low LP2"/>
    <x v="1"/>
    <x v="1"/>
    <m/>
    <x v="2"/>
    <x v="1"/>
    <m/>
    <m/>
    <x v="15"/>
    <x v="3"/>
    <x v="0"/>
  </r>
  <r>
    <d v="2022-02-27T00:00:00"/>
    <s v="TIR1380"/>
    <x v="0"/>
    <s v="PM2438"/>
    <n v="511"/>
    <s v="IP Offline : Ledi4-v1; PAPIS Display Visual Status : Ledi1- v1 Blank"/>
    <x v="1"/>
    <x v="0"/>
    <m/>
    <x v="2"/>
    <x v="1"/>
    <m/>
    <m/>
    <x v="2"/>
    <x v="7"/>
    <x v="0"/>
  </r>
  <r>
    <d v="2022-02-27T00:00:00"/>
    <s v="TIR1381"/>
    <x v="2"/>
    <s v="NA"/>
    <n v="407"/>
    <s v="PEED Reset from CC not working for all EED in the train (HC1-HC2 Both side)"/>
    <x v="1"/>
    <x v="3"/>
    <s v="27/02 : Wiring checked ok. PEEDRST received at TCMS level =&gt; investigation done by Guan : the installed resistance is difference. Need to check with supplier "/>
    <x v="4"/>
    <x v="1"/>
    <m/>
    <m/>
    <x v="9"/>
    <x v="8"/>
    <x v="0"/>
  </r>
  <r>
    <d v="2022-02-28T00:00:00"/>
    <s v="TIR1382"/>
    <x v="0"/>
    <s v="PM2439_x0009__x000a_"/>
    <n v="401"/>
    <s v="Lube sticks required are at HC1 L-2+3, R- 3+3 and HC2 - L- 2+2 , R- 2+2. Total - 19 Nos"/>
    <x v="1"/>
    <x v="1"/>
    <m/>
    <x v="4"/>
    <x v="1"/>
    <m/>
    <m/>
    <x v="15"/>
    <x v="3"/>
    <x v="0"/>
  </r>
  <r>
    <d v="2022-02-28T00:00:00"/>
    <s v="TIR1383"/>
    <x v="0"/>
    <s v="PM2440_x0009__x000a_"/>
    <n v="411"/>
    <s v="Lube sticks required are at HC1 L- 2+2, R- 2+2 and HC2  L- 2+2 , R- 2+2. Total - 16 Nos"/>
    <x v="1"/>
    <x v="1"/>
    <m/>
    <x v="4"/>
    <x v="1"/>
    <m/>
    <m/>
    <x v="15"/>
    <x v="3"/>
    <x v="0"/>
  </r>
  <r>
    <d v="2022-03-01T00:00:00"/>
    <s v="TIR1384"/>
    <x v="8"/>
    <m/>
    <m/>
    <m/>
    <x v="0"/>
    <x v="6"/>
    <m/>
    <x v="5"/>
    <x v="2"/>
    <m/>
    <m/>
    <x v="0"/>
    <x v="0"/>
    <x v="0"/>
  </r>
  <r>
    <d v="2022-03-01T00:00:00"/>
    <s v="TIR1385"/>
    <x v="8"/>
    <m/>
    <m/>
    <m/>
    <x v="0"/>
    <x v="6"/>
    <m/>
    <x v="5"/>
    <x v="2"/>
    <m/>
    <m/>
    <x v="0"/>
    <x v="0"/>
    <x v="0"/>
  </r>
  <r>
    <d v="2022-03-03T00:00:00"/>
    <s v="TIR1386"/>
    <x v="0"/>
    <s v="PM2431"/>
    <n v="509"/>
    <s v="IOS252 : One ATC have a communication fault"/>
    <x v="2"/>
    <x v="3"/>
    <s v="03/03 : Found CRS_ATC breakers OFF. also SIG modem in HC2 ON (this breaker should be OFF in TU4. No more IOS after normalizing"/>
    <x v="0"/>
    <x v="0"/>
    <d v="2022-03-03T00:00:00"/>
    <m/>
    <x v="12"/>
    <x v="3"/>
    <x v="0"/>
  </r>
  <r>
    <d v="2022-03-03T00:00:00"/>
    <s v="TIR1387"/>
    <x v="2"/>
    <m/>
    <n v="423"/>
    <s v="HVAC1-V1 Performance issue (check  gas level )"/>
    <x v="1"/>
    <x v="4"/>
    <m/>
    <x v="0"/>
    <x v="0"/>
    <d v="2022-03-09T00:00:00"/>
    <m/>
    <x v="0"/>
    <x v="0"/>
    <x v="0"/>
  </r>
  <r>
    <m/>
    <s v="TIR1388"/>
    <x v="8"/>
    <m/>
    <m/>
    <s v="PM"/>
    <x v="0"/>
    <x v="6"/>
    <m/>
    <x v="5"/>
    <x v="1"/>
    <m/>
    <m/>
    <x v="0"/>
    <x v="0"/>
    <x v="0"/>
  </r>
  <r>
    <m/>
    <s v="TIR1389"/>
    <x v="8"/>
    <m/>
    <m/>
    <s v="PM"/>
    <x v="0"/>
    <x v="6"/>
    <m/>
    <x v="5"/>
    <x v="1"/>
    <m/>
    <m/>
    <x v="0"/>
    <x v="0"/>
    <x v="0"/>
  </r>
  <r>
    <m/>
    <s v="TIR1390"/>
    <x v="8"/>
    <m/>
    <m/>
    <s v="PM"/>
    <x v="0"/>
    <x v="6"/>
    <m/>
    <x v="5"/>
    <x v="1"/>
    <m/>
    <m/>
    <x v="0"/>
    <x v="0"/>
    <x v="0"/>
  </r>
  <r>
    <m/>
    <s v="TIR1391"/>
    <x v="8"/>
    <m/>
    <m/>
    <s v="PM"/>
    <x v="0"/>
    <x v="6"/>
    <m/>
    <x v="5"/>
    <x v="1"/>
    <m/>
    <m/>
    <x v="0"/>
    <x v="0"/>
    <x v="0"/>
  </r>
  <r>
    <m/>
    <s v="TIR1392"/>
    <x v="8"/>
    <m/>
    <m/>
    <s v="PM"/>
    <x v="0"/>
    <x v="6"/>
    <m/>
    <x v="5"/>
    <x v="1"/>
    <m/>
    <m/>
    <x v="0"/>
    <x v="0"/>
    <x v="0"/>
  </r>
  <r>
    <m/>
    <s v="TIR1393"/>
    <x v="8"/>
    <m/>
    <m/>
    <s v="PM"/>
    <x v="0"/>
    <x v="6"/>
    <m/>
    <x v="5"/>
    <x v="1"/>
    <m/>
    <m/>
    <x v="0"/>
    <x v="0"/>
    <x v="0"/>
  </r>
  <r>
    <d v="2022-03-08T00:00:00"/>
    <s v="TIR1394"/>
    <x v="2"/>
    <s v="NA"/>
    <n v="402"/>
    <s v="ISM showing TCCU no comm"/>
    <x v="1"/>
    <x v="5"/>
    <m/>
    <x v="1"/>
    <x v="0"/>
    <d v="2022-03-09T00:00:00"/>
    <m/>
    <x v="0"/>
    <x v="0"/>
    <x v="0"/>
  </r>
  <r>
    <d v="2022-03-08T00:00:00"/>
    <s v="TIR1395"/>
    <x v="2"/>
    <s v="NA"/>
    <n v="407"/>
    <s v="ISM showing PEI3V1 no comm"/>
    <x v="1"/>
    <x v="5"/>
    <m/>
    <x v="1"/>
    <x v="0"/>
    <d v="2022-03-09T00:00:00"/>
    <m/>
    <x v="0"/>
    <x v="0"/>
    <x v="0"/>
  </r>
  <r>
    <d v="2022-03-08T00:00:00"/>
    <s v="TIR1396"/>
    <x v="2"/>
    <s v="NA"/>
    <n v="413"/>
    <s v="ISM showing PEI2V2 no comm"/>
    <x v="1"/>
    <x v="5"/>
    <m/>
    <x v="1"/>
    <x v="0"/>
    <d v="2022-03-09T00:00:00"/>
    <m/>
    <x v="0"/>
    <x v="0"/>
    <x v="0"/>
  </r>
  <r>
    <d v="2022-03-08T00:00:00"/>
    <s v="TIR1397"/>
    <x v="2"/>
    <s v="NA"/>
    <n v="415"/>
    <s v="ISM showing PEI4V1 no comm"/>
    <x v="1"/>
    <x v="5"/>
    <m/>
    <x v="1"/>
    <x v="0"/>
    <d v="2022-03-09T00:00:00"/>
    <m/>
    <x v="0"/>
    <x v="0"/>
    <x v="0"/>
  </r>
  <r>
    <d v="2022-03-08T00:00:00"/>
    <s v="TIR1398"/>
    <x v="2"/>
    <s v="NA"/>
    <n v="418"/>
    <s v="ISM showing PEI2V1 no comm"/>
    <x v="1"/>
    <x v="5"/>
    <m/>
    <x v="1"/>
    <x v="0"/>
    <d v="2022-03-09T00:00:00"/>
    <m/>
    <x v="0"/>
    <x v="0"/>
    <x v="0"/>
  </r>
  <r>
    <d v="2022-03-08T00:00:00"/>
    <s v="TIR1399"/>
    <x v="2"/>
    <s v="NA"/>
    <n v="419"/>
    <s v="ISM showing PA_CTRL &amp; PA_Zone Train no comm"/>
    <x v="1"/>
    <x v="5"/>
    <m/>
    <x v="1"/>
    <x v="0"/>
    <d v="2022-03-09T00:00:00"/>
    <m/>
    <x v="0"/>
    <x v="0"/>
    <x v="0"/>
  </r>
  <r>
    <d v="2022-03-08T00:00:00"/>
    <s v="TIR1400"/>
    <x v="3"/>
    <s v="NA"/>
    <n v="420"/>
    <s v="One CCD of the HC1 bogie 2, one CC arm and shoe have been damaged after an incident on the mainline"/>
    <x v="3"/>
    <x v="5"/>
    <m/>
    <x v="0"/>
    <x v="0"/>
    <d v="2022-03-14T00:00:00"/>
    <m/>
    <x v="0"/>
    <x v="0"/>
    <x v="0"/>
  </r>
  <r>
    <d v="2022-03-08T00:00:00"/>
    <s v="TIR1401"/>
    <x v="3"/>
    <s v="NA"/>
    <n v="420"/>
    <s v="Current Collector to Fuse Box cable damaged after an incident on the mainline"/>
    <x v="3"/>
    <x v="5"/>
    <m/>
    <x v="0"/>
    <x v="0"/>
    <d v="2022-03-14T00:00:00"/>
    <m/>
    <x v="0"/>
    <x v="0"/>
    <x v="0"/>
  </r>
  <r>
    <d v="2022-03-08T00:00:00"/>
    <s v="TIR1402"/>
    <x v="3"/>
    <s v="NA"/>
    <n v="420"/>
    <s v="Earth return unit and grounding damaged after an incident on the mainline"/>
    <x v="3"/>
    <x v="5"/>
    <m/>
    <x v="0"/>
    <x v="0"/>
    <d v="2022-03-14T00:00:00"/>
    <m/>
    <x v="0"/>
    <x v="0"/>
    <x v="0"/>
  </r>
  <r>
    <d v="2022-03-08T00:00:00"/>
    <s v="TIR1403"/>
    <x v="3"/>
    <s v="NA"/>
    <n v="605"/>
    <s v="Two 750V cables were damaged after an incident on the mainline"/>
    <x v="3"/>
    <x v="5"/>
    <m/>
    <x v="0"/>
    <x v="0"/>
    <d v="2022-03-14T00:00:00"/>
    <m/>
    <x v="0"/>
    <x v="0"/>
    <x v="0"/>
  </r>
  <r>
    <d v="2022-03-08T00:00:00"/>
    <s v="TIR1404"/>
    <x v="3"/>
    <s v="NA"/>
    <n v="605"/>
    <s v="3 CCDs shoes, 3 CCD arms and 3 sets of CC to fuse box cables damaged after an incident on the mainline"/>
    <x v="3"/>
    <x v="5"/>
    <m/>
    <x v="0"/>
    <x v="0"/>
    <d v="2022-03-14T00:00:00"/>
    <m/>
    <x v="0"/>
    <x v="0"/>
    <x v="0"/>
  </r>
  <r>
    <d v="2022-03-08T00:00:00"/>
    <s v="TIR1405"/>
    <x v="3"/>
    <s v="NA"/>
    <n v="605"/>
    <s v="A derailment detector cable was damaged after an incident on the mainline"/>
    <x v="3"/>
    <x v="5"/>
    <m/>
    <x v="0"/>
    <x v="0"/>
    <d v="2022-03-14T00:00:00"/>
    <m/>
    <x v="0"/>
    <x v="0"/>
    <x v="0"/>
  </r>
  <r>
    <d v="2022-03-08T00:00:00"/>
    <s v="TIR1406"/>
    <x v="3"/>
    <s v="NA"/>
    <n v="605"/>
    <s v="The odometer and its cover were damaged after an incident on the mainline"/>
    <x v="3"/>
    <x v="5"/>
    <m/>
    <x v="0"/>
    <x v="0"/>
    <d v="2022-03-14T00:00:00"/>
    <m/>
    <x v="0"/>
    <x v="0"/>
    <x v="0"/>
  </r>
  <r>
    <d v="2022-03-08T00:00:00"/>
    <s v="TIR1407"/>
    <x v="3"/>
    <s v="NA"/>
    <n v="605"/>
    <s v="WSP cable damaged after an incident on the mainline"/>
    <x v="3"/>
    <x v="5"/>
    <m/>
    <x v="0"/>
    <x v="0"/>
    <d v="2022-03-14T00:00:00"/>
    <m/>
    <x v="0"/>
    <x v="0"/>
    <x v="0"/>
  </r>
  <r>
    <d v="2022-03-09T00:00:00"/>
    <s v="TIR1408"/>
    <x v="2"/>
    <s v="NA"/>
    <n v="407"/>
    <s v="LEDI1-V2 offline "/>
    <x v="1"/>
    <x v="0"/>
    <s v="Updated software manually and test ok"/>
    <x v="1"/>
    <x v="0"/>
    <d v="2022-03-09T00:00:00"/>
    <m/>
    <x v="2"/>
    <x v="0"/>
    <x v="0"/>
  </r>
  <r>
    <d v="2022-03-09T00:00:00"/>
    <s v="TIR1409"/>
    <x v="2"/>
    <s v="NA"/>
    <n v="608"/>
    <s v="TCCU,NVR,cameras unknown status in ISM"/>
    <x v="1"/>
    <x v="0"/>
    <s v="Updated software manually and test ok"/>
    <x v="1"/>
    <x v="0"/>
    <d v="2022-03-09T00:00:00"/>
    <m/>
    <x v="2"/>
    <x v="0"/>
    <x v="0"/>
  </r>
  <r>
    <d v="2022-03-09T00:00:00"/>
    <s v="TIR1410"/>
    <x v="2"/>
    <s v="NA"/>
    <n v="611"/>
    <s v="ISM show pei3-v1,pei3-v2 no communication"/>
    <x v="1"/>
    <x v="0"/>
    <s v="Updated software manually and test ok"/>
    <x v="1"/>
    <x v="0"/>
    <d v="2022-03-09T00:00:00"/>
    <m/>
    <x v="2"/>
    <x v="0"/>
    <x v="0"/>
  </r>
  <r>
    <d v="2022-03-09T00:00:00"/>
    <s v="TIR1411"/>
    <x v="2"/>
    <s v="NA"/>
    <n v="618"/>
    <s v="TCCU,NVR,cameras unknown status in ISM"/>
    <x v="1"/>
    <x v="0"/>
    <s v="Updated software manually and test ok"/>
    <x v="1"/>
    <x v="0"/>
    <d v="2022-03-09T00:00:00"/>
    <m/>
    <x v="2"/>
    <x v="0"/>
    <x v="0"/>
  </r>
  <r>
    <d v="2022-03-09T00:00:00"/>
    <s v="TIR1412"/>
    <x v="2"/>
    <s v="NA"/>
    <n v="624"/>
    <s v="TCCU,NVR,cameras no communication in ISM"/>
    <x v="1"/>
    <x v="0"/>
    <s v="Updated software manually and test ok"/>
    <x v="1"/>
    <x v="0"/>
    <d v="2022-03-09T00:00:00"/>
    <m/>
    <x v="2"/>
    <x v="0"/>
    <x v="0"/>
  </r>
  <r>
    <d v="2022-03-10T00:00:00"/>
    <s v="TIR1413"/>
    <x v="2"/>
    <s v="NA"/>
    <n v="602"/>
    <s v="TCCU,NVR,cameras no communication in ISM"/>
    <x v="1"/>
    <x v="5"/>
    <m/>
    <x v="1"/>
    <x v="0"/>
    <d v="2022-03-10T00:00:00"/>
    <m/>
    <x v="2"/>
    <x v="0"/>
    <x v="0"/>
  </r>
  <r>
    <d v="2022-03-10T00:00:00"/>
    <s v="TIR1414"/>
    <x v="2"/>
    <s v="NA"/>
    <n v="603"/>
    <s v="TCCU,NVR,cameras no communication in ISM"/>
    <x v="1"/>
    <x v="5"/>
    <m/>
    <x v="1"/>
    <x v="0"/>
    <d v="2022-03-10T00:00:00"/>
    <m/>
    <x v="2"/>
    <x v="0"/>
    <x v="0"/>
  </r>
  <r>
    <d v="2022-03-10T00:00:00"/>
    <s v="TIR1415"/>
    <x v="2"/>
    <s v="NA"/>
    <n v="607"/>
    <s v="TCCU,NVR,cameras unknown in ISM"/>
    <x v="1"/>
    <x v="5"/>
    <m/>
    <x v="1"/>
    <x v="0"/>
    <d v="2022-03-10T00:00:00"/>
    <m/>
    <x v="2"/>
    <x v="0"/>
    <x v="0"/>
  </r>
  <r>
    <d v="2022-03-10T00:00:00"/>
    <s v="TIR1416"/>
    <x v="2"/>
    <s v="NA"/>
    <n v="609"/>
    <s v="TCCU,NVR,cameras no communication in ISM"/>
    <x v="1"/>
    <x v="5"/>
    <m/>
    <x v="1"/>
    <x v="0"/>
    <d v="2022-03-10T00:00:00"/>
    <m/>
    <x v="2"/>
    <x v="0"/>
    <x v="0"/>
  </r>
  <r>
    <d v="2022-03-10T00:00:00"/>
    <s v="TIR1417"/>
    <x v="2"/>
    <s v="NA"/>
    <n v="610"/>
    <s v="TCCU,NVR,cameras no communication in ISM"/>
    <x v="1"/>
    <x v="5"/>
    <m/>
    <x v="1"/>
    <x v="0"/>
    <d v="2022-03-10T00:00:00"/>
    <m/>
    <x v="2"/>
    <x v="0"/>
    <x v="0"/>
  </r>
  <r>
    <d v="2022-03-10T00:00:00"/>
    <s v="TIR1418"/>
    <x v="2"/>
    <s v="NA"/>
    <n v="615"/>
    <s v="TCCU,NVR,cameras no communication in ISM"/>
    <x v="1"/>
    <x v="5"/>
    <m/>
    <x v="1"/>
    <x v="0"/>
    <d v="2022-03-10T00:00:00"/>
    <m/>
    <x v="2"/>
    <x v="0"/>
    <x v="0"/>
  </r>
  <r>
    <d v="2022-03-10T00:00:00"/>
    <s v="TIR1419"/>
    <x v="2"/>
    <s v="NA"/>
    <n v="626"/>
    <s v="TCCU,NVR,cameras no communication in ISM"/>
    <x v="1"/>
    <x v="5"/>
    <m/>
    <x v="1"/>
    <x v="0"/>
    <d v="2022-03-10T00:00:00"/>
    <m/>
    <x v="2"/>
    <x v="0"/>
    <x v="0"/>
  </r>
  <r>
    <d v="2022-03-13T00:00:00"/>
    <s v="TIR1420"/>
    <x v="4"/>
    <s v="NA"/>
    <n v="423"/>
    <s v="Traction 750V connector was damaged during train movement in the workshop"/>
    <x v="3"/>
    <x v="5"/>
    <m/>
    <x v="0"/>
    <x v="0"/>
    <m/>
    <m/>
    <x v="10"/>
    <x v="0"/>
    <x v="0"/>
  </r>
  <r>
    <d v="2022-03-14T00:00:00"/>
    <s v="TIR1421"/>
    <x v="0"/>
    <s v="NA"/>
    <n v="623"/>
    <s v="PEI3-V1 lost communication"/>
    <x v="1"/>
    <x v="0"/>
    <s v="Replaced a new pei and test ok"/>
    <x v="0"/>
    <x v="0"/>
    <d v="2022-03-14T00:00:00"/>
    <m/>
    <x v="2"/>
    <x v="2"/>
    <x v="2"/>
  </r>
  <r>
    <d v="2022-03-14T00:00:00"/>
    <s v="TIR1422"/>
    <x v="2"/>
    <s v="NA"/>
    <n v="622"/>
    <s v="TCCU,NVR,cameras no communication in ISM"/>
    <x v="1"/>
    <x v="0"/>
    <m/>
    <x v="1"/>
    <x v="0"/>
    <d v="2022-03-14T00:00:00"/>
    <m/>
    <x v="2"/>
    <x v="0"/>
    <x v="0"/>
  </r>
  <r>
    <d v="2022-03-16T00:00:00"/>
    <s v="TIR1423"/>
    <x v="3"/>
    <s v="NA"/>
    <n v="612"/>
    <s v="IOS264: More than one MUC have a communication fault."/>
    <x v="3"/>
    <x v="0"/>
    <s v="Checked that no IOS 264 reported. Updated tccu2 software and test ok"/>
    <x v="0"/>
    <x v="0"/>
    <d v="2022-03-16T00:00:00"/>
    <m/>
    <x v="0"/>
    <x v="0"/>
    <x v="0"/>
  </r>
  <r>
    <d v="2022-03-16T00:00:00"/>
    <s v="TIR1424"/>
    <x v="3"/>
    <s v="NA"/>
    <n v="405"/>
    <s v="IOS196 : Loss of at least 1 PEI in a class"/>
    <x v="1"/>
    <x v="0"/>
    <m/>
    <x v="2"/>
    <x v="1"/>
    <m/>
    <m/>
    <x v="0"/>
    <x v="0"/>
    <x v="0"/>
  </r>
  <r>
    <d v="2022-03-16T00:00:00"/>
    <s v="TIR1425"/>
    <x v="3"/>
    <s v="NA"/>
    <n v="417"/>
    <s v="IOS15 : Service brake released loop in default indication"/>
    <x v="3"/>
    <x v="2"/>
    <m/>
    <x v="0"/>
    <x v="0"/>
    <d v="2022-03-20T00:00:00"/>
    <m/>
    <x v="14"/>
    <x v="9"/>
    <x v="1"/>
  </r>
  <r>
    <d v="2022-03-16T00:00:00"/>
    <s v="TIR1426"/>
    <x v="3"/>
    <s v="NA"/>
    <n v="608"/>
    <s v="IOS191 : Loss of video recorder"/>
    <x v="3"/>
    <x v="0"/>
    <s v="Found tccu1 report wrongly, and we updated TCCU1 software and test ok"/>
    <x v="0"/>
    <x v="0"/>
    <d v="2022-03-16T00:00:00"/>
    <m/>
    <x v="2"/>
    <x v="10"/>
    <x v="1"/>
  </r>
  <r>
    <d v="2022-03-16T00:00:00"/>
    <s v="TIR1427"/>
    <x v="3"/>
    <s v="NA"/>
    <n v="608"/>
    <s v="IOS195 : Loss of All PEI in the same class"/>
    <x v="3"/>
    <x v="0"/>
    <s v="Found tccu1 report all PEI lost communication issue, and we updated software and test ok"/>
    <x v="0"/>
    <x v="0"/>
    <d v="2022-03-16T00:00:00"/>
    <m/>
    <x v="2"/>
    <x v="11"/>
    <x v="1"/>
  </r>
  <r>
    <d v="2022-03-16T00:00:00"/>
    <s v="TIR1428"/>
    <x v="3"/>
    <s v="NA"/>
    <n v="608"/>
    <s v="IOS267 : At least one software version discordancy fault"/>
    <x v="1"/>
    <x v="0"/>
    <s v="Found tccu1 report all PEI lost communication issue, and we updated software and test ok"/>
    <x v="0"/>
    <x v="0"/>
    <d v="2022-03-16T00:00:00"/>
    <m/>
    <x v="2"/>
    <x v="11"/>
    <x v="0"/>
  </r>
  <r>
    <d v="2022-03-16T00:00:00"/>
    <s v="TIR1429"/>
    <x v="3"/>
    <s v="NA"/>
    <n v="406"/>
    <s v="IOS192 : Loss of at least one camera"/>
    <x v="1"/>
    <x v="0"/>
    <m/>
    <x v="1"/>
    <x v="0"/>
    <d v="2022-03-17T00:00:00"/>
    <m/>
    <x v="2"/>
    <x v="12"/>
    <x v="0"/>
  </r>
  <r>
    <d v="2022-03-16T00:00:00"/>
    <s v="TIR1430"/>
    <x v="3"/>
    <s v="NA"/>
    <n v="621"/>
    <s v="IOS264 : More than one MUC have a communication fault"/>
    <x v="3"/>
    <x v="0"/>
    <s v="found TCCU1 lost communication, and reboot it and ok, still checking with supplier of software issue"/>
    <x v="0"/>
    <x v="0"/>
    <d v="2022-03-16T00:00:00"/>
    <m/>
    <x v="2"/>
    <x v="11"/>
    <x v="0"/>
  </r>
  <r>
    <d v="2022-03-16T00:00:00"/>
    <s v="TIR1431"/>
    <x v="3"/>
    <s v="NA"/>
    <n v="611"/>
    <s v="IOS196 : Loss of at least 1 PEI in a class"/>
    <x v="1"/>
    <x v="0"/>
    <m/>
    <x v="1"/>
    <x v="0"/>
    <d v="2022-03-17T00:00:00"/>
    <m/>
    <x v="2"/>
    <x v="0"/>
    <x v="0"/>
  </r>
  <r>
    <d v="2022-03-16T00:00:00"/>
    <s v="TIR1432"/>
    <x v="0"/>
    <s v="PM2497"/>
    <n v="401"/>
    <s v="IP Offline : Lcd1 - v2"/>
    <x v="1"/>
    <x v="5"/>
    <m/>
    <x v="1"/>
    <x v="0"/>
    <d v="2022-03-17T00:00:00"/>
    <m/>
    <x v="2"/>
    <x v="0"/>
    <x v="0"/>
  </r>
  <r>
    <d v="2022-03-16T00:00:00"/>
    <s v="TIR1433"/>
    <x v="0"/>
    <s v="PM2499"/>
    <n v="412"/>
    <s v="IP Offline : Lcd6,Led6,Swd6 - v1"/>
    <x v="1"/>
    <x v="5"/>
    <m/>
    <x v="1"/>
    <x v="0"/>
    <d v="2022-03-17T00:00:00"/>
    <m/>
    <x v="2"/>
    <x v="0"/>
    <x v="0"/>
  </r>
  <r>
    <d v="2022-03-17T00:00:00"/>
    <s v="TIR1434"/>
    <x v="0"/>
    <s v="PM2517"/>
    <n v="402"/>
    <s v="IP Offline : ledi2-v1, lcd1-v1, swd2-v1"/>
    <x v="1"/>
    <x v="0"/>
    <m/>
    <x v="2"/>
    <x v="1"/>
    <m/>
    <m/>
    <x v="0"/>
    <x v="0"/>
    <x v="0"/>
  </r>
  <r>
    <d v="2022-03-17T00:00:00"/>
    <s v="TIR1435"/>
    <x v="0"/>
    <s v="PM2519"/>
    <n v="614"/>
    <s v="IP Offline : ledi3-v2, lcd3-v2, swd3-v2"/>
    <x v="1"/>
    <x v="0"/>
    <m/>
    <x v="2"/>
    <x v="1"/>
    <m/>
    <m/>
    <x v="0"/>
    <x v="0"/>
    <x v="0"/>
  </r>
  <r>
    <d v="2022-03-17T00:00:00"/>
    <s v="TIR1436"/>
    <x v="3"/>
    <s v="NA"/>
    <n v="401"/>
    <s v="HC2_ROM - Missing of Male connector for 72W03+ROM_XP_ETH1 of Openbat-F Simple Radio Onboard(DTR0000397019) "/>
    <x v="1"/>
    <x v="2"/>
    <m/>
    <x v="2"/>
    <x v="1"/>
    <m/>
    <m/>
    <x v="0"/>
    <x v="0"/>
    <x v="0"/>
  </r>
  <r>
    <d v="2022-03-17T00:00:00"/>
    <s v="TIR1437"/>
    <x v="3"/>
    <s v="NA"/>
    <n v="404"/>
    <s v="IOS228 : At least one minor failure on PCE &amp; IOS226 : Loss of traction and ED brake on one PCE"/>
    <x v="3"/>
    <x v="2"/>
    <m/>
    <x v="3"/>
    <x v="1"/>
    <d v="2022-03-20T00:00:00"/>
    <m/>
    <x v="10"/>
    <x v="13"/>
    <x v="1"/>
  </r>
  <r>
    <d v="2022-03-17T00:00:00"/>
    <s v="TIR1438"/>
    <x v="3"/>
    <s v="NA"/>
    <n v="412"/>
    <s v="IOS196 : Loss of at least 1 PEI in a class"/>
    <x v="1"/>
    <x v="0"/>
    <m/>
    <x v="2"/>
    <x v="1"/>
    <m/>
    <m/>
    <x v="2"/>
    <x v="2"/>
    <x v="0"/>
  </r>
  <r>
    <d v="2022-03-17T00:00:00"/>
    <s v="TIR1439"/>
    <x v="3"/>
    <s v="NA"/>
    <n v="612"/>
    <s v="IOS192:Loss of at least 1 camera"/>
    <x v="1"/>
    <x v="0"/>
    <m/>
    <x v="2"/>
    <x v="1"/>
    <m/>
    <m/>
    <x v="2"/>
    <x v="12"/>
    <x v="0"/>
  </r>
  <r>
    <d v="2022-03-17T00:00:00"/>
    <s v="TIR1440"/>
    <x v="3"/>
    <s v="NA"/>
    <n v="611"/>
    <s v="IOS192:Loss of at least 1 camera"/>
    <x v="1"/>
    <x v="0"/>
    <m/>
    <x v="2"/>
    <x v="1"/>
    <m/>
    <m/>
    <x v="2"/>
    <x v="12"/>
    <x v="0"/>
  </r>
  <r>
    <d v="2022-03-20T00:00:00"/>
    <s v="TIR1441"/>
    <x v="3"/>
    <s v="NA"/>
    <n v="423"/>
    <s v="CRS5-HC1 Offline"/>
    <x v="3"/>
    <x v="2"/>
    <m/>
    <x v="3"/>
    <x v="1"/>
    <d v="2022-03-20T00:00:00"/>
    <m/>
    <x v="6"/>
    <x v="14"/>
    <x v="1"/>
  </r>
  <r>
    <d v="2022-03-20T00:00:00"/>
    <s v="TIR1442"/>
    <x v="3"/>
    <s v="NA"/>
    <n v="415"/>
    <s v="IOS196:Loss of at least 1 PEI in a class"/>
    <x v="1"/>
    <x v="0"/>
    <m/>
    <x v="2"/>
    <x v="1"/>
    <m/>
    <m/>
    <x v="2"/>
    <x v="2"/>
    <x v="0"/>
  </r>
  <r>
    <d v="2022-03-20T00:00:00"/>
    <s v="TIR1443"/>
    <x v="2"/>
    <s v="NA"/>
    <n v="606"/>
    <s v="TCCU2 faulty"/>
    <x v="1"/>
    <x v="0"/>
    <m/>
    <x v="3"/>
    <x v="1"/>
    <d v="2022-03-20T00:00:00"/>
    <m/>
    <x v="2"/>
    <x v="11"/>
    <x v="0"/>
  </r>
  <r>
    <d v="2022-03-20T00:00:00"/>
    <s v="TIR1444"/>
    <x v="3"/>
    <s v="NA"/>
    <n v="409"/>
    <s v="CRS1-HC2 Offline"/>
    <x v="3"/>
    <x v="0"/>
    <m/>
    <x v="3"/>
    <x v="1"/>
    <d v="2022-03-20T00:00:00"/>
    <m/>
    <x v="6"/>
    <x v="14"/>
    <x v="1"/>
  </r>
  <r>
    <d v="2022-03-20T00:00:00"/>
    <s v="TIR1445"/>
    <x v="2"/>
    <s v="NA"/>
    <n v="606"/>
    <s v="TCCU2 TCN offline"/>
    <x v="1"/>
    <x v="0"/>
    <m/>
    <x v="2"/>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B08688-B580-476F-AB21-FB15F205C6A7}" name="PivotTable1" cacheId="24" applyNumberFormats="0" applyBorderFormats="0" applyFontFormats="0" applyPatternFormats="0" applyAlignmentFormats="0" applyWidthHeightFormats="1" dataCaption="Values" grandTotalCaption="Grand Total" updatedVersion="7" minRefreshableVersion="3" useAutoFormatting="1" itemPrintTitles="1" createdVersion="6" indent="0" outline="1" outlineData="1" multipleFieldFilters="0" chartFormat="34" rowHeaderCaption="Closure Status">
  <location ref="A7:B11" firstHeaderRow="1" firstDataRow="1" firstDataCol="1"/>
  <pivotFields count="10">
    <pivotField showAll="0"/>
    <pivotField dataField="1" showAll="0"/>
    <pivotField showAll="0"/>
    <pivotField showAll="0"/>
    <pivotField showAll="0"/>
    <pivotField showAll="0"/>
    <pivotField showAll="0"/>
    <pivotField showAll="0"/>
    <pivotField showAll="0"/>
    <pivotField axis="axisRow" showAll="0">
      <items count="18">
        <item h="1" m="1" x="11"/>
        <item h="1" m="1" x="7"/>
        <item h="1" m="1" x="10"/>
        <item h="1" m="1" x="14"/>
        <item h="1" m="1" x="13"/>
        <item h="1" m="1" x="6"/>
        <item h="1" x="5"/>
        <item h="1" m="1" x="16"/>
        <item h="1" m="1" x="12"/>
        <item h="1" m="1" x="8"/>
        <item x="1"/>
        <item h="1" m="1" x="9"/>
        <item m="1" x="15"/>
        <item x="0"/>
        <item x="3"/>
        <item h="1" x="2"/>
        <item h="1" x="4"/>
        <item t="default"/>
      </items>
    </pivotField>
  </pivotFields>
  <rowFields count="1">
    <field x="9"/>
  </rowFields>
  <rowItems count="4">
    <i>
      <x v="10"/>
    </i>
    <i>
      <x v="13"/>
    </i>
    <i>
      <x v="14"/>
    </i>
    <i t="grand">
      <x/>
    </i>
  </rowItems>
  <colItems count="1">
    <i/>
  </colItems>
  <dataFields count="1">
    <dataField name="Count" fld="1" subtotal="count" baseField="0" baseItem="0"/>
  </dataFields>
  <formats count="8">
    <format dxfId="7">
      <pivotArea collapsedLevelsAreSubtotals="1" fieldPosition="0">
        <references count="1">
          <reference field="9" count="0"/>
        </references>
      </pivotArea>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9" type="button" dataOnly="0" labelOnly="1" outline="0" axis="axisRow" fieldPosition="0"/>
    </format>
    <format dxfId="2">
      <pivotArea dataOnly="0" labelOnly="1" fieldPosition="0">
        <references count="1">
          <reference field="9" count="0"/>
        </references>
      </pivotArea>
    </format>
    <format dxfId="1">
      <pivotArea dataOnly="0" labelOnly="1" grandRow="1" outline="0" fieldPosition="0"/>
    </format>
    <format dxfId="0">
      <pivotArea dataOnly="0" labelOnly="1" outline="0" axis="axisValues" fieldPosition="0"/>
    </format>
  </formats>
  <chartFormats count="60">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9" count="1" selected="0">
            <x v="0"/>
          </reference>
        </references>
      </pivotArea>
    </chartFormat>
    <chartFormat chart="5" format="2">
      <pivotArea type="data" outline="0" fieldPosition="0">
        <references count="2">
          <reference field="4294967294" count="1" selected="0">
            <x v="0"/>
          </reference>
          <reference field="9" count="1" selected="0">
            <x v="1"/>
          </reference>
        </references>
      </pivotArea>
    </chartFormat>
    <chartFormat chart="5" format="3">
      <pivotArea type="data" outline="0" fieldPosition="0">
        <references count="2">
          <reference field="4294967294" count="1" selected="0">
            <x v="0"/>
          </reference>
          <reference field="9" count="1" selected="0">
            <x v="2"/>
          </reference>
        </references>
      </pivotArea>
    </chartFormat>
    <chartFormat chart="5" format="4">
      <pivotArea type="data" outline="0" fieldPosition="0">
        <references count="2">
          <reference field="4294967294" count="1" selected="0">
            <x v="0"/>
          </reference>
          <reference field="9" count="1" selected="0">
            <x v="4"/>
          </reference>
        </references>
      </pivotArea>
    </chartFormat>
    <chartFormat chart="5" format="5">
      <pivotArea type="data" outline="0" fieldPosition="0">
        <references count="2">
          <reference field="4294967294" count="1" selected="0">
            <x v="0"/>
          </reference>
          <reference field="9" count="1" selected="0">
            <x v="5"/>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9" count="1" selected="0">
            <x v="0"/>
          </reference>
        </references>
      </pivotArea>
    </chartFormat>
    <chartFormat chart="10" format="8">
      <pivotArea type="data" outline="0" fieldPosition="0">
        <references count="2">
          <reference field="4294967294" count="1" selected="0">
            <x v="0"/>
          </reference>
          <reference field="9" count="1" selected="0">
            <x v="1"/>
          </reference>
        </references>
      </pivotArea>
    </chartFormat>
    <chartFormat chart="10" format="9">
      <pivotArea type="data" outline="0" fieldPosition="0">
        <references count="2">
          <reference field="4294967294" count="1" selected="0">
            <x v="0"/>
          </reference>
          <reference field="9" count="1" selected="0">
            <x v="2"/>
          </reference>
        </references>
      </pivotArea>
    </chartFormat>
    <chartFormat chart="10" format="10">
      <pivotArea type="data" outline="0" fieldPosition="0">
        <references count="2">
          <reference field="4294967294" count="1" selected="0">
            <x v="0"/>
          </reference>
          <reference field="9" count="1" selected="0">
            <x v="4"/>
          </reference>
        </references>
      </pivotArea>
    </chartFormat>
    <chartFormat chart="10" format="11">
      <pivotArea type="data" outline="0" fieldPosition="0">
        <references count="2">
          <reference field="4294967294" count="1" selected="0">
            <x v="0"/>
          </reference>
          <reference field="9" count="1" selected="0">
            <x v="5"/>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9" count="1" selected="0">
            <x v="0"/>
          </reference>
        </references>
      </pivotArea>
    </chartFormat>
    <chartFormat chart="11" format="14">
      <pivotArea type="data" outline="0" fieldPosition="0">
        <references count="2">
          <reference field="4294967294" count="1" selected="0">
            <x v="0"/>
          </reference>
          <reference field="9" count="1" selected="0">
            <x v="1"/>
          </reference>
        </references>
      </pivotArea>
    </chartFormat>
    <chartFormat chart="11" format="15">
      <pivotArea type="data" outline="0" fieldPosition="0">
        <references count="2">
          <reference field="4294967294" count="1" selected="0">
            <x v="0"/>
          </reference>
          <reference field="9" count="1" selected="0">
            <x v="2"/>
          </reference>
        </references>
      </pivotArea>
    </chartFormat>
    <chartFormat chart="11" format="16">
      <pivotArea type="data" outline="0" fieldPosition="0">
        <references count="2">
          <reference field="4294967294" count="1" selected="0">
            <x v="0"/>
          </reference>
          <reference field="9" count="1" selected="0">
            <x v="4"/>
          </reference>
        </references>
      </pivotArea>
    </chartFormat>
    <chartFormat chart="11" format="17">
      <pivotArea type="data" outline="0" fieldPosition="0">
        <references count="2">
          <reference field="4294967294" count="1" selected="0">
            <x v="0"/>
          </reference>
          <reference field="9" count="1" selected="0">
            <x v="5"/>
          </reference>
        </references>
      </pivotArea>
    </chartFormat>
    <chartFormat chart="5" format="6">
      <pivotArea type="data" outline="0" fieldPosition="0">
        <references count="2">
          <reference field="4294967294" count="1" selected="0">
            <x v="0"/>
          </reference>
          <reference field="9" count="1" selected="0">
            <x v="8"/>
          </reference>
        </references>
      </pivotArea>
    </chartFormat>
    <chartFormat chart="5" format="7">
      <pivotArea type="data" outline="0" fieldPosition="0">
        <references count="2">
          <reference field="4294967294" count="1" selected="0">
            <x v="0"/>
          </reference>
          <reference field="9" count="1" selected="0">
            <x v="9"/>
          </reference>
        </references>
      </pivotArea>
    </chartFormat>
    <chartFormat chart="5" format="8">
      <pivotArea type="data" outline="0" fieldPosition="0">
        <references count="2">
          <reference field="4294967294" count="1" selected="0">
            <x v="0"/>
          </reference>
          <reference field="9" count="1" selected="0">
            <x v="10"/>
          </reference>
        </references>
      </pivotArea>
    </chartFormat>
    <chartFormat chart="5" format="9">
      <pivotArea type="data" outline="0" fieldPosition="0">
        <references count="2">
          <reference field="4294967294" count="1" selected="0">
            <x v="0"/>
          </reference>
          <reference field="9" count="1" selected="0">
            <x v="12"/>
          </reference>
        </references>
      </pivotArea>
    </chartFormat>
    <chartFormat chart="5" format="10">
      <pivotArea type="data" outline="0" fieldPosition="0">
        <references count="2">
          <reference field="4294967294" count="1" selected="0">
            <x v="0"/>
          </reference>
          <reference field="9" count="1" selected="0">
            <x v="13"/>
          </reference>
        </references>
      </pivotArea>
    </chartFormat>
    <chartFormat chart="5" format="11">
      <pivotArea type="data" outline="0" fieldPosition="0">
        <references count="2">
          <reference field="4294967294" count="1" selected="0">
            <x v="0"/>
          </reference>
          <reference field="9" count="1" selected="0">
            <x v="14"/>
          </reference>
        </references>
      </pivotArea>
    </chartFormat>
    <chartFormat chart="25" format="12" series="1">
      <pivotArea type="data" outline="0" fieldPosition="0">
        <references count="1">
          <reference field="4294967294" count="1" selected="0">
            <x v="0"/>
          </reference>
        </references>
      </pivotArea>
    </chartFormat>
    <chartFormat chart="25" format="13">
      <pivotArea type="data" outline="0" fieldPosition="0">
        <references count="2">
          <reference field="4294967294" count="1" selected="0">
            <x v="0"/>
          </reference>
          <reference field="9" count="1" selected="0">
            <x v="10"/>
          </reference>
        </references>
      </pivotArea>
    </chartFormat>
    <chartFormat chart="25" format="14">
      <pivotArea type="data" outline="0" fieldPosition="0">
        <references count="2">
          <reference field="4294967294" count="1" selected="0">
            <x v="0"/>
          </reference>
          <reference field="9" count="1" selected="0">
            <x v="13"/>
          </reference>
        </references>
      </pivotArea>
    </chartFormat>
    <chartFormat chart="25" format="15">
      <pivotArea type="data" outline="0" fieldPosition="0">
        <references count="2">
          <reference field="4294967294" count="1" selected="0">
            <x v="0"/>
          </reference>
          <reference field="9" count="1" selected="0">
            <x v="14"/>
          </reference>
        </references>
      </pivotArea>
    </chartFormat>
    <chartFormat chart="26" format="16" series="1">
      <pivotArea type="data" outline="0" fieldPosition="0">
        <references count="1">
          <reference field="4294967294" count="1" selected="0">
            <x v="0"/>
          </reference>
        </references>
      </pivotArea>
    </chartFormat>
    <chartFormat chart="26" format="17">
      <pivotArea type="data" outline="0" fieldPosition="0">
        <references count="2">
          <reference field="4294967294" count="1" selected="0">
            <x v="0"/>
          </reference>
          <reference field="9" count="1" selected="0">
            <x v="10"/>
          </reference>
        </references>
      </pivotArea>
    </chartFormat>
    <chartFormat chart="26" format="18">
      <pivotArea type="data" outline="0" fieldPosition="0">
        <references count="2">
          <reference field="4294967294" count="1" selected="0">
            <x v="0"/>
          </reference>
          <reference field="9" count="1" selected="0">
            <x v="13"/>
          </reference>
        </references>
      </pivotArea>
    </chartFormat>
    <chartFormat chart="26" format="19">
      <pivotArea type="data" outline="0" fieldPosition="0">
        <references count="2">
          <reference field="4294967294" count="1" selected="0">
            <x v="0"/>
          </reference>
          <reference field="9" count="1" selected="0">
            <x v="14"/>
          </reference>
        </references>
      </pivotArea>
    </chartFormat>
    <chartFormat chart="27" format="20" series="1">
      <pivotArea type="data" outline="0" fieldPosition="0">
        <references count="1">
          <reference field="4294967294" count="1" selected="0">
            <x v="0"/>
          </reference>
        </references>
      </pivotArea>
    </chartFormat>
    <chartFormat chart="27" format="21">
      <pivotArea type="data" outline="0" fieldPosition="0">
        <references count="2">
          <reference field="4294967294" count="1" selected="0">
            <x v="0"/>
          </reference>
          <reference field="9" count="1" selected="0">
            <x v="10"/>
          </reference>
        </references>
      </pivotArea>
    </chartFormat>
    <chartFormat chart="27" format="22">
      <pivotArea type="data" outline="0" fieldPosition="0">
        <references count="2">
          <reference field="4294967294" count="1" selected="0">
            <x v="0"/>
          </reference>
          <reference field="9" count="1" selected="0">
            <x v="13"/>
          </reference>
        </references>
      </pivotArea>
    </chartFormat>
    <chartFormat chart="27" format="23">
      <pivotArea type="data" outline="0" fieldPosition="0">
        <references count="2">
          <reference field="4294967294" count="1" selected="0">
            <x v="0"/>
          </reference>
          <reference field="9" count="1" selected="0">
            <x v="14"/>
          </reference>
        </references>
      </pivotArea>
    </chartFormat>
    <chartFormat chart="28" format="24" series="1">
      <pivotArea type="data" outline="0" fieldPosition="0">
        <references count="1">
          <reference field="4294967294" count="1" selected="0">
            <x v="0"/>
          </reference>
        </references>
      </pivotArea>
    </chartFormat>
    <chartFormat chart="28" format="25">
      <pivotArea type="data" outline="0" fieldPosition="0">
        <references count="2">
          <reference field="4294967294" count="1" selected="0">
            <x v="0"/>
          </reference>
          <reference field="9" count="1" selected="0">
            <x v="10"/>
          </reference>
        </references>
      </pivotArea>
    </chartFormat>
    <chartFormat chart="28" format="26">
      <pivotArea type="data" outline="0" fieldPosition="0">
        <references count="2">
          <reference field="4294967294" count="1" selected="0">
            <x v="0"/>
          </reference>
          <reference field="9" count="1" selected="0">
            <x v="13"/>
          </reference>
        </references>
      </pivotArea>
    </chartFormat>
    <chartFormat chart="28" format="27">
      <pivotArea type="data" outline="0" fieldPosition="0">
        <references count="2">
          <reference field="4294967294" count="1" selected="0">
            <x v="0"/>
          </reference>
          <reference field="9" count="1" selected="0">
            <x v="14"/>
          </reference>
        </references>
      </pivotArea>
    </chartFormat>
    <chartFormat chart="29" format="28" series="1">
      <pivotArea type="data" outline="0" fieldPosition="0">
        <references count="1">
          <reference field="4294967294" count="1" selected="0">
            <x v="0"/>
          </reference>
        </references>
      </pivotArea>
    </chartFormat>
    <chartFormat chart="29" format="29">
      <pivotArea type="data" outline="0" fieldPosition="0">
        <references count="2">
          <reference field="4294967294" count="1" selected="0">
            <x v="0"/>
          </reference>
          <reference field="9" count="1" selected="0">
            <x v="10"/>
          </reference>
        </references>
      </pivotArea>
    </chartFormat>
    <chartFormat chart="29" format="30">
      <pivotArea type="data" outline="0" fieldPosition="0">
        <references count="2">
          <reference field="4294967294" count="1" selected="0">
            <x v="0"/>
          </reference>
          <reference field="9" count="1" selected="0">
            <x v="13"/>
          </reference>
        </references>
      </pivotArea>
    </chartFormat>
    <chartFormat chart="29" format="31">
      <pivotArea type="data" outline="0" fieldPosition="0">
        <references count="2">
          <reference field="4294967294" count="1" selected="0">
            <x v="0"/>
          </reference>
          <reference field="9" count="1" selected="0">
            <x v="14"/>
          </reference>
        </references>
      </pivotArea>
    </chartFormat>
    <chartFormat chart="30" format="32" series="1">
      <pivotArea type="data" outline="0" fieldPosition="0">
        <references count="1">
          <reference field="4294967294" count="1" selected="0">
            <x v="0"/>
          </reference>
        </references>
      </pivotArea>
    </chartFormat>
    <chartFormat chart="30" format="33">
      <pivotArea type="data" outline="0" fieldPosition="0">
        <references count="2">
          <reference field="4294967294" count="1" selected="0">
            <x v="0"/>
          </reference>
          <reference field="9" count="1" selected="0">
            <x v="10"/>
          </reference>
        </references>
      </pivotArea>
    </chartFormat>
    <chartFormat chart="30" format="34">
      <pivotArea type="data" outline="0" fieldPosition="0">
        <references count="2">
          <reference field="4294967294" count="1" selected="0">
            <x v="0"/>
          </reference>
          <reference field="9" count="1" selected="0">
            <x v="13"/>
          </reference>
        </references>
      </pivotArea>
    </chartFormat>
    <chartFormat chart="30" format="35">
      <pivotArea type="data" outline="0" fieldPosition="0">
        <references count="2">
          <reference field="4294967294" count="1" selected="0">
            <x v="0"/>
          </reference>
          <reference field="9" count="1" selected="0">
            <x v="14"/>
          </reference>
        </references>
      </pivotArea>
    </chartFormat>
    <chartFormat chart="31" format="36" series="1">
      <pivotArea type="data" outline="0" fieldPosition="0">
        <references count="1">
          <reference field="4294967294" count="1" selected="0">
            <x v="0"/>
          </reference>
        </references>
      </pivotArea>
    </chartFormat>
    <chartFormat chart="31" format="37">
      <pivotArea type="data" outline="0" fieldPosition="0">
        <references count="2">
          <reference field="4294967294" count="1" selected="0">
            <x v="0"/>
          </reference>
          <reference field="9" count="1" selected="0">
            <x v="10"/>
          </reference>
        </references>
      </pivotArea>
    </chartFormat>
    <chartFormat chart="31" format="38">
      <pivotArea type="data" outline="0" fieldPosition="0">
        <references count="2">
          <reference field="4294967294" count="1" selected="0">
            <x v="0"/>
          </reference>
          <reference field="9" count="1" selected="0">
            <x v="13"/>
          </reference>
        </references>
      </pivotArea>
    </chartFormat>
    <chartFormat chart="31" format="39">
      <pivotArea type="data" outline="0" fieldPosition="0">
        <references count="2">
          <reference field="4294967294" count="1" selected="0">
            <x v="0"/>
          </reference>
          <reference field="9" count="1" selected="0">
            <x v="14"/>
          </reference>
        </references>
      </pivotArea>
    </chartFormat>
    <chartFormat chart="32" format="40" series="1">
      <pivotArea type="data" outline="0" fieldPosition="0">
        <references count="1">
          <reference field="4294967294" count="1" selected="0">
            <x v="0"/>
          </reference>
        </references>
      </pivotArea>
    </chartFormat>
    <chartFormat chart="32" format="41">
      <pivotArea type="data" outline="0" fieldPosition="0">
        <references count="2">
          <reference field="4294967294" count="1" selected="0">
            <x v="0"/>
          </reference>
          <reference field="9" count="1" selected="0">
            <x v="10"/>
          </reference>
        </references>
      </pivotArea>
    </chartFormat>
    <chartFormat chart="32" format="42">
      <pivotArea type="data" outline="0" fieldPosition="0">
        <references count="2">
          <reference field="4294967294" count="1" selected="0">
            <x v="0"/>
          </reference>
          <reference field="9" count="1" selected="0">
            <x v="13"/>
          </reference>
        </references>
      </pivotArea>
    </chartFormat>
    <chartFormat chart="32" format="43">
      <pivotArea type="data" outline="0" fieldPosition="0">
        <references count="2">
          <reference field="4294967294" count="1" selected="0">
            <x v="0"/>
          </reference>
          <reference field="9" count="1" selected="0">
            <x v="14"/>
          </reference>
        </references>
      </pivotArea>
    </chartFormat>
    <chartFormat chart="33" format="44" series="1">
      <pivotArea type="data" outline="0" fieldPosition="0">
        <references count="1">
          <reference field="4294967294" count="1" selected="0">
            <x v="0"/>
          </reference>
        </references>
      </pivotArea>
    </chartFormat>
    <chartFormat chart="33" format="45">
      <pivotArea type="data" outline="0" fieldPosition="0">
        <references count="2">
          <reference field="4294967294" count="1" selected="0">
            <x v="0"/>
          </reference>
          <reference field="9" count="1" selected="0">
            <x v="10"/>
          </reference>
        </references>
      </pivotArea>
    </chartFormat>
    <chartFormat chart="33" format="46">
      <pivotArea type="data" outline="0" fieldPosition="0">
        <references count="2">
          <reference field="4294967294" count="1" selected="0">
            <x v="0"/>
          </reference>
          <reference field="9" count="1" selected="0">
            <x v="13"/>
          </reference>
        </references>
      </pivotArea>
    </chartFormat>
    <chartFormat chart="33" format="47">
      <pivotArea type="data" outline="0" fieldPosition="0">
        <references count="2">
          <reference field="4294967294" count="1" selected="0">
            <x v="0"/>
          </reference>
          <reference field="9"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2DB1B-2FE2-4B2E-ACF9-EE38A1246A59}" name="PivotTable3" cacheId="27" applyNumberFormats="0" applyBorderFormats="0" applyFontFormats="0" applyPatternFormats="0" applyAlignmentFormats="0" applyWidthHeightFormats="1" dataCaption="Values" grandTotalCaption="Grand Total" updatedVersion="7" minRefreshableVersion="3" useAutoFormatting="1" itemPrintTitles="1" createdVersion="6" indent="0" outline="1" outlineData="1" multipleFieldFilters="0" chartFormat="26" rowHeaderCaption="TIR Status">
  <location ref="A2:B5" firstHeaderRow="1" firstDataRow="1" firstDataCol="1"/>
  <pivotFields count="16">
    <pivotField showAll="0"/>
    <pivotField showAll="0"/>
    <pivotField showAll="0"/>
    <pivotField showAll="0"/>
    <pivotField showAll="0"/>
    <pivotField showAll="0"/>
    <pivotField showAll="0"/>
    <pivotField showAll="0"/>
    <pivotField showAll="0"/>
    <pivotField showAll="0"/>
    <pivotField axis="axisRow" dataField="1" showAll="0">
      <items count="5">
        <item x="0"/>
        <item x="1"/>
        <item h="1" x="2"/>
        <item h="1" m="1" x="3"/>
        <item t="default"/>
      </items>
    </pivotField>
    <pivotField showAll="0"/>
    <pivotField showAll="0"/>
    <pivotField showAll="0"/>
    <pivotField showAll="0"/>
    <pivotField showAll="0"/>
  </pivotFields>
  <rowFields count="1">
    <field x="10"/>
  </rowFields>
  <rowItems count="3">
    <i>
      <x/>
    </i>
    <i>
      <x v="1"/>
    </i>
    <i t="grand">
      <x/>
    </i>
  </rowItems>
  <colItems count="1">
    <i/>
  </colItems>
  <dataFields count="1">
    <dataField name="Count" fld="10" subtotal="count" baseField="0" baseItem="0"/>
  </dataFields>
  <formats count="8">
    <format dxfId="15">
      <pivotArea collapsedLevelsAreSubtotals="1" fieldPosition="0">
        <references count="1">
          <reference field="10" count="0"/>
        </references>
      </pivotArea>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10" type="button" dataOnly="0" labelOnly="1" outline="0" axis="axisRow" fieldPosition="0"/>
    </format>
    <format dxfId="10">
      <pivotArea dataOnly="0" labelOnly="1" fieldPosition="0">
        <references count="1">
          <reference field="10" count="0"/>
        </references>
      </pivotArea>
    </format>
    <format dxfId="9">
      <pivotArea dataOnly="0" labelOnly="1" grandRow="1" outline="0" fieldPosition="0"/>
    </format>
    <format dxfId="8">
      <pivotArea dataOnly="0" labelOnly="1" outline="0" axis="axisValues" fieldPosition="0"/>
    </format>
  </formats>
  <chartFormats count="3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1"/>
          </reference>
        </references>
      </pivotArea>
    </chartFormat>
    <chartFormat chart="0" format="2">
      <pivotArea type="data" outline="0" fieldPosition="0">
        <references count="2">
          <reference field="4294967294" count="1" selected="0">
            <x v="0"/>
          </reference>
          <reference field="10" count="1" selected="0">
            <x v="0"/>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17" format="4" series="1">
      <pivotArea type="data" outline="0" fieldPosition="0">
        <references count="1">
          <reference field="4294967294" count="1" selected="0">
            <x v="0"/>
          </reference>
        </references>
      </pivotArea>
    </chartFormat>
    <chartFormat chart="17" format="5">
      <pivotArea type="data" outline="0" fieldPosition="0">
        <references count="2">
          <reference field="4294967294" count="1" selected="0">
            <x v="0"/>
          </reference>
          <reference field="10" count="1" selected="0">
            <x v="0"/>
          </reference>
        </references>
      </pivotArea>
    </chartFormat>
    <chartFormat chart="17" format="6">
      <pivotArea type="data" outline="0" fieldPosition="0">
        <references count="2">
          <reference field="4294967294" count="1" selected="0">
            <x v="0"/>
          </reference>
          <reference field="10" count="1" selected="0">
            <x v="1"/>
          </reference>
        </references>
      </pivotArea>
    </chartFormat>
    <chartFormat chart="18" format="7" series="1">
      <pivotArea type="data" outline="0" fieldPosition="0">
        <references count="1">
          <reference field="4294967294" count="1" selected="0">
            <x v="0"/>
          </reference>
        </references>
      </pivotArea>
    </chartFormat>
    <chartFormat chart="18" format="8">
      <pivotArea type="data" outline="0" fieldPosition="0">
        <references count="2">
          <reference field="4294967294" count="1" selected="0">
            <x v="0"/>
          </reference>
          <reference field="10" count="1" selected="0">
            <x v="0"/>
          </reference>
        </references>
      </pivotArea>
    </chartFormat>
    <chartFormat chart="18" format="9">
      <pivotArea type="data" outline="0" fieldPosition="0">
        <references count="2">
          <reference field="4294967294" count="1" selected="0">
            <x v="0"/>
          </reference>
          <reference field="10" count="1" selected="0">
            <x v="1"/>
          </reference>
        </references>
      </pivotArea>
    </chartFormat>
    <chartFormat chart="19" format="10" series="1">
      <pivotArea type="data" outline="0" fieldPosition="0">
        <references count="1">
          <reference field="4294967294" count="1" selected="0">
            <x v="0"/>
          </reference>
        </references>
      </pivotArea>
    </chartFormat>
    <chartFormat chart="19" format="11">
      <pivotArea type="data" outline="0" fieldPosition="0">
        <references count="2">
          <reference field="4294967294" count="1" selected="0">
            <x v="0"/>
          </reference>
          <reference field="10" count="1" selected="0">
            <x v="0"/>
          </reference>
        </references>
      </pivotArea>
    </chartFormat>
    <chartFormat chart="19" format="12">
      <pivotArea type="data" outline="0" fieldPosition="0">
        <references count="2">
          <reference field="4294967294" count="1" selected="0">
            <x v="0"/>
          </reference>
          <reference field="10" count="1" selected="0">
            <x v="1"/>
          </reference>
        </references>
      </pivotArea>
    </chartFormat>
    <chartFormat chart="20" format="13" series="1">
      <pivotArea type="data" outline="0" fieldPosition="0">
        <references count="1">
          <reference field="4294967294" count="1" selected="0">
            <x v="0"/>
          </reference>
        </references>
      </pivotArea>
    </chartFormat>
    <chartFormat chart="20" format="14">
      <pivotArea type="data" outline="0" fieldPosition="0">
        <references count="2">
          <reference field="4294967294" count="1" selected="0">
            <x v="0"/>
          </reference>
          <reference field="10" count="1" selected="0">
            <x v="0"/>
          </reference>
        </references>
      </pivotArea>
    </chartFormat>
    <chartFormat chart="20" format="15">
      <pivotArea type="data" outline="0" fieldPosition="0">
        <references count="2">
          <reference field="4294967294" count="1" selected="0">
            <x v="0"/>
          </reference>
          <reference field="10" count="1" selected="0">
            <x v="1"/>
          </reference>
        </references>
      </pivotArea>
    </chartFormat>
    <chartFormat chart="21" format="16" series="1">
      <pivotArea type="data" outline="0" fieldPosition="0">
        <references count="1">
          <reference field="4294967294" count="1" selected="0">
            <x v="0"/>
          </reference>
        </references>
      </pivotArea>
    </chartFormat>
    <chartFormat chart="21" format="17">
      <pivotArea type="data" outline="0" fieldPosition="0">
        <references count="2">
          <reference field="4294967294" count="1" selected="0">
            <x v="0"/>
          </reference>
          <reference field="10" count="1" selected="0">
            <x v="0"/>
          </reference>
        </references>
      </pivotArea>
    </chartFormat>
    <chartFormat chart="21" format="18">
      <pivotArea type="data" outline="0" fieldPosition="0">
        <references count="2">
          <reference field="4294967294" count="1" selected="0">
            <x v="0"/>
          </reference>
          <reference field="10" count="1" selected="0">
            <x v="1"/>
          </reference>
        </references>
      </pivotArea>
    </chartFormat>
    <chartFormat chart="22" format="19" series="1">
      <pivotArea type="data" outline="0" fieldPosition="0">
        <references count="1">
          <reference field="4294967294" count="1" selected="0">
            <x v="0"/>
          </reference>
        </references>
      </pivotArea>
    </chartFormat>
    <chartFormat chart="22" format="20">
      <pivotArea type="data" outline="0" fieldPosition="0">
        <references count="2">
          <reference field="4294967294" count="1" selected="0">
            <x v="0"/>
          </reference>
          <reference field="10" count="1" selected="0">
            <x v="0"/>
          </reference>
        </references>
      </pivotArea>
    </chartFormat>
    <chartFormat chart="22" format="21">
      <pivotArea type="data" outline="0" fieldPosition="0">
        <references count="2">
          <reference field="4294967294" count="1" selected="0">
            <x v="0"/>
          </reference>
          <reference field="10" count="1" selected="0">
            <x v="1"/>
          </reference>
        </references>
      </pivotArea>
    </chartFormat>
    <chartFormat chart="23" format="22" series="1">
      <pivotArea type="data" outline="0" fieldPosition="0">
        <references count="1">
          <reference field="4294967294" count="1" selected="0">
            <x v="0"/>
          </reference>
        </references>
      </pivotArea>
    </chartFormat>
    <chartFormat chart="23" format="23">
      <pivotArea type="data" outline="0" fieldPosition="0">
        <references count="2">
          <reference field="4294967294" count="1" selected="0">
            <x v="0"/>
          </reference>
          <reference field="10" count="1" selected="0">
            <x v="0"/>
          </reference>
        </references>
      </pivotArea>
    </chartFormat>
    <chartFormat chart="23" format="24">
      <pivotArea type="data" outline="0" fieldPosition="0">
        <references count="2">
          <reference field="4294967294" count="1" selected="0">
            <x v="0"/>
          </reference>
          <reference field="10" count="1" selected="0">
            <x v="1"/>
          </reference>
        </references>
      </pivotArea>
    </chartFormat>
    <chartFormat chart="24" format="25" series="1">
      <pivotArea type="data" outline="0" fieldPosition="0">
        <references count="1">
          <reference field="4294967294" count="1" selected="0">
            <x v="0"/>
          </reference>
        </references>
      </pivotArea>
    </chartFormat>
    <chartFormat chart="24" format="26">
      <pivotArea type="data" outline="0" fieldPosition="0">
        <references count="2">
          <reference field="4294967294" count="1" selected="0">
            <x v="0"/>
          </reference>
          <reference field="10" count="1" selected="0">
            <x v="0"/>
          </reference>
        </references>
      </pivotArea>
    </chartFormat>
    <chartFormat chart="24" format="27">
      <pivotArea type="data" outline="0" fieldPosition="0">
        <references count="2">
          <reference field="4294967294" count="1" selected="0">
            <x v="0"/>
          </reference>
          <reference field="10" count="1" selected="0">
            <x v="1"/>
          </reference>
        </references>
      </pivotArea>
    </chartFormat>
    <chartFormat chart="25" format="28" series="1">
      <pivotArea type="data" outline="0" fieldPosition="0">
        <references count="1">
          <reference field="4294967294" count="1" selected="0">
            <x v="0"/>
          </reference>
        </references>
      </pivotArea>
    </chartFormat>
    <chartFormat chart="25" format="29">
      <pivotArea type="data" outline="0" fieldPosition="0">
        <references count="2">
          <reference field="4294967294" count="1" selected="0">
            <x v="0"/>
          </reference>
          <reference field="10" count="1" selected="0">
            <x v="0"/>
          </reference>
        </references>
      </pivotArea>
    </chartFormat>
    <chartFormat chart="25" format="30">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FCD4AB-CFCE-47D6-A9E7-401B572CCF41}" name="PivotTable2" cacheId="26" applyNumberFormats="0" applyBorderFormats="0" applyFontFormats="0" applyPatternFormats="0" applyAlignmentFormats="0" applyWidthHeightFormats="1" dataCaption="Values" grandTotalCaption="Grand Total" updatedVersion="7" minRefreshableVersion="3" useAutoFormatting="1" itemPrintTitles="1" createdVersion="6" indent="0" outline="1" outlineData="1" multipleFieldFilters="0" chartFormat="23" rowHeaderCaption="PIC">
  <location ref="A17:B24" firstHeaderRow="1" firstDataRow="1" firstDataCol="1" rowPageCount="1" colPageCount="1"/>
  <pivotFields count="16">
    <pivotField showAll="0"/>
    <pivotField dataField="1" showAll="0"/>
    <pivotField showAll="0"/>
    <pivotField showAll="0"/>
    <pivotField showAll="0"/>
    <pivotField showAll="0"/>
    <pivotField showAll="0"/>
    <pivotField axis="axisRow" showAll="0">
      <items count="8">
        <item x="2"/>
        <item x="4"/>
        <item x="5"/>
        <item x="0"/>
        <item x="1"/>
        <item x="3"/>
        <item m="1" x="6"/>
        <item t="default"/>
      </items>
    </pivotField>
    <pivotField showAll="0"/>
    <pivotField axis="axisPage" showAll="0">
      <items count="18">
        <item m="1" x="11"/>
        <item m="1" x="7"/>
        <item m="1" x="10"/>
        <item m="1" x="6"/>
        <item m="1" x="14"/>
        <item m="1" x="13"/>
        <item m="1" x="5"/>
        <item m="1" x="16"/>
        <item m="1" x="12"/>
        <item m="1" x="8"/>
        <item x="1"/>
        <item m="1" x="9"/>
        <item m="1" x="15"/>
        <item x="0"/>
        <item x="3"/>
        <item x="2"/>
        <item x="4"/>
        <item t="default"/>
      </items>
    </pivotField>
    <pivotField showAll="0"/>
    <pivotField showAll="0"/>
    <pivotField showAll="0"/>
    <pivotField showAll="0"/>
    <pivotField showAll="0"/>
    <pivotField showAll="0"/>
  </pivotFields>
  <rowFields count="1">
    <field x="7"/>
  </rowFields>
  <rowItems count="7">
    <i>
      <x/>
    </i>
    <i>
      <x v="1"/>
    </i>
    <i>
      <x v="2"/>
    </i>
    <i>
      <x v="3"/>
    </i>
    <i>
      <x v="4"/>
    </i>
    <i>
      <x v="5"/>
    </i>
    <i t="grand">
      <x/>
    </i>
  </rowItems>
  <colItems count="1">
    <i/>
  </colItems>
  <pageFields count="1">
    <pageField fld="9" item="13" hier="-1"/>
  </pageFields>
  <dataFields count="1">
    <dataField name="Count" fld="1" subtotal="count" baseField="0" baseItem="0"/>
  </dataFields>
  <formats count="8">
    <format dxfId="23">
      <pivotArea collapsedLevelsAreSubtotals="1" fieldPosition="0">
        <references count="1">
          <reference field="7" count="6">
            <x v="0"/>
            <x v="1"/>
            <x v="2"/>
            <x v="3"/>
            <x v="4"/>
            <x v="5"/>
          </reference>
        </references>
      </pivotArea>
    </format>
    <format dxfId="22">
      <pivotArea dataOnly="0" labelOnly="1" outline="0" axis="axisValues" fieldPosition="0"/>
    </format>
    <format dxfId="21">
      <pivotArea type="all" dataOnly="0" outline="0" fieldPosition="0"/>
    </format>
    <format dxfId="20">
      <pivotArea outline="0" collapsedLevelsAreSubtotals="1" fieldPosition="0"/>
    </format>
    <format dxfId="19">
      <pivotArea field="7" type="button" dataOnly="0" labelOnly="1" outline="0" axis="axisRow" fieldPosition="0"/>
    </format>
    <format dxfId="18">
      <pivotArea dataOnly="0" labelOnly="1" fieldPosition="0">
        <references count="1">
          <reference field="7" count="6">
            <x v="0"/>
            <x v="1"/>
            <x v="2"/>
            <x v="3"/>
            <x v="4"/>
            <x v="5"/>
          </reference>
        </references>
      </pivotArea>
    </format>
    <format dxfId="17">
      <pivotArea dataOnly="0" labelOnly="1" grandRow="1" outline="0" fieldPosition="0"/>
    </format>
    <format dxfId="16">
      <pivotArea dataOnly="0" labelOnly="1" outline="0" axis="axisValues" fieldPosition="0"/>
    </format>
  </formats>
  <chartFormats count="7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7" count="1" selected="0">
            <x v="0"/>
          </reference>
        </references>
      </pivotArea>
    </chartFormat>
    <chartFormat chart="1" format="2">
      <pivotArea type="data" outline="0" fieldPosition="0">
        <references count="2">
          <reference field="4294967294" count="1" selected="0">
            <x v="0"/>
          </reference>
          <reference field="7" count="1" selected="0">
            <x v="1"/>
          </reference>
        </references>
      </pivotArea>
    </chartFormat>
    <chartFormat chart="1" format="3">
      <pivotArea type="data" outline="0" fieldPosition="0">
        <references count="2">
          <reference field="4294967294" count="1" selected="0">
            <x v="0"/>
          </reference>
          <reference field="7" count="1" selected="0">
            <x v="2"/>
          </reference>
        </references>
      </pivotArea>
    </chartFormat>
    <chartFormat chart="1" format="4">
      <pivotArea type="data" outline="0" fieldPosition="0">
        <references count="2">
          <reference field="4294967294" count="1" selected="0">
            <x v="0"/>
          </reference>
          <reference field="7" count="1" selected="0">
            <x v="3"/>
          </reference>
        </references>
      </pivotArea>
    </chartFormat>
    <chartFormat chart="1" format="5">
      <pivotArea type="data" outline="0" fieldPosition="0">
        <references count="2">
          <reference field="4294967294" count="1" selected="0">
            <x v="0"/>
          </reference>
          <reference field="7" count="1" selected="0">
            <x v="4"/>
          </reference>
        </references>
      </pivotArea>
    </chartFormat>
    <chartFormat chart="1" format="6">
      <pivotArea type="data" outline="0" fieldPosition="0">
        <references count="2">
          <reference field="4294967294" count="1" selected="0">
            <x v="0"/>
          </reference>
          <reference field="7" count="1" selected="0">
            <x v="5"/>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7" count="1" selected="0">
            <x v="0"/>
          </reference>
        </references>
      </pivotArea>
    </chartFormat>
    <chartFormat chart="14" format="9">
      <pivotArea type="data" outline="0" fieldPosition="0">
        <references count="2">
          <reference field="4294967294" count="1" selected="0">
            <x v="0"/>
          </reference>
          <reference field="7" count="1" selected="0">
            <x v="1"/>
          </reference>
        </references>
      </pivotArea>
    </chartFormat>
    <chartFormat chart="14" format="10">
      <pivotArea type="data" outline="0" fieldPosition="0">
        <references count="2">
          <reference field="4294967294" count="1" selected="0">
            <x v="0"/>
          </reference>
          <reference field="7" count="1" selected="0">
            <x v="2"/>
          </reference>
        </references>
      </pivotArea>
    </chartFormat>
    <chartFormat chart="14" format="11">
      <pivotArea type="data" outline="0" fieldPosition="0">
        <references count="2">
          <reference field="4294967294" count="1" selected="0">
            <x v="0"/>
          </reference>
          <reference field="7" count="1" selected="0">
            <x v="3"/>
          </reference>
        </references>
      </pivotArea>
    </chartFormat>
    <chartFormat chart="14" format="12">
      <pivotArea type="data" outline="0" fieldPosition="0">
        <references count="2">
          <reference field="4294967294" count="1" selected="0">
            <x v="0"/>
          </reference>
          <reference field="7" count="1" selected="0">
            <x v="4"/>
          </reference>
        </references>
      </pivotArea>
    </chartFormat>
    <chartFormat chart="14" format="13">
      <pivotArea type="data" outline="0" fieldPosition="0">
        <references count="2">
          <reference field="4294967294" count="1" selected="0">
            <x v="0"/>
          </reference>
          <reference field="7" count="1" selected="0">
            <x v="5"/>
          </reference>
        </references>
      </pivotArea>
    </chartFormat>
    <chartFormat chart="15" format="14" series="1">
      <pivotArea type="data" outline="0" fieldPosition="0">
        <references count="1">
          <reference field="4294967294" count="1" selected="0">
            <x v="0"/>
          </reference>
        </references>
      </pivotArea>
    </chartFormat>
    <chartFormat chart="15" format="15">
      <pivotArea type="data" outline="0" fieldPosition="0">
        <references count="2">
          <reference field="4294967294" count="1" selected="0">
            <x v="0"/>
          </reference>
          <reference field="7" count="1" selected="0">
            <x v="0"/>
          </reference>
        </references>
      </pivotArea>
    </chartFormat>
    <chartFormat chart="15" format="16">
      <pivotArea type="data" outline="0" fieldPosition="0">
        <references count="2">
          <reference field="4294967294" count="1" selected="0">
            <x v="0"/>
          </reference>
          <reference field="7" count="1" selected="0">
            <x v="1"/>
          </reference>
        </references>
      </pivotArea>
    </chartFormat>
    <chartFormat chart="15" format="17">
      <pivotArea type="data" outline="0" fieldPosition="0">
        <references count="2">
          <reference field="4294967294" count="1" selected="0">
            <x v="0"/>
          </reference>
          <reference field="7" count="1" selected="0">
            <x v="2"/>
          </reference>
        </references>
      </pivotArea>
    </chartFormat>
    <chartFormat chart="15" format="18">
      <pivotArea type="data" outline="0" fieldPosition="0">
        <references count="2">
          <reference field="4294967294" count="1" selected="0">
            <x v="0"/>
          </reference>
          <reference field="7" count="1" selected="0">
            <x v="3"/>
          </reference>
        </references>
      </pivotArea>
    </chartFormat>
    <chartFormat chart="15" format="19">
      <pivotArea type="data" outline="0" fieldPosition="0">
        <references count="2">
          <reference field="4294967294" count="1" selected="0">
            <x v="0"/>
          </reference>
          <reference field="7" count="1" selected="0">
            <x v="4"/>
          </reference>
        </references>
      </pivotArea>
    </chartFormat>
    <chartFormat chart="15" format="20">
      <pivotArea type="data" outline="0" fieldPosition="0">
        <references count="2">
          <reference field="4294967294" count="1" selected="0">
            <x v="0"/>
          </reference>
          <reference field="7" count="1" selected="0">
            <x v="5"/>
          </reference>
        </references>
      </pivotArea>
    </chartFormat>
    <chartFormat chart="16" format="21" series="1">
      <pivotArea type="data" outline="0" fieldPosition="0">
        <references count="1">
          <reference field="4294967294" count="1" selected="0">
            <x v="0"/>
          </reference>
        </references>
      </pivotArea>
    </chartFormat>
    <chartFormat chart="16" format="22">
      <pivotArea type="data" outline="0" fieldPosition="0">
        <references count="2">
          <reference field="4294967294" count="1" selected="0">
            <x v="0"/>
          </reference>
          <reference field="7" count="1" selected="0">
            <x v="0"/>
          </reference>
        </references>
      </pivotArea>
    </chartFormat>
    <chartFormat chart="16" format="23">
      <pivotArea type="data" outline="0" fieldPosition="0">
        <references count="2">
          <reference field="4294967294" count="1" selected="0">
            <x v="0"/>
          </reference>
          <reference field="7" count="1" selected="0">
            <x v="1"/>
          </reference>
        </references>
      </pivotArea>
    </chartFormat>
    <chartFormat chart="16" format="24">
      <pivotArea type="data" outline="0" fieldPosition="0">
        <references count="2">
          <reference field="4294967294" count="1" selected="0">
            <x v="0"/>
          </reference>
          <reference field="7" count="1" selected="0">
            <x v="2"/>
          </reference>
        </references>
      </pivotArea>
    </chartFormat>
    <chartFormat chart="16" format="25">
      <pivotArea type="data" outline="0" fieldPosition="0">
        <references count="2">
          <reference field="4294967294" count="1" selected="0">
            <x v="0"/>
          </reference>
          <reference field="7" count="1" selected="0">
            <x v="3"/>
          </reference>
        </references>
      </pivotArea>
    </chartFormat>
    <chartFormat chart="16" format="26">
      <pivotArea type="data" outline="0" fieldPosition="0">
        <references count="2">
          <reference field="4294967294" count="1" selected="0">
            <x v="0"/>
          </reference>
          <reference field="7" count="1" selected="0">
            <x v="4"/>
          </reference>
        </references>
      </pivotArea>
    </chartFormat>
    <chartFormat chart="16" format="27">
      <pivotArea type="data" outline="0" fieldPosition="0">
        <references count="2">
          <reference field="4294967294" count="1" selected="0">
            <x v="0"/>
          </reference>
          <reference field="7" count="1" selected="0">
            <x v="5"/>
          </reference>
        </references>
      </pivotArea>
    </chartFormat>
    <chartFormat chart="17" format="28" series="1">
      <pivotArea type="data" outline="0" fieldPosition="0">
        <references count="1">
          <reference field="4294967294" count="1" selected="0">
            <x v="0"/>
          </reference>
        </references>
      </pivotArea>
    </chartFormat>
    <chartFormat chart="17" format="29">
      <pivotArea type="data" outline="0" fieldPosition="0">
        <references count="2">
          <reference field="4294967294" count="1" selected="0">
            <x v="0"/>
          </reference>
          <reference field="7" count="1" selected="0">
            <x v="0"/>
          </reference>
        </references>
      </pivotArea>
    </chartFormat>
    <chartFormat chart="17" format="30">
      <pivotArea type="data" outline="0" fieldPosition="0">
        <references count="2">
          <reference field="4294967294" count="1" selected="0">
            <x v="0"/>
          </reference>
          <reference field="7" count="1" selected="0">
            <x v="1"/>
          </reference>
        </references>
      </pivotArea>
    </chartFormat>
    <chartFormat chart="17" format="31">
      <pivotArea type="data" outline="0" fieldPosition="0">
        <references count="2">
          <reference field="4294967294" count="1" selected="0">
            <x v="0"/>
          </reference>
          <reference field="7" count="1" selected="0">
            <x v="2"/>
          </reference>
        </references>
      </pivotArea>
    </chartFormat>
    <chartFormat chart="17" format="32">
      <pivotArea type="data" outline="0" fieldPosition="0">
        <references count="2">
          <reference field="4294967294" count="1" selected="0">
            <x v="0"/>
          </reference>
          <reference field="7" count="1" selected="0">
            <x v="3"/>
          </reference>
        </references>
      </pivotArea>
    </chartFormat>
    <chartFormat chart="17" format="33">
      <pivotArea type="data" outline="0" fieldPosition="0">
        <references count="2">
          <reference field="4294967294" count="1" selected="0">
            <x v="0"/>
          </reference>
          <reference field="7" count="1" selected="0">
            <x v="4"/>
          </reference>
        </references>
      </pivotArea>
    </chartFormat>
    <chartFormat chart="17" format="34">
      <pivotArea type="data" outline="0" fieldPosition="0">
        <references count="2">
          <reference field="4294967294" count="1" selected="0">
            <x v="0"/>
          </reference>
          <reference field="7" count="1" selected="0">
            <x v="5"/>
          </reference>
        </references>
      </pivotArea>
    </chartFormat>
    <chartFormat chart="18" format="35" series="1">
      <pivotArea type="data" outline="0" fieldPosition="0">
        <references count="1">
          <reference field="4294967294" count="1" selected="0">
            <x v="0"/>
          </reference>
        </references>
      </pivotArea>
    </chartFormat>
    <chartFormat chart="18" format="36">
      <pivotArea type="data" outline="0" fieldPosition="0">
        <references count="2">
          <reference field="4294967294" count="1" selected="0">
            <x v="0"/>
          </reference>
          <reference field="7" count="1" selected="0">
            <x v="0"/>
          </reference>
        </references>
      </pivotArea>
    </chartFormat>
    <chartFormat chart="18" format="37">
      <pivotArea type="data" outline="0" fieldPosition="0">
        <references count="2">
          <reference field="4294967294" count="1" selected="0">
            <x v="0"/>
          </reference>
          <reference field="7" count="1" selected="0">
            <x v="1"/>
          </reference>
        </references>
      </pivotArea>
    </chartFormat>
    <chartFormat chart="18" format="38">
      <pivotArea type="data" outline="0" fieldPosition="0">
        <references count="2">
          <reference field="4294967294" count="1" selected="0">
            <x v="0"/>
          </reference>
          <reference field="7" count="1" selected="0">
            <x v="2"/>
          </reference>
        </references>
      </pivotArea>
    </chartFormat>
    <chartFormat chart="18" format="39">
      <pivotArea type="data" outline="0" fieldPosition="0">
        <references count="2">
          <reference field="4294967294" count="1" selected="0">
            <x v="0"/>
          </reference>
          <reference field="7" count="1" selected="0">
            <x v="3"/>
          </reference>
        </references>
      </pivotArea>
    </chartFormat>
    <chartFormat chart="18" format="40">
      <pivotArea type="data" outline="0" fieldPosition="0">
        <references count="2">
          <reference field="4294967294" count="1" selected="0">
            <x v="0"/>
          </reference>
          <reference field="7" count="1" selected="0">
            <x v="4"/>
          </reference>
        </references>
      </pivotArea>
    </chartFormat>
    <chartFormat chart="18" format="41">
      <pivotArea type="data" outline="0" fieldPosition="0">
        <references count="2">
          <reference field="4294967294" count="1" selected="0">
            <x v="0"/>
          </reference>
          <reference field="7" count="1" selected="0">
            <x v="5"/>
          </reference>
        </references>
      </pivotArea>
    </chartFormat>
    <chartFormat chart="19" format="42" series="1">
      <pivotArea type="data" outline="0" fieldPosition="0">
        <references count="1">
          <reference field="4294967294" count="1" selected="0">
            <x v="0"/>
          </reference>
        </references>
      </pivotArea>
    </chartFormat>
    <chartFormat chart="19" format="43">
      <pivotArea type="data" outline="0" fieldPosition="0">
        <references count="2">
          <reference field="4294967294" count="1" selected="0">
            <x v="0"/>
          </reference>
          <reference field="7" count="1" selected="0">
            <x v="0"/>
          </reference>
        </references>
      </pivotArea>
    </chartFormat>
    <chartFormat chart="19" format="44">
      <pivotArea type="data" outline="0" fieldPosition="0">
        <references count="2">
          <reference field="4294967294" count="1" selected="0">
            <x v="0"/>
          </reference>
          <reference field="7" count="1" selected="0">
            <x v="1"/>
          </reference>
        </references>
      </pivotArea>
    </chartFormat>
    <chartFormat chart="19" format="45">
      <pivotArea type="data" outline="0" fieldPosition="0">
        <references count="2">
          <reference field="4294967294" count="1" selected="0">
            <x v="0"/>
          </reference>
          <reference field="7" count="1" selected="0">
            <x v="2"/>
          </reference>
        </references>
      </pivotArea>
    </chartFormat>
    <chartFormat chart="19" format="46">
      <pivotArea type="data" outline="0" fieldPosition="0">
        <references count="2">
          <reference field="4294967294" count="1" selected="0">
            <x v="0"/>
          </reference>
          <reference field="7" count="1" selected="0">
            <x v="3"/>
          </reference>
        </references>
      </pivotArea>
    </chartFormat>
    <chartFormat chart="19" format="47">
      <pivotArea type="data" outline="0" fieldPosition="0">
        <references count="2">
          <reference field="4294967294" count="1" selected="0">
            <x v="0"/>
          </reference>
          <reference field="7" count="1" selected="0">
            <x v="4"/>
          </reference>
        </references>
      </pivotArea>
    </chartFormat>
    <chartFormat chart="19" format="48">
      <pivotArea type="data" outline="0" fieldPosition="0">
        <references count="2">
          <reference field="4294967294" count="1" selected="0">
            <x v="0"/>
          </reference>
          <reference field="7" count="1" selected="0">
            <x v="5"/>
          </reference>
        </references>
      </pivotArea>
    </chartFormat>
    <chartFormat chart="20" format="49" series="1">
      <pivotArea type="data" outline="0" fieldPosition="0">
        <references count="1">
          <reference field="4294967294" count="1" selected="0">
            <x v="0"/>
          </reference>
        </references>
      </pivotArea>
    </chartFormat>
    <chartFormat chart="20" format="50">
      <pivotArea type="data" outline="0" fieldPosition="0">
        <references count="2">
          <reference field="4294967294" count="1" selected="0">
            <x v="0"/>
          </reference>
          <reference field="7" count="1" selected="0">
            <x v="0"/>
          </reference>
        </references>
      </pivotArea>
    </chartFormat>
    <chartFormat chart="20" format="51">
      <pivotArea type="data" outline="0" fieldPosition="0">
        <references count="2">
          <reference field="4294967294" count="1" selected="0">
            <x v="0"/>
          </reference>
          <reference field="7" count="1" selected="0">
            <x v="1"/>
          </reference>
        </references>
      </pivotArea>
    </chartFormat>
    <chartFormat chart="20" format="52">
      <pivotArea type="data" outline="0" fieldPosition="0">
        <references count="2">
          <reference field="4294967294" count="1" selected="0">
            <x v="0"/>
          </reference>
          <reference field="7" count="1" selected="0">
            <x v="2"/>
          </reference>
        </references>
      </pivotArea>
    </chartFormat>
    <chartFormat chart="20" format="53">
      <pivotArea type="data" outline="0" fieldPosition="0">
        <references count="2">
          <reference field="4294967294" count="1" selected="0">
            <x v="0"/>
          </reference>
          <reference field="7" count="1" selected="0">
            <x v="3"/>
          </reference>
        </references>
      </pivotArea>
    </chartFormat>
    <chartFormat chart="20" format="54">
      <pivotArea type="data" outline="0" fieldPosition="0">
        <references count="2">
          <reference field="4294967294" count="1" selected="0">
            <x v="0"/>
          </reference>
          <reference field="7" count="1" selected="0">
            <x v="4"/>
          </reference>
        </references>
      </pivotArea>
    </chartFormat>
    <chartFormat chart="20" format="55">
      <pivotArea type="data" outline="0" fieldPosition="0">
        <references count="2">
          <reference field="4294967294" count="1" selected="0">
            <x v="0"/>
          </reference>
          <reference field="7" count="1" selected="0">
            <x v="5"/>
          </reference>
        </references>
      </pivotArea>
    </chartFormat>
    <chartFormat chart="21" format="56" series="1">
      <pivotArea type="data" outline="0" fieldPosition="0">
        <references count="1">
          <reference field="4294967294" count="1" selected="0">
            <x v="0"/>
          </reference>
        </references>
      </pivotArea>
    </chartFormat>
    <chartFormat chart="21" format="57">
      <pivotArea type="data" outline="0" fieldPosition="0">
        <references count="2">
          <reference field="4294967294" count="1" selected="0">
            <x v="0"/>
          </reference>
          <reference field="7" count="1" selected="0">
            <x v="0"/>
          </reference>
        </references>
      </pivotArea>
    </chartFormat>
    <chartFormat chart="21" format="58">
      <pivotArea type="data" outline="0" fieldPosition="0">
        <references count="2">
          <reference field="4294967294" count="1" selected="0">
            <x v="0"/>
          </reference>
          <reference field="7" count="1" selected="0">
            <x v="1"/>
          </reference>
        </references>
      </pivotArea>
    </chartFormat>
    <chartFormat chart="21" format="59">
      <pivotArea type="data" outline="0" fieldPosition="0">
        <references count="2">
          <reference field="4294967294" count="1" selected="0">
            <x v="0"/>
          </reference>
          <reference field="7" count="1" selected="0">
            <x v="2"/>
          </reference>
        </references>
      </pivotArea>
    </chartFormat>
    <chartFormat chart="21" format="60">
      <pivotArea type="data" outline="0" fieldPosition="0">
        <references count="2">
          <reference field="4294967294" count="1" selected="0">
            <x v="0"/>
          </reference>
          <reference field="7" count="1" selected="0">
            <x v="3"/>
          </reference>
        </references>
      </pivotArea>
    </chartFormat>
    <chartFormat chart="21" format="61">
      <pivotArea type="data" outline="0" fieldPosition="0">
        <references count="2">
          <reference field="4294967294" count="1" selected="0">
            <x v="0"/>
          </reference>
          <reference field="7" count="1" selected="0">
            <x v="4"/>
          </reference>
        </references>
      </pivotArea>
    </chartFormat>
    <chartFormat chart="21" format="62">
      <pivotArea type="data" outline="0" fieldPosition="0">
        <references count="2">
          <reference field="4294967294" count="1" selected="0">
            <x v="0"/>
          </reference>
          <reference field="7" count="1" selected="0">
            <x v="5"/>
          </reference>
        </references>
      </pivotArea>
    </chartFormat>
    <chartFormat chart="22" format="63" series="1">
      <pivotArea type="data" outline="0" fieldPosition="0">
        <references count="1">
          <reference field="4294967294" count="1" selected="0">
            <x v="0"/>
          </reference>
        </references>
      </pivotArea>
    </chartFormat>
    <chartFormat chart="22" format="64">
      <pivotArea type="data" outline="0" fieldPosition="0">
        <references count="2">
          <reference field="4294967294" count="1" selected="0">
            <x v="0"/>
          </reference>
          <reference field="7" count="1" selected="0">
            <x v="0"/>
          </reference>
        </references>
      </pivotArea>
    </chartFormat>
    <chartFormat chart="22" format="65">
      <pivotArea type="data" outline="0" fieldPosition="0">
        <references count="2">
          <reference field="4294967294" count="1" selected="0">
            <x v="0"/>
          </reference>
          <reference field="7" count="1" selected="0">
            <x v="1"/>
          </reference>
        </references>
      </pivotArea>
    </chartFormat>
    <chartFormat chart="22" format="66">
      <pivotArea type="data" outline="0" fieldPosition="0">
        <references count="2">
          <reference field="4294967294" count="1" selected="0">
            <x v="0"/>
          </reference>
          <reference field="7" count="1" selected="0">
            <x v="2"/>
          </reference>
        </references>
      </pivotArea>
    </chartFormat>
    <chartFormat chart="22" format="67">
      <pivotArea type="data" outline="0" fieldPosition="0">
        <references count="2">
          <reference field="4294967294" count="1" selected="0">
            <x v="0"/>
          </reference>
          <reference field="7" count="1" selected="0">
            <x v="3"/>
          </reference>
        </references>
      </pivotArea>
    </chartFormat>
    <chartFormat chart="22" format="68">
      <pivotArea type="data" outline="0" fieldPosition="0">
        <references count="2">
          <reference field="4294967294" count="1" selected="0">
            <x v="0"/>
          </reference>
          <reference field="7" count="1" selected="0">
            <x v="4"/>
          </reference>
        </references>
      </pivotArea>
    </chartFormat>
    <chartFormat chart="22" format="69">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F73307-493D-46B0-A58D-D6CD92377457}" name="Tableau croisé dynamique1" cacheId="25" applyNumberFormats="0" applyBorderFormats="0" applyFontFormats="0" applyPatternFormats="0" applyAlignmentFormats="0" applyWidthHeightFormats="1" dataCaption="Valeurs" grandTotalCaption="Grand Total" updatedVersion="7" minRefreshableVersion="3" useAutoFormatting="1" itemPrintTitles="1" createdVersion="6" indent="0" outline="1" outlineData="1" multipleFieldFilters="0" chartFormat="28" rowHeaderCaption="Origin Status">
  <location ref="A26:B35" firstHeaderRow="1" firstDataRow="1" firstDataCol="1"/>
  <pivotFields count="10">
    <pivotField showAll="0"/>
    <pivotField dataField="1" showAll="0"/>
    <pivotField axis="axisRow" showAll="0">
      <items count="10">
        <item x="1"/>
        <item x="4"/>
        <item x="3"/>
        <item x="0"/>
        <item x="5"/>
        <item x="6"/>
        <item x="2"/>
        <item h="1" x="8"/>
        <item x="7"/>
        <item t="default"/>
      </items>
    </pivotField>
    <pivotField showAll="0"/>
    <pivotField showAll="0"/>
    <pivotField showAll="0"/>
    <pivotField showAll="0"/>
    <pivotField showAll="0"/>
    <pivotField showAll="0"/>
    <pivotField showAll="0"/>
  </pivotFields>
  <rowFields count="1">
    <field x="2"/>
  </rowFields>
  <rowItems count="9">
    <i>
      <x/>
    </i>
    <i>
      <x v="1"/>
    </i>
    <i>
      <x v="2"/>
    </i>
    <i>
      <x v="3"/>
    </i>
    <i>
      <x v="4"/>
    </i>
    <i>
      <x v="5"/>
    </i>
    <i>
      <x v="6"/>
    </i>
    <i>
      <x v="8"/>
    </i>
    <i t="grand">
      <x/>
    </i>
  </rowItems>
  <colItems count="1">
    <i/>
  </colItems>
  <dataFields count="1">
    <dataField name="Count" fld="1" subtotal="count" baseField="0" baseItem="0"/>
  </dataFields>
  <formats count="7">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2" type="button" dataOnly="0" labelOnly="1" outline="0" axis="axisRow" fieldPosition="0"/>
    </format>
    <format dxfId="26">
      <pivotArea dataOnly="0" labelOnly="1" fieldPosition="0">
        <references count="1">
          <reference field="2" count="0"/>
        </references>
      </pivotArea>
    </format>
    <format dxfId="25">
      <pivotArea dataOnly="0" labelOnly="1" grandRow="1" outline="0" fieldPosition="0"/>
    </format>
    <format dxfId="24">
      <pivotArea dataOnly="0" labelOnly="1" outline="0" axis="axisValues" fieldPosition="0"/>
    </format>
  </formats>
  <chartFormats count="72">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2" count="1" selected="0">
            <x v="0"/>
          </reference>
        </references>
      </pivotArea>
    </chartFormat>
    <chartFormat chart="2" format="20">
      <pivotArea type="data" outline="0" fieldPosition="0">
        <references count="2">
          <reference field="4294967294" count="1" selected="0">
            <x v="0"/>
          </reference>
          <reference field="2" count="1" selected="0">
            <x v="1"/>
          </reference>
        </references>
      </pivotArea>
    </chartFormat>
    <chartFormat chart="2" format="21">
      <pivotArea type="data" outline="0" fieldPosition="0">
        <references count="2">
          <reference field="4294967294" count="1" selected="0">
            <x v="0"/>
          </reference>
          <reference field="2" count="1" selected="0">
            <x v="2"/>
          </reference>
        </references>
      </pivotArea>
    </chartFormat>
    <chartFormat chart="2" format="22">
      <pivotArea type="data" outline="0" fieldPosition="0">
        <references count="2">
          <reference field="4294967294" count="1" selected="0">
            <x v="0"/>
          </reference>
          <reference field="2" count="1" selected="0">
            <x v="3"/>
          </reference>
        </references>
      </pivotArea>
    </chartFormat>
    <chartFormat chart="2" format="23">
      <pivotArea type="data" outline="0" fieldPosition="0">
        <references count="2">
          <reference field="4294967294" count="1" selected="0">
            <x v="0"/>
          </reference>
          <reference field="2" count="1" selected="0">
            <x v="4"/>
          </reference>
        </references>
      </pivotArea>
    </chartFormat>
    <chartFormat chart="11" format="24" series="1">
      <pivotArea type="data" outline="0" fieldPosition="0">
        <references count="1">
          <reference field="4294967294" count="1" selected="0">
            <x v="0"/>
          </reference>
        </references>
      </pivotArea>
    </chartFormat>
    <chartFormat chart="11" format="25">
      <pivotArea type="data" outline="0" fieldPosition="0">
        <references count="2">
          <reference field="4294967294" count="1" selected="0">
            <x v="0"/>
          </reference>
          <reference field="2" count="1" selected="0">
            <x v="0"/>
          </reference>
        </references>
      </pivotArea>
    </chartFormat>
    <chartFormat chart="11" format="26">
      <pivotArea type="data" outline="0" fieldPosition="0">
        <references count="2">
          <reference field="4294967294" count="1" selected="0">
            <x v="0"/>
          </reference>
          <reference field="2" count="1" selected="0">
            <x v="1"/>
          </reference>
        </references>
      </pivotArea>
    </chartFormat>
    <chartFormat chart="11" format="27">
      <pivotArea type="data" outline="0" fieldPosition="0">
        <references count="2">
          <reference field="4294967294" count="1" selected="0">
            <x v="0"/>
          </reference>
          <reference field="2" count="1" selected="0">
            <x v="2"/>
          </reference>
        </references>
      </pivotArea>
    </chartFormat>
    <chartFormat chart="11" format="28">
      <pivotArea type="data" outline="0" fieldPosition="0">
        <references count="2">
          <reference field="4294967294" count="1" selected="0">
            <x v="0"/>
          </reference>
          <reference field="2" count="1" selected="0">
            <x v="3"/>
          </reference>
        </references>
      </pivotArea>
    </chartFormat>
    <chartFormat chart="11" format="29">
      <pivotArea type="data" outline="0" fieldPosition="0">
        <references count="2">
          <reference field="4294967294" count="1" selected="0">
            <x v="0"/>
          </reference>
          <reference field="2" count="1" selected="0">
            <x v="4"/>
          </reference>
        </references>
      </pivotArea>
    </chartFormat>
    <chartFormat chart="12" format="30" series="1">
      <pivotArea type="data" outline="0" fieldPosition="0">
        <references count="1">
          <reference field="4294967294" count="1" selected="0">
            <x v="0"/>
          </reference>
        </references>
      </pivotArea>
    </chartFormat>
    <chartFormat chart="12" format="31">
      <pivotArea type="data" outline="0" fieldPosition="0">
        <references count="2">
          <reference field="4294967294" count="1" selected="0">
            <x v="0"/>
          </reference>
          <reference field="2" count="1" selected="0">
            <x v="0"/>
          </reference>
        </references>
      </pivotArea>
    </chartFormat>
    <chartFormat chart="12" format="32">
      <pivotArea type="data" outline="0" fieldPosition="0">
        <references count="2">
          <reference field="4294967294" count="1" selected="0">
            <x v="0"/>
          </reference>
          <reference field="2" count="1" selected="0">
            <x v="1"/>
          </reference>
        </references>
      </pivotArea>
    </chartFormat>
    <chartFormat chart="12" format="33">
      <pivotArea type="data" outline="0" fieldPosition="0">
        <references count="2">
          <reference field="4294967294" count="1" selected="0">
            <x v="0"/>
          </reference>
          <reference field="2" count="1" selected="0">
            <x v="2"/>
          </reference>
        </references>
      </pivotArea>
    </chartFormat>
    <chartFormat chart="12" format="34">
      <pivotArea type="data" outline="0" fieldPosition="0">
        <references count="2">
          <reference field="4294967294" count="1" selected="0">
            <x v="0"/>
          </reference>
          <reference field="2" count="1" selected="0">
            <x v="3"/>
          </reference>
        </references>
      </pivotArea>
    </chartFormat>
    <chartFormat chart="12" format="35">
      <pivotArea type="data" outline="0" fieldPosition="0">
        <references count="2">
          <reference field="4294967294" count="1" selected="0">
            <x v="0"/>
          </reference>
          <reference field="2" count="1" selected="0">
            <x v="4"/>
          </reference>
        </references>
      </pivotArea>
    </chartFormat>
    <chartFormat chart="19" format="24" series="1">
      <pivotArea type="data" outline="0" fieldPosition="0">
        <references count="1">
          <reference field="4294967294" count="1" selected="0">
            <x v="0"/>
          </reference>
        </references>
      </pivotArea>
    </chartFormat>
    <chartFormat chart="19" format="25">
      <pivotArea type="data" outline="0" fieldPosition="0">
        <references count="2">
          <reference field="4294967294" count="1" selected="0">
            <x v="0"/>
          </reference>
          <reference field="2" count="1" selected="0">
            <x v="0"/>
          </reference>
        </references>
      </pivotArea>
    </chartFormat>
    <chartFormat chart="19" format="26">
      <pivotArea type="data" outline="0" fieldPosition="0">
        <references count="2">
          <reference field="4294967294" count="1" selected="0">
            <x v="0"/>
          </reference>
          <reference field="2" count="1" selected="0">
            <x v="1"/>
          </reference>
        </references>
      </pivotArea>
    </chartFormat>
    <chartFormat chart="19" format="27">
      <pivotArea type="data" outline="0" fieldPosition="0">
        <references count="2">
          <reference field="4294967294" count="1" selected="0">
            <x v="0"/>
          </reference>
          <reference field="2" count="1" selected="0">
            <x v="2"/>
          </reference>
        </references>
      </pivotArea>
    </chartFormat>
    <chartFormat chart="19" format="28">
      <pivotArea type="data" outline="0" fieldPosition="0">
        <references count="2">
          <reference field="4294967294" count="1" selected="0">
            <x v="0"/>
          </reference>
          <reference field="2" count="1" selected="0">
            <x v="3"/>
          </reference>
        </references>
      </pivotArea>
    </chartFormat>
    <chartFormat chart="19" format="29">
      <pivotArea type="data" outline="0" fieldPosition="0">
        <references count="2">
          <reference field="4294967294" count="1" selected="0">
            <x v="0"/>
          </reference>
          <reference field="2" count="1" selected="0">
            <x v="4"/>
          </reference>
        </references>
      </pivotArea>
    </chartFormat>
    <chartFormat chart="20" format="30" series="1">
      <pivotArea type="data" outline="0" fieldPosition="0">
        <references count="1">
          <reference field="4294967294" count="1" selected="0">
            <x v="0"/>
          </reference>
        </references>
      </pivotArea>
    </chartFormat>
    <chartFormat chart="20" format="31">
      <pivotArea type="data" outline="0" fieldPosition="0">
        <references count="2">
          <reference field="4294967294" count="1" selected="0">
            <x v="0"/>
          </reference>
          <reference field="2" count="1" selected="0">
            <x v="0"/>
          </reference>
        </references>
      </pivotArea>
    </chartFormat>
    <chartFormat chart="20" format="32">
      <pivotArea type="data" outline="0" fieldPosition="0">
        <references count="2">
          <reference field="4294967294" count="1" selected="0">
            <x v="0"/>
          </reference>
          <reference field="2" count="1" selected="0">
            <x v="1"/>
          </reference>
        </references>
      </pivotArea>
    </chartFormat>
    <chartFormat chart="20" format="33">
      <pivotArea type="data" outline="0" fieldPosition="0">
        <references count="2">
          <reference field="4294967294" count="1" selected="0">
            <x v="0"/>
          </reference>
          <reference field="2" count="1" selected="0">
            <x v="2"/>
          </reference>
        </references>
      </pivotArea>
    </chartFormat>
    <chartFormat chart="20" format="34">
      <pivotArea type="data" outline="0" fieldPosition="0">
        <references count="2">
          <reference field="4294967294" count="1" selected="0">
            <x v="0"/>
          </reference>
          <reference field="2" count="1" selected="0">
            <x v="3"/>
          </reference>
        </references>
      </pivotArea>
    </chartFormat>
    <chartFormat chart="20" format="35">
      <pivotArea type="data" outline="0" fieldPosition="0">
        <references count="2">
          <reference field="4294967294" count="1" selected="0">
            <x v="0"/>
          </reference>
          <reference field="2" count="1" selected="0">
            <x v="4"/>
          </reference>
        </references>
      </pivotArea>
    </chartFormat>
    <chartFormat chart="21" format="36" series="1">
      <pivotArea type="data" outline="0" fieldPosition="0">
        <references count="1">
          <reference field="4294967294" count="1" selected="0">
            <x v="0"/>
          </reference>
        </references>
      </pivotArea>
    </chartFormat>
    <chartFormat chart="21" format="37">
      <pivotArea type="data" outline="0" fieldPosition="0">
        <references count="2">
          <reference field="4294967294" count="1" selected="0">
            <x v="0"/>
          </reference>
          <reference field="2" count="1" selected="0">
            <x v="0"/>
          </reference>
        </references>
      </pivotArea>
    </chartFormat>
    <chartFormat chart="21" format="38">
      <pivotArea type="data" outline="0" fieldPosition="0">
        <references count="2">
          <reference field="4294967294" count="1" selected="0">
            <x v="0"/>
          </reference>
          <reference field="2" count="1" selected="0">
            <x v="1"/>
          </reference>
        </references>
      </pivotArea>
    </chartFormat>
    <chartFormat chart="21" format="39">
      <pivotArea type="data" outline="0" fieldPosition="0">
        <references count="2">
          <reference field="4294967294" count="1" selected="0">
            <x v="0"/>
          </reference>
          <reference field="2" count="1" selected="0">
            <x v="2"/>
          </reference>
        </references>
      </pivotArea>
    </chartFormat>
    <chartFormat chart="21" format="40">
      <pivotArea type="data" outline="0" fieldPosition="0">
        <references count="2">
          <reference field="4294967294" count="1" selected="0">
            <x v="0"/>
          </reference>
          <reference field="2" count="1" selected="0">
            <x v="3"/>
          </reference>
        </references>
      </pivotArea>
    </chartFormat>
    <chartFormat chart="21" format="41">
      <pivotArea type="data" outline="0" fieldPosition="0">
        <references count="2">
          <reference field="4294967294" count="1" selected="0">
            <x v="0"/>
          </reference>
          <reference field="2" count="1" selected="0">
            <x v="4"/>
          </reference>
        </references>
      </pivotArea>
    </chartFormat>
    <chartFormat chart="22" format="42" series="1">
      <pivotArea type="data" outline="0" fieldPosition="0">
        <references count="1">
          <reference field="4294967294" count="1" selected="0">
            <x v="0"/>
          </reference>
        </references>
      </pivotArea>
    </chartFormat>
    <chartFormat chart="22" format="43">
      <pivotArea type="data" outline="0" fieldPosition="0">
        <references count="2">
          <reference field="4294967294" count="1" selected="0">
            <x v="0"/>
          </reference>
          <reference field="2" count="1" selected="0">
            <x v="0"/>
          </reference>
        </references>
      </pivotArea>
    </chartFormat>
    <chartFormat chart="22" format="44">
      <pivotArea type="data" outline="0" fieldPosition="0">
        <references count="2">
          <reference field="4294967294" count="1" selected="0">
            <x v="0"/>
          </reference>
          <reference field="2" count="1" selected="0">
            <x v="1"/>
          </reference>
        </references>
      </pivotArea>
    </chartFormat>
    <chartFormat chart="22" format="45">
      <pivotArea type="data" outline="0" fieldPosition="0">
        <references count="2">
          <reference field="4294967294" count="1" selected="0">
            <x v="0"/>
          </reference>
          <reference field="2" count="1" selected="0">
            <x v="2"/>
          </reference>
        </references>
      </pivotArea>
    </chartFormat>
    <chartFormat chart="22" format="46">
      <pivotArea type="data" outline="0" fieldPosition="0">
        <references count="2">
          <reference field="4294967294" count="1" selected="0">
            <x v="0"/>
          </reference>
          <reference field="2" count="1" selected="0">
            <x v="3"/>
          </reference>
        </references>
      </pivotArea>
    </chartFormat>
    <chartFormat chart="22" format="47">
      <pivotArea type="data" outline="0" fieldPosition="0">
        <references count="2">
          <reference field="4294967294" count="1" selected="0">
            <x v="0"/>
          </reference>
          <reference field="2" count="1" selected="0">
            <x v="4"/>
          </reference>
        </references>
      </pivotArea>
    </chartFormat>
    <chartFormat chart="23" format="48" series="1">
      <pivotArea type="data" outline="0" fieldPosition="0">
        <references count="1">
          <reference field="4294967294" count="1" selected="0">
            <x v="0"/>
          </reference>
        </references>
      </pivotArea>
    </chartFormat>
    <chartFormat chart="23" format="49">
      <pivotArea type="data" outline="0" fieldPosition="0">
        <references count="2">
          <reference field="4294967294" count="1" selected="0">
            <x v="0"/>
          </reference>
          <reference field="2" count="1" selected="0">
            <x v="0"/>
          </reference>
        </references>
      </pivotArea>
    </chartFormat>
    <chartFormat chart="23" format="50">
      <pivotArea type="data" outline="0" fieldPosition="0">
        <references count="2">
          <reference field="4294967294" count="1" selected="0">
            <x v="0"/>
          </reference>
          <reference field="2" count="1" selected="0">
            <x v="1"/>
          </reference>
        </references>
      </pivotArea>
    </chartFormat>
    <chartFormat chart="23" format="51">
      <pivotArea type="data" outline="0" fieldPosition="0">
        <references count="2">
          <reference field="4294967294" count="1" selected="0">
            <x v="0"/>
          </reference>
          <reference field="2" count="1" selected="0">
            <x v="2"/>
          </reference>
        </references>
      </pivotArea>
    </chartFormat>
    <chartFormat chart="23" format="52">
      <pivotArea type="data" outline="0" fieldPosition="0">
        <references count="2">
          <reference field="4294967294" count="1" selected="0">
            <x v="0"/>
          </reference>
          <reference field="2" count="1" selected="0">
            <x v="3"/>
          </reference>
        </references>
      </pivotArea>
    </chartFormat>
    <chartFormat chart="23" format="53">
      <pivotArea type="data" outline="0" fieldPosition="0">
        <references count="2">
          <reference field="4294967294" count="1" selected="0">
            <x v="0"/>
          </reference>
          <reference field="2" count="1" selected="0">
            <x v="4"/>
          </reference>
        </references>
      </pivotArea>
    </chartFormat>
    <chartFormat chart="24" format="54" series="1">
      <pivotArea type="data" outline="0" fieldPosition="0">
        <references count="1">
          <reference field="4294967294" count="1" selected="0">
            <x v="0"/>
          </reference>
        </references>
      </pivotArea>
    </chartFormat>
    <chartFormat chart="24" format="55">
      <pivotArea type="data" outline="0" fieldPosition="0">
        <references count="2">
          <reference field="4294967294" count="1" selected="0">
            <x v="0"/>
          </reference>
          <reference field="2" count="1" selected="0">
            <x v="0"/>
          </reference>
        </references>
      </pivotArea>
    </chartFormat>
    <chartFormat chart="24" format="56">
      <pivotArea type="data" outline="0" fieldPosition="0">
        <references count="2">
          <reference field="4294967294" count="1" selected="0">
            <x v="0"/>
          </reference>
          <reference field="2" count="1" selected="0">
            <x v="1"/>
          </reference>
        </references>
      </pivotArea>
    </chartFormat>
    <chartFormat chart="24" format="57">
      <pivotArea type="data" outline="0" fieldPosition="0">
        <references count="2">
          <reference field="4294967294" count="1" selected="0">
            <x v="0"/>
          </reference>
          <reference field="2" count="1" selected="0">
            <x v="2"/>
          </reference>
        </references>
      </pivotArea>
    </chartFormat>
    <chartFormat chart="24" format="58">
      <pivotArea type="data" outline="0" fieldPosition="0">
        <references count="2">
          <reference field="4294967294" count="1" selected="0">
            <x v="0"/>
          </reference>
          <reference field="2" count="1" selected="0">
            <x v="3"/>
          </reference>
        </references>
      </pivotArea>
    </chartFormat>
    <chartFormat chart="24" format="59">
      <pivotArea type="data" outline="0" fieldPosition="0">
        <references count="2">
          <reference field="4294967294" count="1" selected="0">
            <x v="0"/>
          </reference>
          <reference field="2" count="1" selected="0">
            <x v="4"/>
          </reference>
        </references>
      </pivotArea>
    </chartFormat>
    <chartFormat chart="25" format="60" series="1">
      <pivotArea type="data" outline="0" fieldPosition="0">
        <references count="1">
          <reference field="4294967294" count="1" selected="0">
            <x v="0"/>
          </reference>
        </references>
      </pivotArea>
    </chartFormat>
    <chartFormat chart="25" format="61">
      <pivotArea type="data" outline="0" fieldPosition="0">
        <references count="2">
          <reference field="4294967294" count="1" selected="0">
            <x v="0"/>
          </reference>
          <reference field="2" count="1" selected="0">
            <x v="0"/>
          </reference>
        </references>
      </pivotArea>
    </chartFormat>
    <chartFormat chart="25" format="62">
      <pivotArea type="data" outline="0" fieldPosition="0">
        <references count="2">
          <reference field="4294967294" count="1" selected="0">
            <x v="0"/>
          </reference>
          <reference field="2" count="1" selected="0">
            <x v="1"/>
          </reference>
        </references>
      </pivotArea>
    </chartFormat>
    <chartFormat chart="25" format="63">
      <pivotArea type="data" outline="0" fieldPosition="0">
        <references count="2">
          <reference field="4294967294" count="1" selected="0">
            <x v="0"/>
          </reference>
          <reference field="2" count="1" selected="0">
            <x v="2"/>
          </reference>
        </references>
      </pivotArea>
    </chartFormat>
    <chartFormat chart="25" format="64">
      <pivotArea type="data" outline="0" fieldPosition="0">
        <references count="2">
          <reference field="4294967294" count="1" selected="0">
            <x v="0"/>
          </reference>
          <reference field="2" count="1" selected="0">
            <x v="3"/>
          </reference>
        </references>
      </pivotArea>
    </chartFormat>
    <chartFormat chart="25" format="65">
      <pivotArea type="data" outline="0" fieldPosition="0">
        <references count="2">
          <reference field="4294967294" count="1" selected="0">
            <x v="0"/>
          </reference>
          <reference field="2" count="1" selected="0">
            <x v="4"/>
          </reference>
        </references>
      </pivotArea>
    </chartFormat>
    <chartFormat chart="26" format="66" series="1">
      <pivotArea type="data" outline="0" fieldPosition="0">
        <references count="1">
          <reference field="4294967294" count="1" selected="0">
            <x v="0"/>
          </reference>
        </references>
      </pivotArea>
    </chartFormat>
    <chartFormat chart="26" format="67">
      <pivotArea type="data" outline="0" fieldPosition="0">
        <references count="2">
          <reference field="4294967294" count="1" selected="0">
            <x v="0"/>
          </reference>
          <reference field="2" count="1" selected="0">
            <x v="0"/>
          </reference>
        </references>
      </pivotArea>
    </chartFormat>
    <chartFormat chart="26" format="68">
      <pivotArea type="data" outline="0" fieldPosition="0">
        <references count="2">
          <reference field="4294967294" count="1" selected="0">
            <x v="0"/>
          </reference>
          <reference field="2" count="1" selected="0">
            <x v="1"/>
          </reference>
        </references>
      </pivotArea>
    </chartFormat>
    <chartFormat chart="26" format="69">
      <pivotArea type="data" outline="0" fieldPosition="0">
        <references count="2">
          <reference field="4294967294" count="1" selected="0">
            <x v="0"/>
          </reference>
          <reference field="2" count="1" selected="0">
            <x v="2"/>
          </reference>
        </references>
      </pivotArea>
    </chartFormat>
    <chartFormat chart="26" format="70">
      <pivotArea type="data" outline="0" fieldPosition="0">
        <references count="2">
          <reference field="4294967294" count="1" selected="0">
            <x v="0"/>
          </reference>
          <reference field="2" count="1" selected="0">
            <x v="3"/>
          </reference>
        </references>
      </pivotArea>
    </chartFormat>
    <chartFormat chart="26" format="71">
      <pivotArea type="data" outline="0" fieldPosition="0">
        <references count="2">
          <reference field="4294967294" count="1" selected="0">
            <x v="0"/>
          </reference>
          <reference field="2" count="1" selected="0">
            <x v="4"/>
          </reference>
        </references>
      </pivotArea>
    </chartFormat>
    <chartFormat chart="27" format="72" series="1">
      <pivotArea type="data" outline="0" fieldPosition="0">
        <references count="1">
          <reference field="4294967294" count="1" selected="0">
            <x v="0"/>
          </reference>
        </references>
      </pivotArea>
    </chartFormat>
    <chartFormat chart="27" format="73">
      <pivotArea type="data" outline="0" fieldPosition="0">
        <references count="2">
          <reference field="4294967294" count="1" selected="0">
            <x v="0"/>
          </reference>
          <reference field="2" count="1" selected="0">
            <x v="0"/>
          </reference>
        </references>
      </pivotArea>
    </chartFormat>
    <chartFormat chart="27" format="74">
      <pivotArea type="data" outline="0" fieldPosition="0">
        <references count="2">
          <reference field="4294967294" count="1" selected="0">
            <x v="0"/>
          </reference>
          <reference field="2" count="1" selected="0">
            <x v="1"/>
          </reference>
        </references>
      </pivotArea>
    </chartFormat>
    <chartFormat chart="27" format="75">
      <pivotArea type="data" outline="0" fieldPosition="0">
        <references count="2">
          <reference field="4294967294" count="1" selected="0">
            <x v="0"/>
          </reference>
          <reference field="2" count="1" selected="0">
            <x v="2"/>
          </reference>
        </references>
      </pivotArea>
    </chartFormat>
    <chartFormat chart="27" format="76">
      <pivotArea type="data" outline="0" fieldPosition="0">
        <references count="2">
          <reference field="4294967294" count="1" selected="0">
            <x v="0"/>
          </reference>
          <reference field="2" count="1" selected="0">
            <x v="3"/>
          </reference>
        </references>
      </pivotArea>
    </chartFormat>
    <chartFormat chart="27" format="77">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D69"/>
  <sheetViews>
    <sheetView workbookViewId="0"/>
  </sheetViews>
  <sheetFormatPr defaultRowHeight="14.4" x14ac:dyDescent="0.3"/>
  <cols>
    <col min="4" max="4" width="11.44140625" bestFit="1" customWidth="1"/>
  </cols>
  <sheetData>
    <row r="1" spans="1:4" x14ac:dyDescent="0.3">
      <c r="A1" s="1">
        <v>401</v>
      </c>
      <c r="B1" s="4" t="s">
        <v>0</v>
      </c>
      <c r="C1" t="s">
        <v>1</v>
      </c>
      <c r="D1" t="s">
        <v>3566</v>
      </c>
    </row>
    <row r="2" spans="1:4" x14ac:dyDescent="0.3">
      <c r="A2" s="1">
        <v>402</v>
      </c>
      <c r="B2" s="4" t="s">
        <v>3</v>
      </c>
      <c r="C2" t="s">
        <v>4</v>
      </c>
      <c r="D2" t="s">
        <v>5</v>
      </c>
    </row>
    <row r="3" spans="1:4" x14ac:dyDescent="0.3">
      <c r="A3" s="1">
        <v>403</v>
      </c>
      <c r="B3" s="4" t="s">
        <v>6</v>
      </c>
      <c r="C3" t="s">
        <v>7</v>
      </c>
      <c r="D3" t="s">
        <v>1545</v>
      </c>
    </row>
    <row r="4" spans="1:4" x14ac:dyDescent="0.3">
      <c r="A4" s="1">
        <v>404</v>
      </c>
      <c r="B4" s="4" t="s">
        <v>9</v>
      </c>
    </row>
    <row r="5" spans="1:4" x14ac:dyDescent="0.3">
      <c r="A5" s="1">
        <v>405</v>
      </c>
      <c r="B5" s="4" t="s">
        <v>11</v>
      </c>
    </row>
    <row r="6" spans="1:4" x14ac:dyDescent="0.3">
      <c r="A6" s="1">
        <v>406</v>
      </c>
      <c r="B6" s="4" t="s">
        <v>12</v>
      </c>
    </row>
    <row r="7" spans="1:4" x14ac:dyDescent="0.3">
      <c r="A7" s="1">
        <v>407</v>
      </c>
      <c r="B7" s="4" t="s">
        <v>13</v>
      </c>
    </row>
    <row r="8" spans="1:4" x14ac:dyDescent="0.3">
      <c r="A8" s="1">
        <v>408</v>
      </c>
      <c r="B8" s="4" t="s">
        <v>14</v>
      </c>
    </row>
    <row r="9" spans="1:4" x14ac:dyDescent="0.3">
      <c r="A9" s="1">
        <v>409</v>
      </c>
      <c r="B9" s="4" t="s">
        <v>15</v>
      </c>
    </row>
    <row r="10" spans="1:4" x14ac:dyDescent="0.3">
      <c r="A10" s="1">
        <v>410</v>
      </c>
      <c r="B10" s="4" t="s">
        <v>16</v>
      </c>
    </row>
    <row r="11" spans="1:4" x14ac:dyDescent="0.3">
      <c r="A11" s="1">
        <v>411</v>
      </c>
      <c r="B11" s="4" t="s">
        <v>17</v>
      </c>
    </row>
    <row r="12" spans="1:4" x14ac:dyDescent="0.3">
      <c r="A12" s="1">
        <v>412</v>
      </c>
      <c r="B12" s="4" t="s">
        <v>18</v>
      </c>
    </row>
    <row r="13" spans="1:4" x14ac:dyDescent="0.3">
      <c r="A13" s="1">
        <v>413</v>
      </c>
      <c r="B13" s="4" t="s">
        <v>19</v>
      </c>
    </row>
    <row r="14" spans="1:4" x14ac:dyDescent="0.3">
      <c r="A14" s="1">
        <v>414</v>
      </c>
      <c r="B14" s="4" t="s">
        <v>20</v>
      </c>
    </row>
    <row r="15" spans="1:4" x14ac:dyDescent="0.3">
      <c r="A15" s="1">
        <v>415</v>
      </c>
      <c r="B15" s="4" t="s">
        <v>21</v>
      </c>
    </row>
    <row r="16" spans="1:4" x14ac:dyDescent="0.3">
      <c r="A16" s="1">
        <v>416</v>
      </c>
      <c r="B16" s="4" t="s">
        <v>22</v>
      </c>
    </row>
    <row r="17" spans="1:2" x14ac:dyDescent="0.3">
      <c r="A17" s="1">
        <v>417</v>
      </c>
      <c r="B17" s="4" t="s">
        <v>23</v>
      </c>
    </row>
    <row r="18" spans="1:2" x14ac:dyDescent="0.3">
      <c r="A18" s="1">
        <v>418</v>
      </c>
      <c r="B18" s="4" t="s">
        <v>24</v>
      </c>
    </row>
    <row r="19" spans="1:2" x14ac:dyDescent="0.3">
      <c r="A19" s="1">
        <v>419</v>
      </c>
      <c r="B19" s="4" t="s">
        <v>25</v>
      </c>
    </row>
    <row r="20" spans="1:2" x14ac:dyDescent="0.3">
      <c r="A20" s="1">
        <v>420</v>
      </c>
    </row>
    <row r="21" spans="1:2" x14ac:dyDescent="0.3">
      <c r="A21" s="1">
        <v>421</v>
      </c>
    </row>
    <row r="22" spans="1:2" x14ac:dyDescent="0.3">
      <c r="A22" s="1">
        <v>422</v>
      </c>
    </row>
    <row r="23" spans="1:2" x14ac:dyDescent="0.3">
      <c r="A23" s="1">
        <v>423</v>
      </c>
    </row>
    <row r="24" spans="1:2" x14ac:dyDescent="0.3">
      <c r="A24" s="1">
        <v>424</v>
      </c>
    </row>
    <row r="25" spans="1:2" x14ac:dyDescent="0.3">
      <c r="A25" s="1">
        <v>501</v>
      </c>
    </row>
    <row r="26" spans="1:2" x14ac:dyDescent="0.3">
      <c r="A26" s="1">
        <v>502</v>
      </c>
    </row>
    <row r="27" spans="1:2" x14ac:dyDescent="0.3">
      <c r="A27" s="1">
        <v>503</v>
      </c>
    </row>
    <row r="28" spans="1:2" x14ac:dyDescent="0.3">
      <c r="A28" s="1">
        <v>504</v>
      </c>
    </row>
    <row r="29" spans="1:2" x14ac:dyDescent="0.3">
      <c r="A29" s="1">
        <v>505</v>
      </c>
    </row>
    <row r="30" spans="1:2" x14ac:dyDescent="0.3">
      <c r="A30" s="1">
        <v>506</v>
      </c>
    </row>
    <row r="31" spans="1:2" x14ac:dyDescent="0.3">
      <c r="A31" s="1">
        <v>507</v>
      </c>
    </row>
    <row r="32" spans="1:2" x14ac:dyDescent="0.3">
      <c r="A32" s="1">
        <v>508</v>
      </c>
    </row>
    <row r="33" spans="1:1" x14ac:dyDescent="0.3">
      <c r="A33" s="1">
        <v>509</v>
      </c>
    </row>
    <row r="34" spans="1:1" x14ac:dyDescent="0.3">
      <c r="A34" s="1">
        <v>510</v>
      </c>
    </row>
    <row r="35" spans="1:1" x14ac:dyDescent="0.3">
      <c r="A35" s="1">
        <v>511</v>
      </c>
    </row>
    <row r="36" spans="1:1" x14ac:dyDescent="0.3">
      <c r="A36" s="1">
        <v>512</v>
      </c>
    </row>
    <row r="37" spans="1:1" x14ac:dyDescent="0.3">
      <c r="A37" s="1">
        <v>513</v>
      </c>
    </row>
    <row r="38" spans="1:1" x14ac:dyDescent="0.3">
      <c r="A38" s="1">
        <v>514</v>
      </c>
    </row>
    <row r="39" spans="1:1" x14ac:dyDescent="0.3">
      <c r="A39" s="1">
        <v>515</v>
      </c>
    </row>
    <row r="40" spans="1:1" x14ac:dyDescent="0.3">
      <c r="A40" s="1">
        <v>516</v>
      </c>
    </row>
    <row r="41" spans="1:1" x14ac:dyDescent="0.3">
      <c r="A41" s="1">
        <v>517</v>
      </c>
    </row>
    <row r="42" spans="1:1" x14ac:dyDescent="0.3">
      <c r="A42" s="1">
        <v>518</v>
      </c>
    </row>
    <row r="43" spans="1:1" x14ac:dyDescent="0.3">
      <c r="A43" s="1">
        <v>519</v>
      </c>
    </row>
    <row r="44" spans="1:1" x14ac:dyDescent="0.3">
      <c r="A44" s="1">
        <v>601</v>
      </c>
    </row>
    <row r="45" spans="1:1" x14ac:dyDescent="0.3">
      <c r="A45" s="1">
        <v>602</v>
      </c>
    </row>
    <row r="46" spans="1:1" x14ac:dyDescent="0.3">
      <c r="A46" s="1">
        <v>603</v>
      </c>
    </row>
    <row r="47" spans="1:1" x14ac:dyDescent="0.3">
      <c r="A47" s="1">
        <v>604</v>
      </c>
    </row>
    <row r="48" spans="1:1" x14ac:dyDescent="0.3">
      <c r="A48" s="1">
        <v>605</v>
      </c>
    </row>
    <row r="49" spans="1:1" x14ac:dyDescent="0.3">
      <c r="A49" s="1">
        <v>606</v>
      </c>
    </row>
    <row r="50" spans="1:1" x14ac:dyDescent="0.3">
      <c r="A50" s="1">
        <v>607</v>
      </c>
    </row>
    <row r="51" spans="1:1" x14ac:dyDescent="0.3">
      <c r="A51" s="1">
        <v>608</v>
      </c>
    </row>
    <row r="52" spans="1:1" x14ac:dyDescent="0.3">
      <c r="A52" s="1">
        <v>609</v>
      </c>
    </row>
    <row r="53" spans="1:1" x14ac:dyDescent="0.3">
      <c r="A53" s="1">
        <v>610</v>
      </c>
    </row>
    <row r="54" spans="1:1" x14ac:dyDescent="0.3">
      <c r="A54" s="1">
        <v>611</v>
      </c>
    </row>
    <row r="55" spans="1:1" x14ac:dyDescent="0.3">
      <c r="A55" s="1">
        <v>612</v>
      </c>
    </row>
    <row r="56" spans="1:1" x14ac:dyDescent="0.3">
      <c r="A56" s="1">
        <v>613</v>
      </c>
    </row>
    <row r="57" spans="1:1" x14ac:dyDescent="0.3">
      <c r="A57" s="1">
        <v>614</v>
      </c>
    </row>
    <row r="58" spans="1:1" x14ac:dyDescent="0.3">
      <c r="A58" s="1">
        <v>615</v>
      </c>
    </row>
    <row r="59" spans="1:1" x14ac:dyDescent="0.3">
      <c r="A59" s="1">
        <v>616</v>
      </c>
    </row>
    <row r="60" spans="1:1" x14ac:dyDescent="0.3">
      <c r="A60" s="1">
        <v>617</v>
      </c>
    </row>
    <row r="61" spans="1:1" x14ac:dyDescent="0.3">
      <c r="A61" s="1">
        <v>618</v>
      </c>
    </row>
    <row r="62" spans="1:1" x14ac:dyDescent="0.3">
      <c r="A62" s="1">
        <v>619</v>
      </c>
    </row>
    <row r="63" spans="1:1" x14ac:dyDescent="0.3">
      <c r="A63" s="1">
        <v>620</v>
      </c>
    </row>
    <row r="64" spans="1:1" x14ac:dyDescent="0.3">
      <c r="A64" s="1">
        <v>621</v>
      </c>
    </row>
    <row r="65" spans="1:1" x14ac:dyDescent="0.3">
      <c r="A65" s="1">
        <v>622</v>
      </c>
    </row>
    <row r="66" spans="1:1" x14ac:dyDescent="0.3">
      <c r="A66" s="1">
        <v>623</v>
      </c>
    </row>
    <row r="67" spans="1:1" x14ac:dyDescent="0.3">
      <c r="A67" s="1">
        <v>624</v>
      </c>
    </row>
    <row r="68" spans="1:1" x14ac:dyDescent="0.3">
      <c r="A68" s="1">
        <v>625</v>
      </c>
    </row>
    <row r="69" spans="1:1" x14ac:dyDescent="0.3">
      <c r="A69" s="1">
        <v>626</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W5298"/>
  <sheetViews>
    <sheetView tabSelected="1" zoomScale="80" zoomScaleNormal="80" workbookViewId="0">
      <pane ySplit="2" topLeftCell="A1088" activePane="bottomLeft" state="frozen"/>
      <selection activeCell="N1" sqref="N1"/>
      <selection pane="bottomLeft" activeCell="F1092" sqref="F1092"/>
    </sheetView>
  </sheetViews>
  <sheetFormatPr defaultRowHeight="14.4" x14ac:dyDescent="0.3"/>
  <cols>
    <col min="1" max="1" width="12.44140625" style="27" customWidth="1"/>
    <col min="2" max="2" width="13.5546875" customWidth="1"/>
    <col min="3" max="3" width="29.21875" customWidth="1"/>
    <col min="4" max="4" width="9.21875" customWidth="1"/>
    <col min="5" max="5" width="13.44140625" customWidth="1"/>
    <col min="6" max="6" width="88.21875" customWidth="1"/>
    <col min="8" max="8" width="20.5546875" bestFit="1" customWidth="1"/>
    <col min="9" max="9" width="255.6640625" bestFit="1" customWidth="1"/>
    <col min="10" max="10" width="34.21875" customWidth="1"/>
    <col min="11" max="11" width="15.5546875" customWidth="1"/>
    <col min="12" max="12" width="17.5546875" style="27" customWidth="1"/>
    <col min="13" max="13" width="14.5546875" customWidth="1"/>
    <col min="14" max="14" width="26.44140625" customWidth="1"/>
    <col min="15" max="15" width="58.109375" bestFit="1" customWidth="1"/>
    <col min="17" max="17" width="10.5546875" customWidth="1"/>
    <col min="18" max="18" width="12.5546875" bestFit="1" customWidth="1"/>
    <col min="19" max="19" width="23.44140625" bestFit="1" customWidth="1"/>
    <col min="20" max="20" width="23.44140625" customWidth="1"/>
    <col min="21" max="21" width="17.5546875" customWidth="1"/>
    <col min="22" max="22" width="18.44140625" customWidth="1"/>
    <col min="23" max="23" width="16.5546875" bestFit="1" customWidth="1"/>
  </cols>
  <sheetData>
    <row r="1" spans="1:23" ht="24.75" customHeight="1" thickBot="1" x14ac:dyDescent="0.35">
      <c r="A1" s="17">
        <f ca="1">TODAY()</f>
        <v>44706</v>
      </c>
      <c r="B1" s="33" t="s">
        <v>1538</v>
      </c>
      <c r="C1" s="34"/>
      <c r="D1" s="34"/>
      <c r="E1" s="34"/>
      <c r="F1" s="34"/>
      <c r="G1" s="34"/>
      <c r="H1" s="34"/>
      <c r="I1" s="34"/>
      <c r="J1" s="34"/>
      <c r="K1" s="34"/>
      <c r="L1" s="34"/>
      <c r="M1" s="34"/>
      <c r="N1" s="34"/>
      <c r="O1" s="34"/>
      <c r="P1" s="34"/>
      <c r="Q1" s="34"/>
      <c r="R1" s="34"/>
      <c r="S1" s="34"/>
      <c r="T1" s="34"/>
      <c r="U1" s="34"/>
      <c r="V1" s="34"/>
      <c r="W1" s="34"/>
    </row>
    <row r="2" spans="1:23" ht="28.8" x14ac:dyDescent="0.3">
      <c r="A2" s="19" t="s">
        <v>3333</v>
      </c>
      <c r="B2" s="19" t="s">
        <v>3334</v>
      </c>
      <c r="C2" s="18" t="s">
        <v>1534</v>
      </c>
      <c r="D2" s="18" t="s">
        <v>1535</v>
      </c>
      <c r="E2" s="19" t="s">
        <v>30</v>
      </c>
      <c r="F2" s="19" t="s">
        <v>31</v>
      </c>
      <c r="G2" s="19" t="s">
        <v>3337</v>
      </c>
      <c r="H2" s="18" t="s">
        <v>3335</v>
      </c>
      <c r="I2" s="18" t="s">
        <v>3338</v>
      </c>
      <c r="J2" s="18" t="s">
        <v>3336</v>
      </c>
      <c r="K2" s="24" t="s">
        <v>3339</v>
      </c>
      <c r="L2" s="18" t="s">
        <v>3340</v>
      </c>
      <c r="M2" s="24" t="s">
        <v>28</v>
      </c>
      <c r="N2" s="19" t="s">
        <v>3342</v>
      </c>
      <c r="O2" s="19" t="s">
        <v>1536</v>
      </c>
      <c r="P2" s="19" t="s">
        <v>1537</v>
      </c>
      <c r="Q2" s="19" t="s">
        <v>1539</v>
      </c>
      <c r="R2" s="23" t="s">
        <v>3331</v>
      </c>
      <c r="S2" s="23" t="s">
        <v>3332</v>
      </c>
      <c r="T2" s="23" t="s">
        <v>3341</v>
      </c>
      <c r="U2" s="19" t="s">
        <v>3330</v>
      </c>
      <c r="V2" s="19" t="s">
        <v>1540</v>
      </c>
      <c r="W2" s="19" t="s">
        <v>35</v>
      </c>
    </row>
    <row r="3" spans="1:23" ht="14.4" customHeight="1" x14ac:dyDescent="0.3">
      <c r="A3" s="13">
        <v>44458</v>
      </c>
      <c r="B3" s="12" t="s">
        <v>1579</v>
      </c>
      <c r="C3" s="12" t="s">
        <v>1542</v>
      </c>
      <c r="D3" s="5" t="s">
        <v>1580</v>
      </c>
      <c r="E3" s="12">
        <v>510</v>
      </c>
      <c r="F3" s="11" t="s">
        <v>1581</v>
      </c>
      <c r="G3" s="12" t="s">
        <v>7</v>
      </c>
      <c r="H3" s="12" t="s">
        <v>14</v>
      </c>
      <c r="I3" s="11" t="s">
        <v>4139</v>
      </c>
      <c r="J3" s="12" t="s">
        <v>1545</v>
      </c>
      <c r="K3" s="12" t="str">
        <f>IF(J3="Corrected","Closed",IF(J3="NFF","Closed","Open"))</f>
        <v>Closed</v>
      </c>
      <c r="L3" s="26">
        <v>44656</v>
      </c>
      <c r="M3" s="12"/>
      <c r="N3" s="12" t="s">
        <v>4427</v>
      </c>
      <c r="O3" s="12" t="s">
        <v>2546</v>
      </c>
      <c r="P3" s="12" t="s">
        <v>3790</v>
      </c>
      <c r="Q3" s="12"/>
      <c r="R3" s="12"/>
      <c r="S3" s="12"/>
      <c r="T3" s="13" t="s">
        <v>1547</v>
      </c>
      <c r="U3" s="12" t="str">
        <f t="shared" ref="U3:U66" si="0">IF(AND(J3="Corrective Action Required",R3="Corrected"),"Corrected", IF(AND(J3="Corrective Action Required",R3&lt;&gt;"Corrected"),R3,J3))</f>
        <v>Corrected</v>
      </c>
      <c r="V3" s="12" t="str">
        <f t="shared" ref="V3:V66" si="1">IF(AND(J3="Corrective Action Required",R3="Corrected"),S3, IF(AND(J3="Corrective Action Required",R3&lt;&gt;"Corrected"),S3,H3))</f>
        <v>GUAN Jialin</v>
      </c>
      <c r="W3" s="13">
        <f t="shared" ref="W3:W66" si="2">IF(OR(J3="Corrected",J3="NFF"),L3, IF(AND(J3="Corrective Action Required",R3="Corrected"),T3,""))</f>
        <v>44656</v>
      </c>
    </row>
    <row r="4" spans="1:23" ht="14.4" customHeight="1" x14ac:dyDescent="0.3">
      <c r="A4" s="13">
        <v>44458</v>
      </c>
      <c r="B4" s="12" t="s">
        <v>1583</v>
      </c>
      <c r="C4" s="12" t="s">
        <v>1542</v>
      </c>
      <c r="D4" s="5" t="s">
        <v>1584</v>
      </c>
      <c r="E4" s="12">
        <v>511</v>
      </c>
      <c r="F4" s="11" t="s">
        <v>1585</v>
      </c>
      <c r="G4" s="12" t="s">
        <v>7</v>
      </c>
      <c r="H4" s="12" t="s">
        <v>14</v>
      </c>
      <c r="I4" s="11" t="s">
        <v>3662</v>
      </c>
      <c r="J4" s="12" t="s">
        <v>1574</v>
      </c>
      <c r="K4" s="12" t="str">
        <f t="shared" ref="K4:K67" si="3">IF(J4="Corrected","Closed",IF(J4="NFF","Closed","Open"))</f>
        <v>Closed</v>
      </c>
      <c r="L4" s="26">
        <v>44654</v>
      </c>
      <c r="M4" s="12"/>
      <c r="N4" s="12" t="s">
        <v>4427</v>
      </c>
      <c r="O4" s="12"/>
      <c r="P4" s="12" t="s">
        <v>3790</v>
      </c>
      <c r="Q4" s="12"/>
      <c r="R4" s="12"/>
      <c r="S4" s="12"/>
      <c r="T4" s="13" t="s">
        <v>1547</v>
      </c>
      <c r="U4" s="12" t="str">
        <f t="shared" si="0"/>
        <v>NFF</v>
      </c>
      <c r="V4" s="12" t="str">
        <f t="shared" si="1"/>
        <v>GUAN Jialin</v>
      </c>
      <c r="W4" s="13">
        <f t="shared" si="2"/>
        <v>44654</v>
      </c>
    </row>
    <row r="5" spans="1:23" ht="14.4" customHeight="1" x14ac:dyDescent="0.3">
      <c r="A5" s="13">
        <v>44459</v>
      </c>
      <c r="B5" s="12" t="s">
        <v>1612</v>
      </c>
      <c r="C5" s="12" t="s">
        <v>1542</v>
      </c>
      <c r="D5" s="5" t="s">
        <v>1613</v>
      </c>
      <c r="E5" s="12">
        <v>501</v>
      </c>
      <c r="F5" s="14" t="s">
        <v>4140</v>
      </c>
      <c r="G5" s="12" t="s">
        <v>7</v>
      </c>
      <c r="H5" s="12" t="s">
        <v>11</v>
      </c>
      <c r="I5" s="14" t="s">
        <v>1614</v>
      </c>
      <c r="J5" s="12" t="s">
        <v>1545</v>
      </c>
      <c r="K5" s="12" t="str">
        <f t="shared" si="3"/>
        <v>Closed</v>
      </c>
      <c r="L5" s="26">
        <v>44623</v>
      </c>
      <c r="M5" s="12"/>
      <c r="N5" s="12" t="s">
        <v>4427</v>
      </c>
      <c r="O5" s="12" t="s">
        <v>1675</v>
      </c>
      <c r="P5" s="12" t="s">
        <v>3790</v>
      </c>
      <c r="Q5" s="12"/>
      <c r="R5" s="12"/>
      <c r="S5" s="12"/>
      <c r="T5" s="12"/>
      <c r="U5" s="12" t="str">
        <f t="shared" si="0"/>
        <v>Corrected</v>
      </c>
      <c r="V5" s="12" t="str">
        <f t="shared" si="1"/>
        <v>FIRDUS Ahmad</v>
      </c>
      <c r="W5" s="13">
        <f t="shared" si="2"/>
        <v>44623</v>
      </c>
    </row>
    <row r="6" spans="1:23" ht="14.4" customHeight="1" x14ac:dyDescent="0.3">
      <c r="A6" s="13">
        <v>44459</v>
      </c>
      <c r="B6" s="12" t="s">
        <v>1616</v>
      </c>
      <c r="C6" s="12" t="s">
        <v>1542</v>
      </c>
      <c r="D6" s="5" t="s">
        <v>1613</v>
      </c>
      <c r="E6" s="12">
        <v>501</v>
      </c>
      <c r="F6" s="11" t="s">
        <v>1617</v>
      </c>
      <c r="G6" s="12" t="s">
        <v>4</v>
      </c>
      <c r="H6" s="12" t="s">
        <v>11</v>
      </c>
      <c r="I6" s="11"/>
      <c r="J6" s="12" t="s">
        <v>1545</v>
      </c>
      <c r="K6" s="12" t="str">
        <f t="shared" si="3"/>
        <v>Closed</v>
      </c>
      <c r="L6" s="26">
        <v>44635</v>
      </c>
      <c r="M6" s="12" t="s">
        <v>1532</v>
      </c>
      <c r="N6" s="12" t="s">
        <v>4428</v>
      </c>
      <c r="O6" s="12" t="s">
        <v>3618</v>
      </c>
      <c r="P6" s="12" t="s">
        <v>3790</v>
      </c>
      <c r="Q6" s="12"/>
      <c r="R6" s="12" t="s">
        <v>1545</v>
      </c>
      <c r="S6" s="12" t="s">
        <v>6</v>
      </c>
      <c r="T6" s="13">
        <v>44635</v>
      </c>
      <c r="U6" s="12" t="str">
        <f t="shared" si="0"/>
        <v>Corrected</v>
      </c>
      <c r="V6" s="12" t="str">
        <f t="shared" si="1"/>
        <v>FIRDUS Ahmad</v>
      </c>
      <c r="W6" s="13">
        <f t="shared" si="2"/>
        <v>44635</v>
      </c>
    </row>
    <row r="7" spans="1:23" ht="14.4" customHeight="1" x14ac:dyDescent="0.3">
      <c r="A7" s="13">
        <v>44459</v>
      </c>
      <c r="B7" s="12" t="s">
        <v>1618</v>
      </c>
      <c r="C7" s="12" t="s">
        <v>1542</v>
      </c>
      <c r="D7" s="5" t="s">
        <v>1619</v>
      </c>
      <c r="E7" s="12">
        <v>505</v>
      </c>
      <c r="F7" s="14" t="s">
        <v>4141</v>
      </c>
      <c r="G7" s="12" t="s">
        <v>7</v>
      </c>
      <c r="H7" s="12" t="s">
        <v>14</v>
      </c>
      <c r="I7" s="14"/>
      <c r="J7" s="12" t="s">
        <v>1574</v>
      </c>
      <c r="K7" s="12" t="str">
        <f t="shared" si="3"/>
        <v>Closed</v>
      </c>
      <c r="L7" s="26">
        <v>44655</v>
      </c>
      <c r="M7" s="12"/>
      <c r="N7" s="12" t="s">
        <v>4427</v>
      </c>
      <c r="O7" s="12"/>
      <c r="P7" s="12" t="s">
        <v>3790</v>
      </c>
      <c r="Q7" s="12"/>
      <c r="R7" s="12"/>
      <c r="S7" s="12"/>
      <c r="T7" s="13" t="s">
        <v>1547</v>
      </c>
      <c r="U7" s="12" t="str">
        <f t="shared" si="0"/>
        <v>NFF</v>
      </c>
      <c r="V7" s="12" t="str">
        <f t="shared" si="1"/>
        <v>GUAN Jialin</v>
      </c>
      <c r="W7" s="13">
        <f t="shared" si="2"/>
        <v>44655</v>
      </c>
    </row>
    <row r="8" spans="1:23" ht="14.4" customHeight="1" x14ac:dyDescent="0.3">
      <c r="A8" s="13">
        <v>44460</v>
      </c>
      <c r="B8" s="12" t="s">
        <v>1634</v>
      </c>
      <c r="C8" s="12" t="s">
        <v>1542</v>
      </c>
      <c r="D8" s="5" t="s">
        <v>1635</v>
      </c>
      <c r="E8" s="12">
        <v>515</v>
      </c>
      <c r="F8" s="11" t="s">
        <v>1636</v>
      </c>
      <c r="G8" s="12" t="s">
        <v>7</v>
      </c>
      <c r="H8" s="12" t="s">
        <v>19</v>
      </c>
      <c r="I8" s="14" t="s">
        <v>1637</v>
      </c>
      <c r="J8" s="12" t="s">
        <v>1609</v>
      </c>
      <c r="K8" s="12" t="str">
        <f t="shared" si="3"/>
        <v>Open</v>
      </c>
      <c r="L8" s="26"/>
      <c r="M8" s="12" t="s">
        <v>463</v>
      </c>
      <c r="N8" s="12" t="s">
        <v>1652</v>
      </c>
      <c r="O8" s="12"/>
      <c r="P8" s="12" t="s">
        <v>3790</v>
      </c>
      <c r="Q8" s="12"/>
      <c r="R8" s="12" t="s">
        <v>5</v>
      </c>
      <c r="S8" s="12" t="s">
        <v>3</v>
      </c>
      <c r="T8" s="13" t="s">
        <v>1547</v>
      </c>
      <c r="U8" s="12" t="str">
        <f t="shared" si="0"/>
        <v>No Material</v>
      </c>
      <c r="V8" s="12" t="str">
        <f t="shared" si="1"/>
        <v>SUKIMAN Zamhuri</v>
      </c>
      <c r="W8" s="13" t="str">
        <f t="shared" si="2"/>
        <v/>
      </c>
    </row>
    <row r="9" spans="1:23" ht="14.4" customHeight="1" x14ac:dyDescent="0.3">
      <c r="A9" s="13">
        <v>44460</v>
      </c>
      <c r="B9" s="12" t="s">
        <v>1638</v>
      </c>
      <c r="C9" s="12" t="s">
        <v>1542</v>
      </c>
      <c r="D9" s="5" t="s">
        <v>1639</v>
      </c>
      <c r="E9" s="12">
        <v>506</v>
      </c>
      <c r="F9" s="14" t="s">
        <v>4142</v>
      </c>
      <c r="G9" s="12" t="s">
        <v>7</v>
      </c>
      <c r="H9" s="12" t="s">
        <v>12</v>
      </c>
      <c r="I9" s="14" t="s">
        <v>1641</v>
      </c>
      <c r="J9" s="12" t="s">
        <v>1640</v>
      </c>
      <c r="K9" s="12" t="str">
        <f t="shared" si="3"/>
        <v>Open</v>
      </c>
      <c r="L9" s="26"/>
      <c r="M9" s="12"/>
      <c r="N9" s="12" t="s">
        <v>4427</v>
      </c>
      <c r="O9" s="12"/>
      <c r="P9" s="12" t="s">
        <v>3790</v>
      </c>
      <c r="Q9" s="12"/>
      <c r="R9" s="12"/>
      <c r="S9" s="12"/>
      <c r="T9" s="13" t="s">
        <v>1547</v>
      </c>
      <c r="U9" s="12" t="str">
        <f t="shared" si="0"/>
        <v>Under Investigation</v>
      </c>
      <c r="V9" s="12" t="str">
        <f t="shared" si="1"/>
        <v>ALOWAINI Shawqi</v>
      </c>
      <c r="W9" s="13" t="str">
        <f t="shared" si="2"/>
        <v/>
      </c>
    </row>
    <row r="10" spans="1:23" ht="14.4" customHeight="1" x14ac:dyDescent="0.3">
      <c r="A10" s="13">
        <v>44460</v>
      </c>
      <c r="B10" s="12" t="s">
        <v>1642</v>
      </c>
      <c r="C10" s="12" t="s">
        <v>1542</v>
      </c>
      <c r="D10" s="5" t="s">
        <v>1635</v>
      </c>
      <c r="E10" s="12">
        <v>515</v>
      </c>
      <c r="F10" s="14" t="s">
        <v>4143</v>
      </c>
      <c r="G10" s="12" t="s">
        <v>7</v>
      </c>
      <c r="H10" s="12" t="s">
        <v>14</v>
      </c>
      <c r="I10" s="14"/>
      <c r="J10" s="12" t="s">
        <v>1574</v>
      </c>
      <c r="K10" s="12" t="str">
        <f t="shared" si="3"/>
        <v>Closed</v>
      </c>
      <c r="L10" s="26">
        <v>44654</v>
      </c>
      <c r="M10" s="12"/>
      <c r="N10" s="12" t="s">
        <v>4427</v>
      </c>
      <c r="O10" s="12"/>
      <c r="P10" s="12" t="s">
        <v>3790</v>
      </c>
      <c r="Q10" s="12"/>
      <c r="R10" s="12"/>
      <c r="S10" s="12"/>
      <c r="T10" s="13" t="s">
        <v>1547</v>
      </c>
      <c r="U10" s="12" t="str">
        <f t="shared" si="0"/>
        <v>NFF</v>
      </c>
      <c r="V10" s="12" t="str">
        <f t="shared" si="1"/>
        <v>GUAN Jialin</v>
      </c>
      <c r="W10" s="13">
        <f t="shared" si="2"/>
        <v>44654</v>
      </c>
    </row>
    <row r="11" spans="1:23" ht="14.4" customHeight="1" x14ac:dyDescent="0.3">
      <c r="A11" s="13">
        <v>44465</v>
      </c>
      <c r="B11" s="12" t="s">
        <v>1661</v>
      </c>
      <c r="C11" s="12" t="s">
        <v>1542</v>
      </c>
      <c r="D11" s="5" t="s">
        <v>1662</v>
      </c>
      <c r="E11" s="12">
        <v>508</v>
      </c>
      <c r="F11" s="11" t="s">
        <v>1663</v>
      </c>
      <c r="G11" s="12" t="s">
        <v>7</v>
      </c>
      <c r="H11" s="12" t="s">
        <v>14</v>
      </c>
      <c r="I11" s="14" t="s">
        <v>3633</v>
      </c>
      <c r="J11" s="12" t="s">
        <v>1609</v>
      </c>
      <c r="K11" s="12" t="str">
        <f t="shared" si="3"/>
        <v>Open</v>
      </c>
      <c r="L11" s="26"/>
      <c r="M11" s="12"/>
      <c r="N11" s="12" t="s">
        <v>4427</v>
      </c>
      <c r="O11" s="12"/>
      <c r="P11" s="12" t="s">
        <v>3790</v>
      </c>
      <c r="Q11" s="12"/>
      <c r="R11" s="12" t="s">
        <v>3566</v>
      </c>
      <c r="S11" s="12" t="s">
        <v>3</v>
      </c>
      <c r="T11" s="13" t="s">
        <v>1547</v>
      </c>
      <c r="U11" s="12" t="str">
        <f t="shared" si="0"/>
        <v>CM Open</v>
      </c>
      <c r="V11" s="12" t="str">
        <f t="shared" si="1"/>
        <v>SUKIMAN Zamhuri</v>
      </c>
      <c r="W11" s="13" t="str">
        <f t="shared" si="2"/>
        <v/>
      </c>
    </row>
    <row r="12" spans="1:23" ht="14.4" customHeight="1" x14ac:dyDescent="0.3">
      <c r="A12" s="13">
        <v>44465</v>
      </c>
      <c r="B12" s="12" t="s">
        <v>1664</v>
      </c>
      <c r="C12" s="12" t="s">
        <v>1542</v>
      </c>
      <c r="D12" s="5" t="s">
        <v>1665</v>
      </c>
      <c r="E12" s="12">
        <v>509</v>
      </c>
      <c r="F12" s="11" t="s">
        <v>1666</v>
      </c>
      <c r="G12" s="12" t="s">
        <v>7</v>
      </c>
      <c r="H12" s="12" t="s">
        <v>12</v>
      </c>
      <c r="I12" s="14"/>
      <c r="J12" s="12" t="s">
        <v>1582</v>
      </c>
      <c r="K12" s="12" t="str">
        <f t="shared" si="3"/>
        <v>Open</v>
      </c>
      <c r="L12" s="26"/>
      <c r="M12" s="12"/>
      <c r="N12" s="12" t="s">
        <v>4427</v>
      </c>
      <c r="O12" s="12"/>
      <c r="P12" s="12" t="s">
        <v>3790</v>
      </c>
      <c r="Q12" s="12"/>
      <c r="R12" s="12"/>
      <c r="S12" s="12"/>
      <c r="T12" s="13" t="s">
        <v>1547</v>
      </c>
      <c r="U12" s="12" t="str">
        <f t="shared" si="0"/>
        <v>Not Started</v>
      </c>
      <c r="V12" s="12" t="str">
        <f t="shared" si="1"/>
        <v>ALOWAINI Shawqi</v>
      </c>
      <c r="W12" s="13" t="str">
        <f t="shared" si="2"/>
        <v/>
      </c>
    </row>
    <row r="13" spans="1:23" ht="14.4" customHeight="1" x14ac:dyDescent="0.3">
      <c r="A13" s="13">
        <v>44465</v>
      </c>
      <c r="B13" s="12" t="s">
        <v>1667</v>
      </c>
      <c r="C13" s="12" t="s">
        <v>1542</v>
      </c>
      <c r="D13" s="5" t="s">
        <v>1668</v>
      </c>
      <c r="E13" s="12">
        <v>519</v>
      </c>
      <c r="F13" s="11" t="s">
        <v>1669</v>
      </c>
      <c r="G13" s="12" t="s">
        <v>7</v>
      </c>
      <c r="H13" s="12" t="s">
        <v>11</v>
      </c>
      <c r="I13" s="14" t="s">
        <v>1670</v>
      </c>
      <c r="J13" s="12" t="s">
        <v>1574</v>
      </c>
      <c r="K13" s="12" t="str">
        <f t="shared" si="3"/>
        <v>Closed</v>
      </c>
      <c r="L13" s="26">
        <v>44626</v>
      </c>
      <c r="M13" s="12"/>
      <c r="N13" s="12" t="s">
        <v>4427</v>
      </c>
      <c r="O13" s="12"/>
      <c r="P13" s="12" t="s">
        <v>3790</v>
      </c>
      <c r="Q13" s="12"/>
      <c r="R13" s="12"/>
      <c r="S13" s="12"/>
      <c r="T13" s="12"/>
      <c r="U13" s="12" t="str">
        <f t="shared" si="0"/>
        <v>NFF</v>
      </c>
      <c r="V13" s="12" t="str">
        <f t="shared" si="1"/>
        <v>FIRDUS Ahmad</v>
      </c>
      <c r="W13" s="13">
        <f t="shared" si="2"/>
        <v>44626</v>
      </c>
    </row>
    <row r="14" spans="1:23" ht="14.4" customHeight="1" x14ac:dyDescent="0.3">
      <c r="A14" s="13">
        <v>44465</v>
      </c>
      <c r="B14" s="12" t="s">
        <v>1671</v>
      </c>
      <c r="C14" s="12" t="s">
        <v>1542</v>
      </c>
      <c r="D14" s="5" t="s">
        <v>1668</v>
      </c>
      <c r="E14" s="12">
        <v>519</v>
      </c>
      <c r="F14" s="11" t="s">
        <v>1672</v>
      </c>
      <c r="G14" s="12" t="s">
        <v>4</v>
      </c>
      <c r="H14" s="12" t="s">
        <v>11</v>
      </c>
      <c r="I14" s="14"/>
      <c r="J14" s="12" t="s">
        <v>1609</v>
      </c>
      <c r="K14" s="12" t="str">
        <f t="shared" si="3"/>
        <v>Open</v>
      </c>
      <c r="L14" s="26"/>
      <c r="M14" s="12" t="s">
        <v>1472</v>
      </c>
      <c r="N14" s="12" t="s">
        <v>4428</v>
      </c>
      <c r="O14" s="12"/>
      <c r="P14" s="12" t="s">
        <v>3790</v>
      </c>
      <c r="Q14" s="12"/>
      <c r="R14" s="12" t="s">
        <v>3566</v>
      </c>
      <c r="S14" s="12" t="s">
        <v>3</v>
      </c>
      <c r="T14" s="13" t="s">
        <v>1547</v>
      </c>
      <c r="U14" s="12" t="str">
        <f t="shared" si="0"/>
        <v>CM Open</v>
      </c>
      <c r="V14" s="12" t="str">
        <f t="shared" si="1"/>
        <v>SUKIMAN Zamhuri</v>
      </c>
      <c r="W14" s="13" t="str">
        <f t="shared" si="2"/>
        <v/>
      </c>
    </row>
    <row r="15" spans="1:23" ht="14.4" customHeight="1" x14ac:dyDescent="0.3">
      <c r="A15" s="13">
        <v>44467</v>
      </c>
      <c r="B15" s="12" t="s">
        <v>1684</v>
      </c>
      <c r="C15" s="12" t="s">
        <v>1674</v>
      </c>
      <c r="D15" s="5" t="s">
        <v>1675</v>
      </c>
      <c r="E15" s="12">
        <v>508</v>
      </c>
      <c r="F15" s="14" t="s">
        <v>4144</v>
      </c>
      <c r="G15" s="12"/>
      <c r="H15" s="12" t="s">
        <v>9</v>
      </c>
      <c r="I15" s="14"/>
      <c r="J15" s="12" t="s">
        <v>1545</v>
      </c>
      <c r="K15" s="12" t="str">
        <f t="shared" si="3"/>
        <v>Closed</v>
      </c>
      <c r="L15" s="26">
        <v>44551</v>
      </c>
      <c r="M15" s="12" t="s">
        <v>1685</v>
      </c>
      <c r="N15" s="12" t="s">
        <v>2517</v>
      </c>
      <c r="O15" s="12"/>
      <c r="P15" s="12" t="s">
        <v>3790</v>
      </c>
      <c r="Q15" s="12"/>
      <c r="R15" s="12"/>
      <c r="S15" s="12"/>
      <c r="T15" s="12"/>
      <c r="U15" s="12" t="str">
        <f t="shared" si="0"/>
        <v>Corrected</v>
      </c>
      <c r="V15" s="12" t="str">
        <f t="shared" si="1"/>
        <v>KHAN Jahan</v>
      </c>
      <c r="W15" s="13">
        <f t="shared" si="2"/>
        <v>44551</v>
      </c>
    </row>
    <row r="16" spans="1:23" ht="14.4" customHeight="1" x14ac:dyDescent="0.3">
      <c r="A16" s="13">
        <v>44497</v>
      </c>
      <c r="B16" s="12" t="s">
        <v>1692</v>
      </c>
      <c r="C16" s="12" t="s">
        <v>1687</v>
      </c>
      <c r="D16" s="5" t="s">
        <v>1675</v>
      </c>
      <c r="E16" s="12">
        <v>513</v>
      </c>
      <c r="F16" s="11" t="s">
        <v>1693</v>
      </c>
      <c r="G16" s="12" t="s">
        <v>1</v>
      </c>
      <c r="H16" s="12" t="s">
        <v>11</v>
      </c>
      <c r="I16" s="14"/>
      <c r="J16" s="12" t="s">
        <v>1545</v>
      </c>
      <c r="K16" s="12" t="str">
        <f t="shared" si="3"/>
        <v>Closed</v>
      </c>
      <c r="L16" s="26">
        <v>44551</v>
      </c>
      <c r="M16" s="12" t="s">
        <v>1694</v>
      </c>
      <c r="N16" s="12" t="s">
        <v>4430</v>
      </c>
      <c r="O16" s="12"/>
      <c r="P16" s="12" t="s">
        <v>3790</v>
      </c>
      <c r="Q16" s="12"/>
      <c r="R16" s="12"/>
      <c r="S16" s="12"/>
      <c r="T16" s="12"/>
      <c r="U16" s="12" t="str">
        <f t="shared" si="0"/>
        <v>Corrected</v>
      </c>
      <c r="V16" s="12" t="str">
        <f t="shared" si="1"/>
        <v>FIRDUS Ahmad</v>
      </c>
      <c r="W16" s="13">
        <f t="shared" si="2"/>
        <v>44551</v>
      </c>
    </row>
    <row r="17" spans="1:23" ht="14.4" customHeight="1" x14ac:dyDescent="0.3">
      <c r="A17" s="13">
        <v>44497</v>
      </c>
      <c r="B17" s="12" t="s">
        <v>1695</v>
      </c>
      <c r="C17" s="12" t="s">
        <v>1687</v>
      </c>
      <c r="D17" s="5" t="s">
        <v>1675</v>
      </c>
      <c r="E17" s="12">
        <v>513</v>
      </c>
      <c r="F17" s="11" t="s">
        <v>4145</v>
      </c>
      <c r="G17" s="12" t="s">
        <v>1</v>
      </c>
      <c r="H17" s="12" t="s">
        <v>11</v>
      </c>
      <c r="I17" s="14"/>
      <c r="J17" s="12" t="s">
        <v>1545</v>
      </c>
      <c r="K17" s="12" t="str">
        <f t="shared" si="3"/>
        <v>Closed</v>
      </c>
      <c r="L17" s="26">
        <v>44551</v>
      </c>
      <c r="M17" s="12" t="s">
        <v>1696</v>
      </c>
      <c r="N17" s="12" t="s">
        <v>4430</v>
      </c>
      <c r="O17" s="12"/>
      <c r="P17" s="12" t="s">
        <v>3790</v>
      </c>
      <c r="Q17" s="12"/>
      <c r="R17" s="12"/>
      <c r="S17" s="12"/>
      <c r="T17" s="12"/>
      <c r="U17" s="12" t="str">
        <f t="shared" si="0"/>
        <v>Corrected</v>
      </c>
      <c r="V17" s="12" t="str">
        <f t="shared" si="1"/>
        <v>FIRDUS Ahmad</v>
      </c>
      <c r="W17" s="13">
        <f t="shared" si="2"/>
        <v>44551</v>
      </c>
    </row>
    <row r="18" spans="1:23" ht="14.4" customHeight="1" x14ac:dyDescent="0.3">
      <c r="A18" s="13">
        <v>44525</v>
      </c>
      <c r="B18" s="12" t="s">
        <v>1821</v>
      </c>
      <c r="C18" s="12" t="s">
        <v>1690</v>
      </c>
      <c r="D18" s="5" t="s">
        <v>1722</v>
      </c>
      <c r="E18" s="12">
        <v>516</v>
      </c>
      <c r="F18" s="11" t="s">
        <v>1343</v>
      </c>
      <c r="G18" s="12" t="s">
        <v>7</v>
      </c>
      <c r="H18" s="12" t="s">
        <v>11</v>
      </c>
      <c r="I18" s="14" t="s">
        <v>1822</v>
      </c>
      <c r="J18" s="12" t="s">
        <v>1545</v>
      </c>
      <c r="K18" s="12" t="str">
        <f t="shared" si="3"/>
        <v>Closed</v>
      </c>
      <c r="L18" s="26">
        <v>44551</v>
      </c>
      <c r="M18" s="12" t="s">
        <v>1342</v>
      </c>
      <c r="N18" s="12" t="s">
        <v>4430</v>
      </c>
      <c r="O18" s="12"/>
      <c r="P18" s="12" t="s">
        <v>2788</v>
      </c>
      <c r="Q18" s="12"/>
      <c r="R18" s="12"/>
      <c r="S18" s="12"/>
      <c r="T18" s="12"/>
      <c r="U18" s="12" t="str">
        <f t="shared" si="0"/>
        <v>Corrected</v>
      </c>
      <c r="V18" s="12" t="str">
        <f t="shared" si="1"/>
        <v>FIRDUS Ahmad</v>
      </c>
      <c r="W18" s="13">
        <f t="shared" si="2"/>
        <v>44551</v>
      </c>
    </row>
    <row r="19" spans="1:23" ht="14.4" customHeight="1" x14ac:dyDescent="0.3">
      <c r="A19" s="13">
        <v>44530</v>
      </c>
      <c r="B19" s="12" t="s">
        <v>1854</v>
      </c>
      <c r="C19" s="12" t="s">
        <v>1690</v>
      </c>
      <c r="D19" s="5" t="s">
        <v>1675</v>
      </c>
      <c r="E19" s="12">
        <v>512</v>
      </c>
      <c r="F19" s="11" t="s">
        <v>1855</v>
      </c>
      <c r="G19" s="12" t="s">
        <v>4</v>
      </c>
      <c r="H19" s="12" t="s">
        <v>11</v>
      </c>
      <c r="I19" s="14" t="s">
        <v>1857</v>
      </c>
      <c r="J19" s="12" t="s">
        <v>1609</v>
      </c>
      <c r="K19" s="12" t="str">
        <f t="shared" si="3"/>
        <v>Open</v>
      </c>
      <c r="L19" s="26"/>
      <c r="M19" s="12" t="s">
        <v>1856</v>
      </c>
      <c r="N19" s="12" t="s">
        <v>4429</v>
      </c>
      <c r="O19" s="12"/>
      <c r="P19" s="12" t="s">
        <v>3790</v>
      </c>
      <c r="Q19" s="12"/>
      <c r="R19" s="12" t="s">
        <v>3566</v>
      </c>
      <c r="S19" s="12" t="s">
        <v>3</v>
      </c>
      <c r="T19" s="13" t="s">
        <v>1547</v>
      </c>
      <c r="U19" s="12" t="str">
        <f t="shared" si="0"/>
        <v>CM Open</v>
      </c>
      <c r="V19" s="12" t="str">
        <f t="shared" si="1"/>
        <v>SUKIMAN Zamhuri</v>
      </c>
      <c r="W19" s="13" t="str">
        <f t="shared" si="2"/>
        <v/>
      </c>
    </row>
    <row r="20" spans="1:23" ht="14.4" customHeight="1" x14ac:dyDescent="0.3">
      <c r="A20" s="13">
        <v>44530</v>
      </c>
      <c r="B20" s="12" t="s">
        <v>1867</v>
      </c>
      <c r="C20" s="12" t="s">
        <v>1690</v>
      </c>
      <c r="D20" s="5" t="s">
        <v>1675</v>
      </c>
      <c r="E20" s="12">
        <v>512</v>
      </c>
      <c r="F20" s="11" t="s">
        <v>1777</v>
      </c>
      <c r="G20" s="12"/>
      <c r="H20" s="12" t="s">
        <v>11</v>
      </c>
      <c r="I20" s="14" t="s">
        <v>1868</v>
      </c>
      <c r="J20" s="12" t="s">
        <v>1574</v>
      </c>
      <c r="K20" s="12" t="str">
        <f t="shared" si="3"/>
        <v>Closed</v>
      </c>
      <c r="L20" s="26">
        <v>44564</v>
      </c>
      <c r="M20" s="12"/>
      <c r="N20" s="12" t="s">
        <v>2528</v>
      </c>
      <c r="O20" s="12"/>
      <c r="P20" s="12" t="s">
        <v>3790</v>
      </c>
      <c r="Q20" s="12"/>
      <c r="R20" s="12"/>
      <c r="S20" s="12"/>
      <c r="T20" s="12"/>
      <c r="U20" s="12" t="str">
        <f t="shared" si="0"/>
        <v>NFF</v>
      </c>
      <c r="V20" s="12" t="str">
        <f t="shared" si="1"/>
        <v>FIRDUS Ahmad</v>
      </c>
      <c r="W20" s="13">
        <f t="shared" si="2"/>
        <v>44564</v>
      </c>
    </row>
    <row r="21" spans="1:23" ht="14.4" customHeight="1" x14ac:dyDescent="0.3">
      <c r="A21" s="13">
        <v>44536</v>
      </c>
      <c r="B21" s="12" t="s">
        <v>1948</v>
      </c>
      <c r="C21" s="12" t="s">
        <v>1542</v>
      </c>
      <c r="D21" s="5" t="s">
        <v>1949</v>
      </c>
      <c r="E21" s="12">
        <v>503</v>
      </c>
      <c r="F21" s="11" t="s">
        <v>1950</v>
      </c>
      <c r="G21" s="12" t="s">
        <v>7</v>
      </c>
      <c r="H21" s="12" t="s">
        <v>9</v>
      </c>
      <c r="I21" s="14"/>
      <c r="J21" s="12" t="s">
        <v>1545</v>
      </c>
      <c r="K21" s="12" t="str">
        <f t="shared" si="3"/>
        <v>Closed</v>
      </c>
      <c r="L21" s="26">
        <v>44551</v>
      </c>
      <c r="M21" s="12" t="s">
        <v>334</v>
      </c>
      <c r="N21" s="12" t="s">
        <v>2448</v>
      </c>
      <c r="O21" s="12"/>
      <c r="P21" s="12" t="s">
        <v>3790</v>
      </c>
      <c r="Q21" s="12"/>
      <c r="R21" s="12" t="s">
        <v>1545</v>
      </c>
      <c r="S21" s="12"/>
      <c r="T21" s="13" t="s">
        <v>1547</v>
      </c>
      <c r="U21" s="12" t="str">
        <f t="shared" si="0"/>
        <v>Corrected</v>
      </c>
      <c r="V21" s="12" t="str">
        <f t="shared" si="1"/>
        <v>KHAN Jahan</v>
      </c>
      <c r="W21" s="13">
        <f t="shared" si="2"/>
        <v>44551</v>
      </c>
    </row>
    <row r="22" spans="1:23" ht="14.4" customHeight="1" x14ac:dyDescent="0.3">
      <c r="A22" s="13">
        <v>44536</v>
      </c>
      <c r="B22" s="12" t="s">
        <v>1951</v>
      </c>
      <c r="C22" s="12" t="s">
        <v>1542</v>
      </c>
      <c r="D22" s="5" t="s">
        <v>1949</v>
      </c>
      <c r="E22" s="12">
        <v>503</v>
      </c>
      <c r="F22" s="11" t="s">
        <v>1952</v>
      </c>
      <c r="G22" s="12" t="s">
        <v>7</v>
      </c>
      <c r="H22" s="12" t="s">
        <v>11</v>
      </c>
      <c r="I22" s="14"/>
      <c r="J22" s="12" t="s">
        <v>1609</v>
      </c>
      <c r="K22" s="12" t="str">
        <f t="shared" si="3"/>
        <v>Open</v>
      </c>
      <c r="L22" s="26"/>
      <c r="M22" s="12" t="s">
        <v>456</v>
      </c>
      <c r="N22" s="12" t="s">
        <v>1652</v>
      </c>
      <c r="O22" s="12"/>
      <c r="P22" s="12" t="s">
        <v>3790</v>
      </c>
      <c r="Q22" s="12"/>
      <c r="R22" s="12" t="s">
        <v>5</v>
      </c>
      <c r="S22" s="12" t="s">
        <v>3</v>
      </c>
      <c r="T22" s="12"/>
      <c r="U22" s="12" t="str">
        <f t="shared" si="0"/>
        <v>No Material</v>
      </c>
      <c r="V22" s="12" t="str">
        <f t="shared" si="1"/>
        <v>SUKIMAN Zamhuri</v>
      </c>
      <c r="W22" s="13" t="str">
        <f t="shared" si="2"/>
        <v/>
      </c>
    </row>
    <row r="23" spans="1:23" ht="14.4" customHeight="1" x14ac:dyDescent="0.3">
      <c r="A23" s="13">
        <v>44536</v>
      </c>
      <c r="B23" s="12" t="s">
        <v>1958</v>
      </c>
      <c r="C23" s="12" t="s">
        <v>1542</v>
      </c>
      <c r="D23" s="5" t="s">
        <v>1675</v>
      </c>
      <c r="E23" s="12">
        <v>502</v>
      </c>
      <c r="F23" s="11" t="s">
        <v>1959</v>
      </c>
      <c r="G23" s="12" t="s">
        <v>7</v>
      </c>
      <c r="H23" s="12" t="s">
        <v>9</v>
      </c>
      <c r="I23" s="14" t="s">
        <v>1960</v>
      </c>
      <c r="J23" s="12" t="s">
        <v>1609</v>
      </c>
      <c r="K23" s="12" t="str">
        <f t="shared" si="3"/>
        <v>Open</v>
      </c>
      <c r="L23" s="26"/>
      <c r="M23" s="12" t="s">
        <v>373</v>
      </c>
      <c r="N23" s="12" t="s">
        <v>1652</v>
      </c>
      <c r="O23" s="12"/>
      <c r="P23" s="12" t="s">
        <v>3790</v>
      </c>
      <c r="Q23" s="12"/>
      <c r="R23" s="12" t="s">
        <v>5</v>
      </c>
      <c r="S23" s="12" t="s">
        <v>3</v>
      </c>
      <c r="T23" s="12"/>
      <c r="U23" s="12" t="str">
        <f t="shared" si="0"/>
        <v>No Material</v>
      </c>
      <c r="V23" s="12" t="str">
        <f t="shared" si="1"/>
        <v>SUKIMAN Zamhuri</v>
      </c>
      <c r="W23" s="13" t="str">
        <f t="shared" si="2"/>
        <v/>
      </c>
    </row>
    <row r="24" spans="1:23" ht="14.4" customHeight="1" x14ac:dyDescent="0.3">
      <c r="A24" s="13">
        <v>44538</v>
      </c>
      <c r="B24" s="12" t="s">
        <v>2037</v>
      </c>
      <c r="C24" s="12" t="s">
        <v>1542</v>
      </c>
      <c r="D24" s="5" t="s">
        <v>2038</v>
      </c>
      <c r="E24" s="12">
        <v>507</v>
      </c>
      <c r="F24" s="11" t="s">
        <v>2039</v>
      </c>
      <c r="G24" s="12" t="s">
        <v>7</v>
      </c>
      <c r="H24" s="12" t="s">
        <v>9</v>
      </c>
      <c r="I24" s="14"/>
      <c r="J24" s="12" t="s">
        <v>1545</v>
      </c>
      <c r="K24" s="12" t="str">
        <f t="shared" si="3"/>
        <v>Closed</v>
      </c>
      <c r="L24" s="26">
        <v>44551</v>
      </c>
      <c r="M24" s="12" t="s">
        <v>407</v>
      </c>
      <c r="N24" s="12" t="s">
        <v>3216</v>
      </c>
      <c r="O24" s="12"/>
      <c r="P24" s="12" t="s">
        <v>3790</v>
      </c>
      <c r="Q24" s="12"/>
      <c r="R24" s="12"/>
      <c r="S24" s="12"/>
      <c r="T24" s="12"/>
      <c r="U24" s="12" t="str">
        <f t="shared" si="0"/>
        <v>Corrected</v>
      </c>
      <c r="V24" s="12" t="str">
        <f t="shared" si="1"/>
        <v>KHAN Jahan</v>
      </c>
      <c r="W24" s="13">
        <f t="shared" si="2"/>
        <v>44551</v>
      </c>
    </row>
    <row r="25" spans="1:23" ht="14.4" customHeight="1" x14ac:dyDescent="0.3">
      <c r="A25" s="13">
        <v>44538</v>
      </c>
      <c r="B25" s="12" t="s">
        <v>2047</v>
      </c>
      <c r="C25" s="12" t="s">
        <v>1542</v>
      </c>
      <c r="D25" s="5" t="s">
        <v>2014</v>
      </c>
      <c r="E25" s="12">
        <v>502</v>
      </c>
      <c r="F25" s="11" t="s">
        <v>2048</v>
      </c>
      <c r="G25" s="12" t="s">
        <v>7</v>
      </c>
      <c r="H25" s="12" t="s">
        <v>19</v>
      </c>
      <c r="I25" s="14" t="s">
        <v>2049</v>
      </c>
      <c r="J25" s="12" t="s">
        <v>1609</v>
      </c>
      <c r="K25" s="12" t="str">
        <f t="shared" si="3"/>
        <v>Open</v>
      </c>
      <c r="L25" s="26"/>
      <c r="M25" s="12" t="s">
        <v>484</v>
      </c>
      <c r="N25" s="12" t="s">
        <v>1652</v>
      </c>
      <c r="O25" s="12"/>
      <c r="P25" s="12" t="s">
        <v>3790</v>
      </c>
      <c r="Q25" s="12"/>
      <c r="R25" s="12" t="s">
        <v>5</v>
      </c>
      <c r="S25" s="12" t="s">
        <v>3</v>
      </c>
      <c r="T25" s="13" t="s">
        <v>1547</v>
      </c>
      <c r="U25" s="12" t="str">
        <f t="shared" si="0"/>
        <v>No Material</v>
      </c>
      <c r="V25" s="12" t="str">
        <f t="shared" si="1"/>
        <v>SUKIMAN Zamhuri</v>
      </c>
      <c r="W25" s="13" t="str">
        <f t="shared" si="2"/>
        <v/>
      </c>
    </row>
    <row r="26" spans="1:23" ht="14.4" customHeight="1" x14ac:dyDescent="0.3">
      <c r="A26" s="13">
        <v>44538</v>
      </c>
      <c r="B26" s="12" t="s">
        <v>2050</v>
      </c>
      <c r="C26" s="12" t="s">
        <v>1542</v>
      </c>
      <c r="D26" s="5" t="s">
        <v>2051</v>
      </c>
      <c r="E26" s="12">
        <v>502</v>
      </c>
      <c r="F26" s="11" t="s">
        <v>2052</v>
      </c>
      <c r="G26" s="12" t="s">
        <v>7</v>
      </c>
      <c r="H26" s="12" t="s">
        <v>19</v>
      </c>
      <c r="I26" s="14" t="s">
        <v>2053</v>
      </c>
      <c r="J26" s="12" t="s">
        <v>1609</v>
      </c>
      <c r="K26" s="12" t="str">
        <f t="shared" si="3"/>
        <v>Open</v>
      </c>
      <c r="L26" s="26"/>
      <c r="M26" s="12" t="s">
        <v>373</v>
      </c>
      <c r="N26" s="12" t="s">
        <v>1652</v>
      </c>
      <c r="O26" s="12"/>
      <c r="P26" s="12" t="s">
        <v>3790</v>
      </c>
      <c r="Q26" s="12"/>
      <c r="R26" s="12" t="s">
        <v>5</v>
      </c>
      <c r="S26" s="12" t="s">
        <v>3</v>
      </c>
      <c r="T26" s="13" t="s">
        <v>1547</v>
      </c>
      <c r="U26" s="12" t="str">
        <f t="shared" si="0"/>
        <v>No Material</v>
      </c>
      <c r="V26" s="12" t="str">
        <f t="shared" si="1"/>
        <v>SUKIMAN Zamhuri</v>
      </c>
      <c r="W26" s="13" t="str">
        <f t="shared" si="2"/>
        <v/>
      </c>
    </row>
    <row r="27" spans="1:23" ht="14.4" customHeight="1" x14ac:dyDescent="0.3">
      <c r="A27" s="13">
        <v>44539</v>
      </c>
      <c r="B27" s="12" t="s">
        <v>2071</v>
      </c>
      <c r="C27" s="12" t="s">
        <v>1542</v>
      </c>
      <c r="D27" s="5" t="s">
        <v>2072</v>
      </c>
      <c r="E27" s="12">
        <v>512</v>
      </c>
      <c r="F27" s="11" t="s">
        <v>2073</v>
      </c>
      <c r="G27" s="12" t="s">
        <v>7</v>
      </c>
      <c r="H27" s="12" t="s">
        <v>9</v>
      </c>
      <c r="I27" s="14"/>
      <c r="J27" s="12" t="s">
        <v>1609</v>
      </c>
      <c r="K27" s="12" t="str">
        <f t="shared" si="3"/>
        <v>Open</v>
      </c>
      <c r="L27" s="26"/>
      <c r="M27" s="12" t="s">
        <v>447</v>
      </c>
      <c r="N27" s="12" t="s">
        <v>3465</v>
      </c>
      <c r="O27" s="12"/>
      <c r="P27" s="12" t="s">
        <v>3790</v>
      </c>
      <c r="Q27" s="12"/>
      <c r="R27" s="12" t="s">
        <v>3566</v>
      </c>
      <c r="S27" s="12" t="s">
        <v>3</v>
      </c>
      <c r="T27" s="12"/>
      <c r="U27" s="12" t="str">
        <f t="shared" si="0"/>
        <v>CM Open</v>
      </c>
      <c r="V27" s="12" t="str">
        <f t="shared" si="1"/>
        <v>SUKIMAN Zamhuri</v>
      </c>
      <c r="W27" s="13" t="str">
        <f t="shared" si="2"/>
        <v/>
      </c>
    </row>
    <row r="28" spans="1:23" ht="14.4" customHeight="1" x14ac:dyDescent="0.3">
      <c r="A28" s="13">
        <v>44539</v>
      </c>
      <c r="B28" s="12" t="s">
        <v>2074</v>
      </c>
      <c r="C28" s="12" t="s">
        <v>1542</v>
      </c>
      <c r="D28" s="5" t="s">
        <v>2075</v>
      </c>
      <c r="E28" s="12">
        <v>513</v>
      </c>
      <c r="F28" s="11" t="s">
        <v>2076</v>
      </c>
      <c r="G28" s="12" t="s">
        <v>1</v>
      </c>
      <c r="H28" s="12" t="s">
        <v>19</v>
      </c>
      <c r="I28" s="14"/>
      <c r="J28" s="12" t="s">
        <v>1545</v>
      </c>
      <c r="K28" s="12" t="str">
        <f t="shared" si="3"/>
        <v>Closed</v>
      </c>
      <c r="L28" s="26">
        <v>44551</v>
      </c>
      <c r="M28" s="12" t="s">
        <v>252</v>
      </c>
      <c r="N28" s="12" t="s">
        <v>4430</v>
      </c>
      <c r="O28" s="12"/>
      <c r="P28" s="12" t="s">
        <v>3790</v>
      </c>
      <c r="Q28" s="12"/>
      <c r="R28" s="12"/>
      <c r="S28" s="12"/>
      <c r="T28" s="12"/>
      <c r="U28" s="12" t="str">
        <f t="shared" si="0"/>
        <v>Corrected</v>
      </c>
      <c r="V28" s="12" t="str">
        <f t="shared" si="1"/>
        <v>DAOUDI Mohamed</v>
      </c>
      <c r="W28" s="13">
        <f t="shared" si="2"/>
        <v>44551</v>
      </c>
    </row>
    <row r="29" spans="1:23" ht="14.4" customHeight="1" x14ac:dyDescent="0.3">
      <c r="A29" s="13">
        <v>44539</v>
      </c>
      <c r="B29" s="12" t="s">
        <v>2084</v>
      </c>
      <c r="C29" s="12" t="s">
        <v>1542</v>
      </c>
      <c r="D29" s="5" t="s">
        <v>2072</v>
      </c>
      <c r="E29" s="12">
        <v>512</v>
      </c>
      <c r="F29" s="11" t="s">
        <v>2085</v>
      </c>
      <c r="G29" s="12"/>
      <c r="H29" s="12" t="s">
        <v>9</v>
      </c>
      <c r="I29" s="14" t="s">
        <v>2086</v>
      </c>
      <c r="J29" s="12" t="s">
        <v>1574</v>
      </c>
      <c r="K29" s="12" t="str">
        <f t="shared" si="3"/>
        <v>Closed</v>
      </c>
      <c r="L29" s="26">
        <v>44565</v>
      </c>
      <c r="M29" s="12"/>
      <c r="N29" s="12" t="s">
        <v>4428</v>
      </c>
      <c r="O29" s="12"/>
      <c r="P29" s="12" t="s">
        <v>3790</v>
      </c>
      <c r="Q29" s="12"/>
      <c r="R29" s="12"/>
      <c r="S29" s="12"/>
      <c r="T29" s="12"/>
      <c r="U29" s="12" t="str">
        <f t="shared" si="0"/>
        <v>NFF</v>
      </c>
      <c r="V29" s="12" t="str">
        <f t="shared" si="1"/>
        <v>KHAN Jahan</v>
      </c>
      <c r="W29" s="13">
        <f t="shared" si="2"/>
        <v>44565</v>
      </c>
    </row>
    <row r="30" spans="1:23" ht="14.4" customHeight="1" x14ac:dyDescent="0.3">
      <c r="A30" s="13">
        <v>44543</v>
      </c>
      <c r="B30" s="12" t="s">
        <v>2117</v>
      </c>
      <c r="C30" s="12" t="s">
        <v>1542</v>
      </c>
      <c r="D30" s="5" t="s">
        <v>2118</v>
      </c>
      <c r="E30" s="12">
        <v>515</v>
      </c>
      <c r="F30" s="11" t="s">
        <v>2119</v>
      </c>
      <c r="G30" s="12"/>
      <c r="H30" s="12" t="s">
        <v>19</v>
      </c>
      <c r="I30" s="14" t="s">
        <v>2120</v>
      </c>
      <c r="J30" s="12" t="s">
        <v>1545</v>
      </c>
      <c r="K30" s="12" t="str">
        <f t="shared" si="3"/>
        <v>Closed</v>
      </c>
      <c r="L30" s="26">
        <v>44558</v>
      </c>
      <c r="M30" s="12"/>
      <c r="N30" s="12" t="s">
        <v>4430</v>
      </c>
      <c r="O30" s="12"/>
      <c r="P30" s="12" t="s">
        <v>3790</v>
      </c>
      <c r="Q30" s="12"/>
      <c r="R30" s="12"/>
      <c r="S30" s="12"/>
      <c r="T30" s="12"/>
      <c r="U30" s="12" t="str">
        <f t="shared" si="0"/>
        <v>Corrected</v>
      </c>
      <c r="V30" s="12" t="str">
        <f t="shared" si="1"/>
        <v>DAOUDI Mohamed</v>
      </c>
      <c r="W30" s="13">
        <f t="shared" si="2"/>
        <v>44558</v>
      </c>
    </row>
    <row r="31" spans="1:23" ht="14.4" customHeight="1" x14ac:dyDescent="0.3">
      <c r="A31" s="13">
        <v>44543</v>
      </c>
      <c r="B31" s="12" t="s">
        <v>2126</v>
      </c>
      <c r="C31" s="12" t="s">
        <v>1542</v>
      </c>
      <c r="D31" s="5" t="s">
        <v>2118</v>
      </c>
      <c r="E31" s="12">
        <v>508</v>
      </c>
      <c r="F31" s="11" t="s">
        <v>2127</v>
      </c>
      <c r="G31" s="12" t="s">
        <v>7</v>
      </c>
      <c r="H31" s="12" t="s">
        <v>19</v>
      </c>
      <c r="I31" s="14" t="s">
        <v>2128</v>
      </c>
      <c r="J31" s="12" t="s">
        <v>1609</v>
      </c>
      <c r="K31" s="12" t="str">
        <f t="shared" si="3"/>
        <v>Open</v>
      </c>
      <c r="L31" s="26"/>
      <c r="M31" s="12" t="s">
        <v>466</v>
      </c>
      <c r="N31" s="12" t="s">
        <v>1652</v>
      </c>
      <c r="O31" s="12"/>
      <c r="P31" s="12" t="s">
        <v>3790</v>
      </c>
      <c r="Q31" s="12"/>
      <c r="R31" s="12" t="s">
        <v>1545</v>
      </c>
      <c r="S31" s="12" t="s">
        <v>22</v>
      </c>
      <c r="T31" s="13">
        <v>44635</v>
      </c>
      <c r="U31" s="12" t="str">
        <f t="shared" si="0"/>
        <v>Corrected</v>
      </c>
      <c r="V31" s="12" t="str">
        <f t="shared" si="1"/>
        <v>ARUMAI NAYAGAM Anish</v>
      </c>
      <c r="W31" s="13">
        <f t="shared" si="2"/>
        <v>44635</v>
      </c>
    </row>
    <row r="32" spans="1:23" ht="14.4" customHeight="1" x14ac:dyDescent="0.3">
      <c r="A32" s="13">
        <v>44543</v>
      </c>
      <c r="B32" s="12" t="s">
        <v>2129</v>
      </c>
      <c r="C32" s="12" t="s">
        <v>1542</v>
      </c>
      <c r="D32" s="5" t="s">
        <v>2118</v>
      </c>
      <c r="E32" s="12">
        <v>515</v>
      </c>
      <c r="F32" s="11" t="s">
        <v>2130</v>
      </c>
      <c r="G32" s="12" t="s">
        <v>7</v>
      </c>
      <c r="H32" s="12" t="s">
        <v>19</v>
      </c>
      <c r="I32" s="14" t="s">
        <v>2131</v>
      </c>
      <c r="J32" s="12" t="s">
        <v>1609</v>
      </c>
      <c r="K32" s="12" t="str">
        <f t="shared" si="3"/>
        <v>Open</v>
      </c>
      <c r="L32" s="26"/>
      <c r="M32" s="12" t="s">
        <v>470</v>
      </c>
      <c r="N32" s="12" t="s">
        <v>1652</v>
      </c>
      <c r="O32" s="12"/>
      <c r="P32" s="12" t="s">
        <v>3790</v>
      </c>
      <c r="Q32" s="12"/>
      <c r="R32" s="12" t="s">
        <v>5</v>
      </c>
      <c r="S32" s="12" t="s">
        <v>3</v>
      </c>
      <c r="T32" s="12"/>
      <c r="U32" s="12" t="str">
        <f t="shared" si="0"/>
        <v>No Material</v>
      </c>
      <c r="V32" s="12" t="str">
        <f t="shared" si="1"/>
        <v>SUKIMAN Zamhuri</v>
      </c>
      <c r="W32" s="13" t="str">
        <f t="shared" si="2"/>
        <v/>
      </c>
    </row>
    <row r="33" spans="1:23" ht="14.4" customHeight="1" x14ac:dyDescent="0.3">
      <c r="A33" s="13">
        <v>44545</v>
      </c>
      <c r="B33" s="12" t="s">
        <v>2177</v>
      </c>
      <c r="C33" s="12" t="s">
        <v>1542</v>
      </c>
      <c r="D33" s="5" t="s">
        <v>2178</v>
      </c>
      <c r="E33" s="12">
        <v>519</v>
      </c>
      <c r="F33" s="11" t="s">
        <v>2179</v>
      </c>
      <c r="G33" s="12" t="s">
        <v>7</v>
      </c>
      <c r="H33" s="12" t="s">
        <v>19</v>
      </c>
      <c r="I33" s="14"/>
      <c r="J33" s="12" t="s">
        <v>1609</v>
      </c>
      <c r="K33" s="12" t="str">
        <f t="shared" si="3"/>
        <v>Open</v>
      </c>
      <c r="L33" s="26"/>
      <c r="M33" s="12" t="s">
        <v>2180</v>
      </c>
      <c r="N33" s="12" t="s">
        <v>1652</v>
      </c>
      <c r="O33" s="12"/>
      <c r="P33" s="12" t="s">
        <v>3790</v>
      </c>
      <c r="Q33" s="12"/>
      <c r="R33" s="12" t="s">
        <v>5</v>
      </c>
      <c r="S33" s="12" t="s">
        <v>3</v>
      </c>
      <c r="T33" s="12"/>
      <c r="U33" s="12" t="str">
        <f t="shared" si="0"/>
        <v>No Material</v>
      </c>
      <c r="V33" s="12" t="str">
        <f t="shared" si="1"/>
        <v>SUKIMAN Zamhuri</v>
      </c>
      <c r="W33" s="13" t="str">
        <f t="shared" si="2"/>
        <v/>
      </c>
    </row>
    <row r="34" spans="1:23" ht="14.4" customHeight="1" x14ac:dyDescent="0.3">
      <c r="A34" s="13">
        <v>44546</v>
      </c>
      <c r="B34" s="12" t="s">
        <v>2188</v>
      </c>
      <c r="C34" s="12" t="s">
        <v>1542</v>
      </c>
      <c r="D34" s="5" t="s">
        <v>2189</v>
      </c>
      <c r="E34" s="12">
        <v>501</v>
      </c>
      <c r="F34" s="11" t="s">
        <v>2190</v>
      </c>
      <c r="G34" s="12" t="s">
        <v>7</v>
      </c>
      <c r="H34" s="12" t="s">
        <v>9</v>
      </c>
      <c r="I34" s="14"/>
      <c r="J34" s="12" t="s">
        <v>1609</v>
      </c>
      <c r="K34" s="12" t="str">
        <f t="shared" si="3"/>
        <v>Open</v>
      </c>
      <c r="L34" s="26"/>
      <c r="M34" s="12" t="s">
        <v>1533</v>
      </c>
      <c r="N34" s="12" t="s">
        <v>2482</v>
      </c>
      <c r="O34" s="12" t="s">
        <v>1675</v>
      </c>
      <c r="P34" s="12" t="s">
        <v>3790</v>
      </c>
      <c r="Q34" s="12"/>
      <c r="R34" s="12" t="s">
        <v>1545</v>
      </c>
      <c r="S34" s="12" t="s">
        <v>6</v>
      </c>
      <c r="T34" s="13">
        <v>44623</v>
      </c>
      <c r="U34" s="12" t="str">
        <f t="shared" si="0"/>
        <v>Corrected</v>
      </c>
      <c r="V34" s="12" t="str">
        <f t="shared" si="1"/>
        <v>MUHAMMAD ALIF BIN ALI</v>
      </c>
      <c r="W34" s="13">
        <f t="shared" si="2"/>
        <v>44623</v>
      </c>
    </row>
    <row r="35" spans="1:23" ht="14.4" customHeight="1" x14ac:dyDescent="0.3">
      <c r="A35" s="13">
        <v>44546</v>
      </c>
      <c r="B35" s="12" t="s">
        <v>2191</v>
      </c>
      <c r="C35" s="12" t="s">
        <v>1542</v>
      </c>
      <c r="D35" s="5" t="s">
        <v>2189</v>
      </c>
      <c r="E35" s="12">
        <v>501</v>
      </c>
      <c r="F35" s="11" t="s">
        <v>2192</v>
      </c>
      <c r="G35" s="12" t="s">
        <v>7</v>
      </c>
      <c r="H35" s="12" t="s">
        <v>19</v>
      </c>
      <c r="I35" s="14"/>
      <c r="J35" s="12" t="s">
        <v>1545</v>
      </c>
      <c r="K35" s="12" t="str">
        <f t="shared" si="3"/>
        <v>Closed</v>
      </c>
      <c r="L35" s="26">
        <v>44551</v>
      </c>
      <c r="M35" s="12" t="s">
        <v>240</v>
      </c>
      <c r="N35" s="12" t="s">
        <v>2482</v>
      </c>
      <c r="O35" s="12"/>
      <c r="P35" s="12" t="s">
        <v>3790</v>
      </c>
      <c r="Q35" s="12"/>
      <c r="R35" s="12"/>
      <c r="S35" s="12"/>
      <c r="T35" s="13" t="s">
        <v>1547</v>
      </c>
      <c r="U35" s="12" t="str">
        <f t="shared" si="0"/>
        <v>Corrected</v>
      </c>
      <c r="V35" s="12" t="str">
        <f t="shared" si="1"/>
        <v>DAOUDI Mohamed</v>
      </c>
      <c r="W35" s="13">
        <f t="shared" si="2"/>
        <v>44551</v>
      </c>
    </row>
    <row r="36" spans="1:23" ht="14.4" customHeight="1" x14ac:dyDescent="0.3">
      <c r="A36" s="13">
        <v>44546</v>
      </c>
      <c r="B36" s="12" t="s">
        <v>2193</v>
      </c>
      <c r="C36" s="12" t="s">
        <v>1542</v>
      </c>
      <c r="D36" s="5" t="s">
        <v>2189</v>
      </c>
      <c r="E36" s="12">
        <v>501</v>
      </c>
      <c r="F36" s="11" t="s">
        <v>2194</v>
      </c>
      <c r="G36" s="12"/>
      <c r="H36" s="12" t="s">
        <v>9</v>
      </c>
      <c r="I36" s="14"/>
      <c r="J36" s="12" t="s">
        <v>1574</v>
      </c>
      <c r="K36" s="12" t="str">
        <f t="shared" si="3"/>
        <v>Closed</v>
      </c>
      <c r="L36" s="26">
        <v>44553</v>
      </c>
      <c r="M36" s="12"/>
      <c r="N36" s="12" t="s">
        <v>2448</v>
      </c>
      <c r="O36" s="12"/>
      <c r="P36" s="12" t="s">
        <v>3790</v>
      </c>
      <c r="Q36" s="12"/>
      <c r="R36" s="12"/>
      <c r="S36" s="12"/>
      <c r="T36" s="13" t="s">
        <v>1547</v>
      </c>
      <c r="U36" s="12" t="str">
        <f t="shared" si="0"/>
        <v>NFF</v>
      </c>
      <c r="V36" s="12" t="str">
        <f t="shared" si="1"/>
        <v>KHAN Jahan</v>
      </c>
      <c r="W36" s="13">
        <f t="shared" si="2"/>
        <v>44553</v>
      </c>
    </row>
    <row r="37" spans="1:23" ht="14.4" customHeight="1" x14ac:dyDescent="0.3">
      <c r="A37" s="13">
        <v>44552</v>
      </c>
      <c r="B37" s="12" t="s">
        <v>2276</v>
      </c>
      <c r="C37" s="12" t="s">
        <v>1542</v>
      </c>
      <c r="D37" s="5" t="s">
        <v>2277</v>
      </c>
      <c r="E37" s="12">
        <v>503</v>
      </c>
      <c r="F37" s="11" t="s">
        <v>2278</v>
      </c>
      <c r="G37" s="12"/>
      <c r="H37" s="12" t="s">
        <v>11</v>
      </c>
      <c r="I37" s="14" t="s">
        <v>2279</v>
      </c>
      <c r="J37" s="12" t="s">
        <v>1545</v>
      </c>
      <c r="K37" s="12" t="str">
        <f t="shared" si="3"/>
        <v>Closed</v>
      </c>
      <c r="L37" s="26">
        <v>44551</v>
      </c>
      <c r="M37" s="12"/>
      <c r="N37" s="12" t="s">
        <v>4430</v>
      </c>
      <c r="O37" s="12"/>
      <c r="P37" s="12" t="s">
        <v>3790</v>
      </c>
      <c r="Q37" s="12"/>
      <c r="R37" s="12"/>
      <c r="S37" s="12"/>
      <c r="T37" s="12"/>
      <c r="U37" s="12" t="str">
        <f t="shared" si="0"/>
        <v>Corrected</v>
      </c>
      <c r="V37" s="12" t="str">
        <f t="shared" si="1"/>
        <v>FIRDUS Ahmad</v>
      </c>
      <c r="W37" s="13">
        <f t="shared" si="2"/>
        <v>44551</v>
      </c>
    </row>
    <row r="38" spans="1:23" ht="14.4" customHeight="1" x14ac:dyDescent="0.3">
      <c r="A38" s="13">
        <v>44552</v>
      </c>
      <c r="B38" s="12" t="s">
        <v>2282</v>
      </c>
      <c r="C38" s="12" t="s">
        <v>1542</v>
      </c>
      <c r="D38" s="5" t="s">
        <v>2283</v>
      </c>
      <c r="E38" s="12">
        <v>513</v>
      </c>
      <c r="F38" s="11" t="s">
        <v>2284</v>
      </c>
      <c r="G38" s="12" t="s">
        <v>1</v>
      </c>
      <c r="H38" s="12" t="s">
        <v>11</v>
      </c>
      <c r="I38" s="14"/>
      <c r="J38" s="12" t="s">
        <v>1545</v>
      </c>
      <c r="K38" s="12" t="str">
        <f t="shared" si="3"/>
        <v>Closed</v>
      </c>
      <c r="L38" s="26">
        <v>44551</v>
      </c>
      <c r="M38" s="12" t="s">
        <v>252</v>
      </c>
      <c r="N38" s="12" t="s">
        <v>4430</v>
      </c>
      <c r="O38" s="12"/>
      <c r="P38" s="12" t="s">
        <v>3790</v>
      </c>
      <c r="Q38" s="12"/>
      <c r="R38" s="12"/>
      <c r="S38" s="12"/>
      <c r="T38" s="12"/>
      <c r="U38" s="12" t="str">
        <f t="shared" si="0"/>
        <v>Corrected</v>
      </c>
      <c r="V38" s="12" t="str">
        <f t="shared" si="1"/>
        <v>FIRDUS Ahmad</v>
      </c>
      <c r="W38" s="13">
        <f t="shared" si="2"/>
        <v>44551</v>
      </c>
    </row>
    <row r="39" spans="1:23" ht="14.4" customHeight="1" x14ac:dyDescent="0.3">
      <c r="A39" s="13">
        <v>44556</v>
      </c>
      <c r="B39" s="12" t="s">
        <v>2304</v>
      </c>
      <c r="C39" s="12" t="s">
        <v>1542</v>
      </c>
      <c r="D39" s="5" t="s">
        <v>2305</v>
      </c>
      <c r="E39" s="12">
        <v>518</v>
      </c>
      <c r="F39" s="11" t="s">
        <v>2306</v>
      </c>
      <c r="G39" s="12"/>
      <c r="H39" s="12" t="s">
        <v>11</v>
      </c>
      <c r="I39" s="14" t="s">
        <v>2307</v>
      </c>
      <c r="J39" s="12" t="s">
        <v>1545</v>
      </c>
      <c r="K39" s="12" t="str">
        <f t="shared" si="3"/>
        <v>Closed</v>
      </c>
      <c r="L39" s="26">
        <v>44567</v>
      </c>
      <c r="M39" s="12"/>
      <c r="N39" s="12" t="s">
        <v>2517</v>
      </c>
      <c r="O39" s="12"/>
      <c r="P39" s="12" t="s">
        <v>3790</v>
      </c>
      <c r="Q39" s="12"/>
      <c r="R39" s="12"/>
      <c r="S39" s="12"/>
      <c r="T39" s="12"/>
      <c r="U39" s="12" t="str">
        <f t="shared" si="0"/>
        <v>Corrected</v>
      </c>
      <c r="V39" s="12" t="str">
        <f t="shared" si="1"/>
        <v>FIRDUS Ahmad</v>
      </c>
      <c r="W39" s="13">
        <f t="shared" si="2"/>
        <v>44567</v>
      </c>
    </row>
    <row r="40" spans="1:23" ht="14.4" customHeight="1" x14ac:dyDescent="0.3">
      <c r="A40" s="13">
        <v>44556</v>
      </c>
      <c r="B40" s="12" t="s">
        <v>2314</v>
      </c>
      <c r="C40" s="12" t="s">
        <v>1542</v>
      </c>
      <c r="D40" s="5" t="s">
        <v>2315</v>
      </c>
      <c r="E40" s="12">
        <v>517</v>
      </c>
      <c r="F40" s="11" t="s">
        <v>2316</v>
      </c>
      <c r="G40" s="12" t="s">
        <v>7</v>
      </c>
      <c r="H40" s="12" t="s">
        <v>19</v>
      </c>
      <c r="I40" s="14" t="s">
        <v>3597</v>
      </c>
      <c r="J40" s="12" t="s">
        <v>1609</v>
      </c>
      <c r="K40" s="12" t="str">
        <f t="shared" si="3"/>
        <v>Open</v>
      </c>
      <c r="L40" s="26"/>
      <c r="M40" s="12"/>
      <c r="N40" s="12" t="s">
        <v>1652</v>
      </c>
      <c r="O40" s="12"/>
      <c r="P40" s="12" t="s">
        <v>3790</v>
      </c>
      <c r="Q40" s="12"/>
      <c r="R40" s="12" t="s">
        <v>3566</v>
      </c>
      <c r="S40" s="12" t="s">
        <v>3</v>
      </c>
      <c r="T40" s="13" t="s">
        <v>1547</v>
      </c>
      <c r="U40" s="12" t="str">
        <f t="shared" si="0"/>
        <v>CM Open</v>
      </c>
      <c r="V40" s="12" t="str">
        <f t="shared" si="1"/>
        <v>SUKIMAN Zamhuri</v>
      </c>
      <c r="W40" s="13" t="str">
        <f t="shared" si="2"/>
        <v/>
      </c>
    </row>
    <row r="41" spans="1:23" ht="14.4" customHeight="1" x14ac:dyDescent="0.3">
      <c r="A41" s="13">
        <v>44556</v>
      </c>
      <c r="B41" s="12" t="s">
        <v>2317</v>
      </c>
      <c r="C41" s="12" t="s">
        <v>1542</v>
      </c>
      <c r="D41" s="5" t="s">
        <v>2318</v>
      </c>
      <c r="E41" s="12">
        <v>518</v>
      </c>
      <c r="F41" s="11" t="s">
        <v>2319</v>
      </c>
      <c r="G41" s="12" t="s">
        <v>7</v>
      </c>
      <c r="H41" s="12" t="s">
        <v>14</v>
      </c>
      <c r="I41" s="14" t="s">
        <v>4146</v>
      </c>
      <c r="J41" s="12" t="s">
        <v>1545</v>
      </c>
      <c r="K41" s="12" t="str">
        <f t="shared" si="3"/>
        <v>Closed</v>
      </c>
      <c r="L41" s="26">
        <v>44662</v>
      </c>
      <c r="M41" s="12"/>
      <c r="N41" s="12" t="s">
        <v>4427</v>
      </c>
      <c r="O41" s="12"/>
      <c r="P41" s="12" t="s">
        <v>3790</v>
      </c>
      <c r="Q41" s="12"/>
      <c r="R41" s="12"/>
      <c r="S41" s="12"/>
      <c r="T41" s="12"/>
      <c r="U41" s="12" t="str">
        <f t="shared" si="0"/>
        <v>Corrected</v>
      </c>
      <c r="V41" s="12" t="str">
        <f t="shared" si="1"/>
        <v>GUAN Jialin</v>
      </c>
      <c r="W41" s="13">
        <f t="shared" si="2"/>
        <v>44662</v>
      </c>
    </row>
    <row r="42" spans="1:23" ht="14.4" customHeight="1" x14ac:dyDescent="0.3">
      <c r="A42" s="13">
        <v>44558</v>
      </c>
      <c r="B42" s="12" t="s">
        <v>2351</v>
      </c>
      <c r="C42" s="12" t="s">
        <v>1542</v>
      </c>
      <c r="D42" s="5" t="s">
        <v>2352</v>
      </c>
      <c r="E42" s="12">
        <v>507</v>
      </c>
      <c r="F42" s="11" t="s">
        <v>2353</v>
      </c>
      <c r="G42" s="12"/>
      <c r="H42" s="12" t="s">
        <v>11</v>
      </c>
      <c r="I42" s="14" t="s">
        <v>2354</v>
      </c>
      <c r="J42" s="12" t="s">
        <v>1545</v>
      </c>
      <c r="K42" s="12" t="str">
        <f t="shared" si="3"/>
        <v>Closed</v>
      </c>
      <c r="L42" s="26">
        <v>44563</v>
      </c>
      <c r="M42" s="12"/>
      <c r="N42" s="12" t="s">
        <v>4449</v>
      </c>
      <c r="O42" s="12" t="s">
        <v>3417</v>
      </c>
      <c r="P42" s="12" t="s">
        <v>3790</v>
      </c>
      <c r="Q42" s="12"/>
      <c r="R42" s="12"/>
      <c r="S42" s="12"/>
      <c r="T42" s="12"/>
      <c r="U42" s="12" t="str">
        <f t="shared" si="0"/>
        <v>Corrected</v>
      </c>
      <c r="V42" s="12" t="str">
        <f t="shared" si="1"/>
        <v>FIRDUS Ahmad</v>
      </c>
      <c r="W42" s="13">
        <f t="shared" si="2"/>
        <v>44563</v>
      </c>
    </row>
    <row r="43" spans="1:23" ht="14.4" customHeight="1" x14ac:dyDescent="0.3">
      <c r="A43" s="13">
        <v>44558</v>
      </c>
      <c r="B43" s="12" t="s">
        <v>2365</v>
      </c>
      <c r="C43" s="12" t="s">
        <v>1542</v>
      </c>
      <c r="D43" s="5" t="s">
        <v>2366</v>
      </c>
      <c r="E43" s="12">
        <v>504</v>
      </c>
      <c r="F43" s="11" t="s">
        <v>480</v>
      </c>
      <c r="G43" s="12" t="s">
        <v>7</v>
      </c>
      <c r="H43" s="12" t="s">
        <v>19</v>
      </c>
      <c r="I43" s="14" t="s">
        <v>2367</v>
      </c>
      <c r="J43" s="12" t="s">
        <v>1609</v>
      </c>
      <c r="K43" s="12" t="str">
        <f t="shared" si="3"/>
        <v>Open</v>
      </c>
      <c r="L43" s="26"/>
      <c r="M43" s="12" t="s">
        <v>477</v>
      </c>
      <c r="N43" s="12" t="s">
        <v>2492</v>
      </c>
      <c r="O43" s="12"/>
      <c r="P43" s="12" t="s">
        <v>3790</v>
      </c>
      <c r="Q43" s="12"/>
      <c r="R43" s="12" t="s">
        <v>5</v>
      </c>
      <c r="S43" s="12" t="s">
        <v>3</v>
      </c>
      <c r="T43" s="12"/>
      <c r="U43" s="12" t="str">
        <f t="shared" si="0"/>
        <v>No Material</v>
      </c>
      <c r="V43" s="12" t="str">
        <f t="shared" si="1"/>
        <v>SUKIMAN Zamhuri</v>
      </c>
      <c r="W43" s="13" t="str">
        <f t="shared" si="2"/>
        <v/>
      </c>
    </row>
    <row r="44" spans="1:23" ht="14.4" customHeight="1" x14ac:dyDescent="0.3">
      <c r="A44" s="13">
        <v>44558</v>
      </c>
      <c r="B44" s="12" t="s">
        <v>2368</v>
      </c>
      <c r="C44" s="12" t="s">
        <v>1542</v>
      </c>
      <c r="D44" s="5" t="s">
        <v>2352</v>
      </c>
      <c r="E44" s="12">
        <v>507</v>
      </c>
      <c r="F44" s="11" t="s">
        <v>2369</v>
      </c>
      <c r="G44" s="12" t="s">
        <v>7</v>
      </c>
      <c r="H44" s="12" t="s">
        <v>19</v>
      </c>
      <c r="I44" s="14"/>
      <c r="J44" s="12" t="s">
        <v>1609</v>
      </c>
      <c r="K44" s="12" t="str">
        <f t="shared" si="3"/>
        <v>Open</v>
      </c>
      <c r="L44" s="26"/>
      <c r="M44" s="12" t="s">
        <v>473</v>
      </c>
      <c r="N44" s="12" t="s">
        <v>1652</v>
      </c>
      <c r="O44" s="12"/>
      <c r="P44" s="12" t="s">
        <v>3790</v>
      </c>
      <c r="Q44" s="12"/>
      <c r="R44" s="12" t="s">
        <v>5</v>
      </c>
      <c r="S44" s="12" t="s">
        <v>3</v>
      </c>
      <c r="T44" s="12"/>
      <c r="U44" s="12" t="str">
        <f t="shared" si="0"/>
        <v>No Material</v>
      </c>
      <c r="V44" s="12" t="str">
        <f t="shared" si="1"/>
        <v>SUKIMAN Zamhuri</v>
      </c>
      <c r="W44" s="13" t="str">
        <f t="shared" si="2"/>
        <v/>
      </c>
    </row>
    <row r="45" spans="1:23" ht="14.4" customHeight="1" x14ac:dyDescent="0.3">
      <c r="A45" s="13">
        <v>44558</v>
      </c>
      <c r="B45" s="12" t="s">
        <v>2377</v>
      </c>
      <c r="C45" s="12" t="s">
        <v>1542</v>
      </c>
      <c r="D45" s="5" t="s">
        <v>2378</v>
      </c>
      <c r="E45" s="12">
        <v>505</v>
      </c>
      <c r="F45" s="11" t="s">
        <v>2379</v>
      </c>
      <c r="G45" s="12" t="s">
        <v>7</v>
      </c>
      <c r="H45" s="12" t="s">
        <v>293</v>
      </c>
      <c r="I45" s="14"/>
      <c r="J45" s="12" t="s">
        <v>1582</v>
      </c>
      <c r="K45" s="12" t="str">
        <f t="shared" si="3"/>
        <v>Open</v>
      </c>
      <c r="L45" s="26"/>
      <c r="M45" s="12"/>
      <c r="N45" s="12" t="s">
        <v>4428</v>
      </c>
      <c r="O45" s="12"/>
      <c r="P45" s="12" t="s">
        <v>3790</v>
      </c>
      <c r="Q45" s="12"/>
      <c r="R45" s="12"/>
      <c r="S45" s="12"/>
      <c r="T45" s="12"/>
      <c r="U45" s="12" t="str">
        <f t="shared" si="0"/>
        <v>Not Started</v>
      </c>
      <c r="V45" s="12" t="str">
        <f t="shared" si="1"/>
        <v>RASHEED Imran</v>
      </c>
      <c r="W45" s="13" t="str">
        <f t="shared" si="2"/>
        <v/>
      </c>
    </row>
    <row r="46" spans="1:23" ht="14.4" customHeight="1" x14ac:dyDescent="0.3">
      <c r="A46" s="13">
        <v>44558</v>
      </c>
      <c r="B46" s="12" t="s">
        <v>2380</v>
      </c>
      <c r="C46" s="12" t="s">
        <v>1542</v>
      </c>
      <c r="D46" s="5" t="s">
        <v>2378</v>
      </c>
      <c r="E46" s="12">
        <v>505</v>
      </c>
      <c r="F46" s="11" t="s">
        <v>2381</v>
      </c>
      <c r="G46" s="12" t="s">
        <v>7</v>
      </c>
      <c r="H46" s="12" t="s">
        <v>14</v>
      </c>
      <c r="I46" s="14" t="s">
        <v>3677</v>
      </c>
      <c r="J46" s="12" t="s">
        <v>1609</v>
      </c>
      <c r="K46" s="12" t="str">
        <f t="shared" si="3"/>
        <v>Open</v>
      </c>
      <c r="L46" s="26"/>
      <c r="M46" s="12"/>
      <c r="N46" s="12" t="s">
        <v>4427</v>
      </c>
      <c r="O46" s="12"/>
      <c r="P46" s="12" t="s">
        <v>3790</v>
      </c>
      <c r="Q46" s="12"/>
      <c r="R46" s="12" t="s">
        <v>3566</v>
      </c>
      <c r="S46" s="12" t="s">
        <v>3</v>
      </c>
      <c r="T46" s="12"/>
      <c r="U46" s="12" t="str">
        <f t="shared" si="0"/>
        <v>CM Open</v>
      </c>
      <c r="V46" s="12" t="str">
        <f t="shared" si="1"/>
        <v>SUKIMAN Zamhuri</v>
      </c>
      <c r="W46" s="13" t="str">
        <f t="shared" si="2"/>
        <v/>
      </c>
    </row>
    <row r="47" spans="1:23" ht="14.4" customHeight="1" x14ac:dyDescent="0.3">
      <c r="A47" s="13">
        <v>44558</v>
      </c>
      <c r="B47" s="12" t="s">
        <v>2386</v>
      </c>
      <c r="C47" s="12" t="s">
        <v>1542</v>
      </c>
      <c r="D47" s="5" t="s">
        <v>2387</v>
      </c>
      <c r="E47" s="12">
        <v>508</v>
      </c>
      <c r="F47" s="11" t="s">
        <v>2388</v>
      </c>
      <c r="G47" s="12" t="s">
        <v>4</v>
      </c>
      <c r="H47" s="12" t="s">
        <v>11</v>
      </c>
      <c r="I47" s="14"/>
      <c r="J47" s="12" t="s">
        <v>1545</v>
      </c>
      <c r="K47" s="12" t="str">
        <f t="shared" si="3"/>
        <v>Closed</v>
      </c>
      <c r="L47" s="26">
        <v>44602</v>
      </c>
      <c r="M47" s="12" t="s">
        <v>1476</v>
      </c>
      <c r="N47" s="12" t="s">
        <v>4428</v>
      </c>
      <c r="O47" s="12"/>
      <c r="P47" s="12" t="s">
        <v>3790</v>
      </c>
      <c r="Q47" s="12"/>
      <c r="R47" s="12"/>
      <c r="S47" s="12"/>
      <c r="T47" s="13" t="s">
        <v>1547</v>
      </c>
      <c r="U47" s="12" t="str">
        <f t="shared" si="0"/>
        <v>Corrected</v>
      </c>
      <c r="V47" s="12" t="str">
        <f t="shared" si="1"/>
        <v>FIRDUS Ahmad</v>
      </c>
      <c r="W47" s="13">
        <f t="shared" si="2"/>
        <v>44602</v>
      </c>
    </row>
    <row r="48" spans="1:23" ht="14.4" customHeight="1" x14ac:dyDescent="0.3">
      <c r="A48" s="13">
        <v>44559</v>
      </c>
      <c r="B48" s="12" t="s">
        <v>2398</v>
      </c>
      <c r="C48" s="12" t="s">
        <v>1542</v>
      </c>
      <c r="D48" s="5" t="s">
        <v>2399</v>
      </c>
      <c r="E48" s="12">
        <v>519</v>
      </c>
      <c r="F48" s="11" t="s">
        <v>2248</v>
      </c>
      <c r="G48" s="12"/>
      <c r="H48" s="12" t="s">
        <v>11</v>
      </c>
      <c r="I48" s="14" t="s">
        <v>2400</v>
      </c>
      <c r="J48" s="12" t="s">
        <v>1545</v>
      </c>
      <c r="K48" s="12" t="str">
        <f t="shared" si="3"/>
        <v>Closed</v>
      </c>
      <c r="L48" s="26">
        <v>44563</v>
      </c>
      <c r="M48" s="12"/>
      <c r="N48" s="12" t="s">
        <v>2482</v>
      </c>
      <c r="O48" s="12"/>
      <c r="P48" s="12" t="s">
        <v>3790</v>
      </c>
      <c r="Q48" s="12"/>
      <c r="R48" s="12"/>
      <c r="S48" s="12"/>
      <c r="T48" s="12"/>
      <c r="U48" s="12" t="str">
        <f t="shared" si="0"/>
        <v>Corrected</v>
      </c>
      <c r="V48" s="12" t="str">
        <f t="shared" si="1"/>
        <v>FIRDUS Ahmad</v>
      </c>
      <c r="W48" s="13">
        <f t="shared" si="2"/>
        <v>44563</v>
      </c>
    </row>
    <row r="49" spans="1:23" ht="14.4" customHeight="1" x14ac:dyDescent="0.3">
      <c r="A49" s="13">
        <v>44559</v>
      </c>
      <c r="B49" s="12" t="s">
        <v>2401</v>
      </c>
      <c r="C49" s="12" t="s">
        <v>1542</v>
      </c>
      <c r="D49" s="5" t="s">
        <v>2402</v>
      </c>
      <c r="E49" s="12">
        <v>501</v>
      </c>
      <c r="F49" s="11" t="s">
        <v>2403</v>
      </c>
      <c r="G49" s="12"/>
      <c r="H49" s="12" t="s">
        <v>11</v>
      </c>
      <c r="I49" s="14" t="s">
        <v>2404</v>
      </c>
      <c r="J49" s="12" t="s">
        <v>1545</v>
      </c>
      <c r="K49" s="12" t="str">
        <f t="shared" si="3"/>
        <v>Closed</v>
      </c>
      <c r="L49" s="26">
        <v>44563</v>
      </c>
      <c r="M49" s="12"/>
      <c r="N49" s="12" t="s">
        <v>4449</v>
      </c>
      <c r="O49" s="12"/>
      <c r="P49" s="12" t="s">
        <v>3790</v>
      </c>
      <c r="Q49" s="12"/>
      <c r="R49" s="12"/>
      <c r="S49" s="12"/>
      <c r="T49" s="13" t="s">
        <v>1547</v>
      </c>
      <c r="U49" s="12" t="str">
        <f t="shared" si="0"/>
        <v>Corrected</v>
      </c>
      <c r="V49" s="12" t="str">
        <f t="shared" si="1"/>
        <v>FIRDUS Ahmad</v>
      </c>
      <c r="W49" s="13">
        <f t="shared" si="2"/>
        <v>44563</v>
      </c>
    </row>
    <row r="50" spans="1:23" ht="14.4" customHeight="1" x14ac:dyDescent="0.3">
      <c r="A50" s="13">
        <v>44559</v>
      </c>
      <c r="B50" s="12" t="s">
        <v>2409</v>
      </c>
      <c r="C50" s="12" t="s">
        <v>1542</v>
      </c>
      <c r="D50" s="5" t="s">
        <v>2402</v>
      </c>
      <c r="E50" s="12">
        <v>501</v>
      </c>
      <c r="F50" s="11" t="s">
        <v>2410</v>
      </c>
      <c r="G50" s="12" t="s">
        <v>4</v>
      </c>
      <c r="H50" s="12" t="s">
        <v>11</v>
      </c>
      <c r="I50" s="14"/>
      <c r="J50" s="12" t="s">
        <v>1609</v>
      </c>
      <c r="K50" s="12" t="str">
        <f t="shared" si="3"/>
        <v>Open</v>
      </c>
      <c r="L50" s="26"/>
      <c r="M50" s="12" t="s">
        <v>481</v>
      </c>
      <c r="N50" s="12" t="s">
        <v>2683</v>
      </c>
      <c r="O50" s="12"/>
      <c r="P50" s="12" t="s">
        <v>3790</v>
      </c>
      <c r="Q50" s="12"/>
      <c r="R50" s="12" t="s">
        <v>5</v>
      </c>
      <c r="S50" s="12" t="s">
        <v>3</v>
      </c>
      <c r="T50" s="13" t="s">
        <v>1547</v>
      </c>
      <c r="U50" s="12" t="str">
        <f t="shared" si="0"/>
        <v>No Material</v>
      </c>
      <c r="V50" s="12" t="str">
        <f t="shared" si="1"/>
        <v>SUKIMAN Zamhuri</v>
      </c>
      <c r="W50" s="13" t="str">
        <f t="shared" si="2"/>
        <v/>
      </c>
    </row>
    <row r="51" spans="1:23" x14ac:dyDescent="0.3">
      <c r="A51" s="13">
        <v>44559</v>
      </c>
      <c r="B51" s="12" t="s">
        <v>2414</v>
      </c>
      <c r="C51" s="12" t="s">
        <v>1542</v>
      </c>
      <c r="D51" s="5" t="s">
        <v>2399</v>
      </c>
      <c r="E51" s="12">
        <v>519</v>
      </c>
      <c r="F51" s="11" t="s">
        <v>2415</v>
      </c>
      <c r="G51" s="12" t="s">
        <v>7</v>
      </c>
      <c r="H51" s="12" t="s">
        <v>19</v>
      </c>
      <c r="I51" s="14"/>
      <c r="J51" s="12" t="s">
        <v>1574</v>
      </c>
      <c r="K51" s="12" t="str">
        <f t="shared" si="3"/>
        <v>Closed</v>
      </c>
      <c r="L51" s="26">
        <v>44636</v>
      </c>
      <c r="M51" s="12"/>
      <c r="N51" s="12" t="s">
        <v>2482</v>
      </c>
      <c r="O51" s="12"/>
      <c r="P51" s="12" t="s">
        <v>3790</v>
      </c>
      <c r="Q51" s="12"/>
      <c r="R51" s="12"/>
      <c r="S51" s="12"/>
      <c r="T51" s="12"/>
      <c r="U51" s="12" t="str">
        <f t="shared" si="0"/>
        <v>NFF</v>
      </c>
      <c r="V51" s="12" t="str">
        <f t="shared" si="1"/>
        <v>DAOUDI Mohamed</v>
      </c>
      <c r="W51" s="13">
        <f t="shared" si="2"/>
        <v>44636</v>
      </c>
    </row>
    <row r="52" spans="1:23" ht="14.4" customHeight="1" x14ac:dyDescent="0.3">
      <c r="A52" s="13">
        <v>44560</v>
      </c>
      <c r="B52" s="12" t="s">
        <v>2437</v>
      </c>
      <c r="C52" s="12" t="s">
        <v>1542</v>
      </c>
      <c r="D52" s="5" t="s">
        <v>2438</v>
      </c>
      <c r="E52" s="12">
        <v>511</v>
      </c>
      <c r="F52" s="11" t="s">
        <v>2439</v>
      </c>
      <c r="G52" s="12" t="s">
        <v>7</v>
      </c>
      <c r="H52" s="12" t="s">
        <v>19</v>
      </c>
      <c r="I52" s="14"/>
      <c r="J52" s="12" t="s">
        <v>1609</v>
      </c>
      <c r="K52" s="12" t="str">
        <f t="shared" si="3"/>
        <v>Open</v>
      </c>
      <c r="L52" s="26"/>
      <c r="M52" s="12" t="s">
        <v>2440</v>
      </c>
      <c r="N52" s="12" t="s">
        <v>3464</v>
      </c>
      <c r="O52" s="12"/>
      <c r="P52" s="12" t="s">
        <v>3790</v>
      </c>
      <c r="Q52" s="12"/>
      <c r="R52" s="12" t="s">
        <v>5</v>
      </c>
      <c r="S52" s="12" t="s">
        <v>3</v>
      </c>
      <c r="T52" s="12"/>
      <c r="U52" s="12" t="str">
        <f t="shared" si="0"/>
        <v>No Material</v>
      </c>
      <c r="V52" s="12" t="str">
        <f t="shared" si="1"/>
        <v>SUKIMAN Zamhuri</v>
      </c>
      <c r="W52" s="13" t="str">
        <f t="shared" si="2"/>
        <v/>
      </c>
    </row>
    <row r="53" spans="1:23" ht="14.4" customHeight="1" x14ac:dyDescent="0.3">
      <c r="A53" s="13">
        <v>44563</v>
      </c>
      <c r="B53" s="12" t="s">
        <v>2452</v>
      </c>
      <c r="C53" s="12" t="s">
        <v>1542</v>
      </c>
      <c r="D53" s="5" t="s">
        <v>2453</v>
      </c>
      <c r="E53" s="12">
        <v>516</v>
      </c>
      <c r="F53" s="11" t="s">
        <v>2454</v>
      </c>
      <c r="G53" s="12" t="s">
        <v>7</v>
      </c>
      <c r="H53" s="12" t="s">
        <v>19</v>
      </c>
      <c r="I53" s="14"/>
      <c r="J53" s="12" t="s">
        <v>1609</v>
      </c>
      <c r="K53" s="12" t="str">
        <f t="shared" si="3"/>
        <v>Open</v>
      </c>
      <c r="L53" s="26"/>
      <c r="M53" s="12" t="s">
        <v>2455</v>
      </c>
      <c r="N53" s="12" t="s">
        <v>2448</v>
      </c>
      <c r="O53" s="12" t="s">
        <v>1675</v>
      </c>
      <c r="P53" s="12" t="s">
        <v>3790</v>
      </c>
      <c r="Q53" s="12"/>
      <c r="R53" s="12" t="s">
        <v>5</v>
      </c>
      <c r="S53" s="12" t="s">
        <v>3</v>
      </c>
      <c r="T53" s="12"/>
      <c r="U53" s="12" t="str">
        <f t="shared" si="0"/>
        <v>No Material</v>
      </c>
      <c r="V53" s="12" t="str">
        <f t="shared" si="1"/>
        <v>SUKIMAN Zamhuri</v>
      </c>
      <c r="W53" s="13" t="str">
        <f t="shared" si="2"/>
        <v/>
      </c>
    </row>
    <row r="54" spans="1:23" ht="14.4" customHeight="1" x14ac:dyDescent="0.3">
      <c r="A54" s="13">
        <v>44564</v>
      </c>
      <c r="B54" s="12" t="s">
        <v>2509</v>
      </c>
      <c r="C54" s="12" t="s">
        <v>1542</v>
      </c>
      <c r="D54" s="5" t="s">
        <v>2510</v>
      </c>
      <c r="E54" s="12">
        <v>502</v>
      </c>
      <c r="F54" s="11" t="s">
        <v>2511</v>
      </c>
      <c r="G54" s="12" t="s">
        <v>7</v>
      </c>
      <c r="H54" s="12" t="s">
        <v>9</v>
      </c>
      <c r="I54" s="14"/>
      <c r="J54" s="12" t="s">
        <v>1609</v>
      </c>
      <c r="K54" s="12" t="str">
        <f t="shared" si="3"/>
        <v>Open</v>
      </c>
      <c r="L54" s="26"/>
      <c r="M54" s="12" t="s">
        <v>1054</v>
      </c>
      <c r="N54" s="12" t="s">
        <v>2448</v>
      </c>
      <c r="O54" s="12"/>
      <c r="P54" s="12" t="s">
        <v>3790</v>
      </c>
      <c r="Q54" s="12"/>
      <c r="R54" s="12" t="s">
        <v>5</v>
      </c>
      <c r="S54" s="12" t="s">
        <v>3</v>
      </c>
      <c r="T54" s="13" t="s">
        <v>1547</v>
      </c>
      <c r="U54" s="12" t="str">
        <f t="shared" si="0"/>
        <v>No Material</v>
      </c>
      <c r="V54" s="12" t="str">
        <f t="shared" si="1"/>
        <v>SUKIMAN Zamhuri</v>
      </c>
      <c r="W54" s="13" t="str">
        <f t="shared" si="2"/>
        <v/>
      </c>
    </row>
    <row r="55" spans="1:23" ht="14.4" customHeight="1" x14ac:dyDescent="0.3">
      <c r="A55" s="13">
        <v>44564</v>
      </c>
      <c r="B55" s="12" t="s">
        <v>2512</v>
      </c>
      <c r="C55" s="12" t="s">
        <v>1542</v>
      </c>
      <c r="D55" s="5" t="s">
        <v>2513</v>
      </c>
      <c r="E55" s="12">
        <v>512</v>
      </c>
      <c r="F55" s="11" t="s">
        <v>2511</v>
      </c>
      <c r="G55" s="12" t="s">
        <v>7</v>
      </c>
      <c r="H55" s="12" t="s">
        <v>9</v>
      </c>
      <c r="I55" s="14"/>
      <c r="J55" s="12" t="s">
        <v>1609</v>
      </c>
      <c r="K55" s="12" t="str">
        <f t="shared" si="3"/>
        <v>Open</v>
      </c>
      <c r="L55" s="26"/>
      <c r="M55" s="12" t="s">
        <v>1056</v>
      </c>
      <c r="N55" s="12" t="s">
        <v>2448</v>
      </c>
      <c r="O55" s="12"/>
      <c r="P55" s="12" t="s">
        <v>3790</v>
      </c>
      <c r="Q55" s="12"/>
      <c r="R55" s="12" t="s">
        <v>5</v>
      </c>
      <c r="S55" s="12" t="s">
        <v>3</v>
      </c>
      <c r="T55" s="13" t="s">
        <v>1547</v>
      </c>
      <c r="U55" s="12" t="str">
        <f t="shared" si="0"/>
        <v>No Material</v>
      </c>
      <c r="V55" s="12" t="str">
        <f t="shared" si="1"/>
        <v>SUKIMAN Zamhuri</v>
      </c>
      <c r="W55" s="13" t="str">
        <f t="shared" si="2"/>
        <v/>
      </c>
    </row>
    <row r="56" spans="1:23" ht="14.4" customHeight="1" x14ac:dyDescent="0.3">
      <c r="A56" s="13">
        <v>44566</v>
      </c>
      <c r="B56" s="12" t="s">
        <v>2557</v>
      </c>
      <c r="C56" s="12" t="s">
        <v>1542</v>
      </c>
      <c r="D56" s="5" t="s">
        <v>2558</v>
      </c>
      <c r="E56" s="12">
        <v>518</v>
      </c>
      <c r="F56" s="11" t="s">
        <v>2559</v>
      </c>
      <c r="G56" s="12" t="s">
        <v>7</v>
      </c>
      <c r="H56" s="12" t="s">
        <v>11</v>
      </c>
      <c r="I56" s="14" t="s">
        <v>3434</v>
      </c>
      <c r="J56" s="12" t="s">
        <v>1574</v>
      </c>
      <c r="K56" s="12" t="str">
        <f t="shared" si="3"/>
        <v>Closed</v>
      </c>
      <c r="L56" s="26">
        <v>44641</v>
      </c>
      <c r="M56" s="12"/>
      <c r="N56" s="12" t="s">
        <v>1652</v>
      </c>
      <c r="O56" s="12"/>
      <c r="P56" s="12" t="s">
        <v>3790</v>
      </c>
      <c r="Q56" s="12"/>
      <c r="R56" s="12"/>
      <c r="S56" s="12"/>
      <c r="T56" s="12"/>
      <c r="U56" s="12" t="str">
        <f t="shared" si="0"/>
        <v>NFF</v>
      </c>
      <c r="V56" s="12" t="str">
        <f t="shared" si="1"/>
        <v>FIRDUS Ahmad</v>
      </c>
      <c r="W56" s="13">
        <f t="shared" si="2"/>
        <v>44641</v>
      </c>
    </row>
    <row r="57" spans="1:23" ht="14.4" customHeight="1" x14ac:dyDescent="0.3">
      <c r="A57" s="13">
        <v>44566</v>
      </c>
      <c r="B57" s="12" t="s">
        <v>2560</v>
      </c>
      <c r="C57" s="12" t="s">
        <v>1542</v>
      </c>
      <c r="D57" s="5" t="s">
        <v>2561</v>
      </c>
      <c r="E57" s="12">
        <v>517</v>
      </c>
      <c r="F57" s="11" t="s">
        <v>2562</v>
      </c>
      <c r="G57" s="12" t="s">
        <v>7</v>
      </c>
      <c r="H57" s="12" t="s">
        <v>11</v>
      </c>
      <c r="I57" s="14" t="s">
        <v>3434</v>
      </c>
      <c r="J57" s="12" t="s">
        <v>1574</v>
      </c>
      <c r="K57" s="12" t="str">
        <f t="shared" si="3"/>
        <v>Closed</v>
      </c>
      <c r="L57" s="26">
        <v>44641</v>
      </c>
      <c r="M57" s="12"/>
      <c r="N57" s="12" t="s">
        <v>1652</v>
      </c>
      <c r="O57" s="12"/>
      <c r="P57" s="12" t="s">
        <v>3790</v>
      </c>
      <c r="Q57" s="12"/>
      <c r="R57" s="12"/>
      <c r="S57" s="12"/>
      <c r="T57" s="12"/>
      <c r="U57" s="12" t="str">
        <f t="shared" si="0"/>
        <v>NFF</v>
      </c>
      <c r="V57" s="12" t="str">
        <f t="shared" si="1"/>
        <v>FIRDUS Ahmad</v>
      </c>
      <c r="W57" s="13">
        <f t="shared" si="2"/>
        <v>44641</v>
      </c>
    </row>
    <row r="58" spans="1:23" ht="14.4" customHeight="1" x14ac:dyDescent="0.3">
      <c r="A58" s="13">
        <v>44566</v>
      </c>
      <c r="B58" s="12" t="s">
        <v>2563</v>
      </c>
      <c r="C58" s="12" t="s">
        <v>1542</v>
      </c>
      <c r="D58" s="5" t="s">
        <v>2561</v>
      </c>
      <c r="E58" s="12">
        <v>517</v>
      </c>
      <c r="F58" s="11" t="s">
        <v>2564</v>
      </c>
      <c r="G58" s="12" t="s">
        <v>7</v>
      </c>
      <c r="H58" s="12" t="s">
        <v>11</v>
      </c>
      <c r="I58" s="14" t="s">
        <v>3597</v>
      </c>
      <c r="J58" s="12" t="s">
        <v>1609</v>
      </c>
      <c r="K58" s="12" t="str">
        <f t="shared" si="3"/>
        <v>Open</v>
      </c>
      <c r="L58" s="26"/>
      <c r="M58" s="12"/>
      <c r="N58" s="12" t="s">
        <v>1652</v>
      </c>
      <c r="O58" s="12"/>
      <c r="P58" s="12" t="s">
        <v>3790</v>
      </c>
      <c r="Q58" s="12"/>
      <c r="R58" s="12" t="s">
        <v>3566</v>
      </c>
      <c r="S58" s="12" t="s">
        <v>3</v>
      </c>
      <c r="T58" s="12"/>
      <c r="U58" s="12" t="str">
        <f t="shared" si="0"/>
        <v>CM Open</v>
      </c>
      <c r="V58" s="12" t="str">
        <f t="shared" si="1"/>
        <v>SUKIMAN Zamhuri</v>
      </c>
      <c r="W58" s="13" t="str">
        <f t="shared" si="2"/>
        <v/>
      </c>
    </row>
    <row r="59" spans="1:23" ht="14.4" customHeight="1" x14ac:dyDescent="0.3">
      <c r="A59" s="13">
        <v>44567</v>
      </c>
      <c r="B59" s="12" t="s">
        <v>2580</v>
      </c>
      <c r="C59" s="12" t="s">
        <v>1542</v>
      </c>
      <c r="D59" s="5" t="s">
        <v>2581</v>
      </c>
      <c r="E59" s="12">
        <v>507</v>
      </c>
      <c r="F59" s="11" t="s">
        <v>2582</v>
      </c>
      <c r="G59" s="12" t="s">
        <v>4</v>
      </c>
      <c r="H59" s="12" t="s">
        <v>9</v>
      </c>
      <c r="I59" s="14"/>
      <c r="J59" s="12" t="s">
        <v>1545</v>
      </c>
      <c r="K59" s="12" t="str">
        <f t="shared" si="3"/>
        <v>Closed</v>
      </c>
      <c r="L59" s="26">
        <v>44602</v>
      </c>
      <c r="M59" s="12" t="s">
        <v>1474</v>
      </c>
      <c r="N59" s="12" t="s">
        <v>4428</v>
      </c>
      <c r="O59" s="12"/>
      <c r="P59" s="12" t="s">
        <v>3790</v>
      </c>
      <c r="Q59" s="12"/>
      <c r="R59" s="12"/>
      <c r="S59" s="12"/>
      <c r="T59" s="12"/>
      <c r="U59" s="12" t="str">
        <f t="shared" si="0"/>
        <v>Corrected</v>
      </c>
      <c r="V59" s="12" t="str">
        <f t="shared" si="1"/>
        <v>KHAN Jahan</v>
      </c>
      <c r="W59" s="13">
        <f t="shared" si="2"/>
        <v>44602</v>
      </c>
    </row>
    <row r="60" spans="1:23" ht="14.4" customHeight="1" x14ac:dyDescent="0.3">
      <c r="A60" s="13">
        <v>44567</v>
      </c>
      <c r="B60" s="12" t="s">
        <v>2583</v>
      </c>
      <c r="C60" s="12" t="s">
        <v>1542</v>
      </c>
      <c r="D60" s="5" t="s">
        <v>2581</v>
      </c>
      <c r="E60" s="12">
        <v>507</v>
      </c>
      <c r="F60" s="11" t="s">
        <v>2584</v>
      </c>
      <c r="G60" s="12" t="s">
        <v>7</v>
      </c>
      <c r="H60" s="12" t="s">
        <v>293</v>
      </c>
      <c r="I60" s="14"/>
      <c r="J60" s="12" t="s">
        <v>1582</v>
      </c>
      <c r="K60" s="12" t="str">
        <f t="shared" si="3"/>
        <v>Open</v>
      </c>
      <c r="L60" s="26"/>
      <c r="M60" s="12"/>
      <c r="N60" s="12" t="s">
        <v>4428</v>
      </c>
      <c r="O60" s="12"/>
      <c r="P60" s="12" t="s">
        <v>3790</v>
      </c>
      <c r="Q60" s="12"/>
      <c r="R60" s="12"/>
      <c r="S60" s="12"/>
      <c r="T60" s="12"/>
      <c r="U60" s="12" t="str">
        <f t="shared" si="0"/>
        <v>Not Started</v>
      </c>
      <c r="V60" s="12" t="str">
        <f t="shared" si="1"/>
        <v>RASHEED Imran</v>
      </c>
      <c r="W60" s="13" t="str">
        <f t="shared" si="2"/>
        <v/>
      </c>
    </row>
    <row r="61" spans="1:23" ht="14.4" customHeight="1" x14ac:dyDescent="0.3">
      <c r="A61" s="13">
        <v>44567</v>
      </c>
      <c r="B61" s="12" t="s">
        <v>2585</v>
      </c>
      <c r="C61" s="12" t="s">
        <v>1542</v>
      </c>
      <c r="D61" s="5" t="s">
        <v>2581</v>
      </c>
      <c r="E61" s="12">
        <v>507</v>
      </c>
      <c r="F61" s="11" t="s">
        <v>4147</v>
      </c>
      <c r="G61" s="12" t="s">
        <v>7</v>
      </c>
      <c r="H61" s="12" t="s">
        <v>11</v>
      </c>
      <c r="I61" s="14" t="s">
        <v>2586</v>
      </c>
      <c r="J61" s="12" t="s">
        <v>1574</v>
      </c>
      <c r="K61" s="12" t="str">
        <f t="shared" si="3"/>
        <v>Closed</v>
      </c>
      <c r="L61" s="26">
        <v>44626</v>
      </c>
      <c r="M61" s="12"/>
      <c r="N61" s="12" t="s">
        <v>4427</v>
      </c>
      <c r="O61" s="12"/>
      <c r="P61" s="12" t="s">
        <v>3790</v>
      </c>
      <c r="Q61" s="12"/>
      <c r="R61" s="12"/>
      <c r="S61" s="12"/>
      <c r="T61" s="12"/>
      <c r="U61" s="12" t="str">
        <f t="shared" si="0"/>
        <v>NFF</v>
      </c>
      <c r="V61" s="12" t="str">
        <f t="shared" si="1"/>
        <v>FIRDUS Ahmad</v>
      </c>
      <c r="W61" s="13">
        <f t="shared" si="2"/>
        <v>44626</v>
      </c>
    </row>
    <row r="62" spans="1:23" x14ac:dyDescent="0.3">
      <c r="A62" s="13">
        <v>44570</v>
      </c>
      <c r="B62" s="12" t="s">
        <v>2601</v>
      </c>
      <c r="C62" s="12" t="s">
        <v>1703</v>
      </c>
      <c r="D62" s="5" t="s">
        <v>1675</v>
      </c>
      <c r="E62" s="12">
        <v>511</v>
      </c>
      <c r="F62" s="11" t="s">
        <v>2602</v>
      </c>
      <c r="G62" s="12" t="s">
        <v>1</v>
      </c>
      <c r="H62" s="12" t="s">
        <v>17</v>
      </c>
      <c r="I62" s="14"/>
      <c r="J62" s="12" t="s">
        <v>1545</v>
      </c>
      <c r="K62" s="12" t="str">
        <f t="shared" si="3"/>
        <v>Closed</v>
      </c>
      <c r="L62" s="26">
        <v>44570</v>
      </c>
      <c r="M62" s="12" t="s">
        <v>338</v>
      </c>
      <c r="N62" s="12" t="s">
        <v>2603</v>
      </c>
      <c r="O62" s="12"/>
      <c r="P62" s="12" t="s">
        <v>3790</v>
      </c>
      <c r="Q62" s="12"/>
      <c r="R62" s="12" t="s">
        <v>1545</v>
      </c>
      <c r="S62" s="12" t="s">
        <v>22</v>
      </c>
      <c r="T62" s="25">
        <v>44570</v>
      </c>
      <c r="U62" s="12" t="str">
        <f t="shared" si="0"/>
        <v>Corrected</v>
      </c>
      <c r="V62" s="12" t="str">
        <f t="shared" si="1"/>
        <v>FATHI Charafeddine</v>
      </c>
      <c r="W62" s="13">
        <f t="shared" si="2"/>
        <v>44570</v>
      </c>
    </row>
    <row r="63" spans="1:23" ht="14.4" customHeight="1" x14ac:dyDescent="0.3">
      <c r="A63" s="13">
        <v>44570</v>
      </c>
      <c r="B63" s="12" t="s">
        <v>2611</v>
      </c>
      <c r="C63" s="12" t="s">
        <v>1542</v>
      </c>
      <c r="D63" s="5" t="s">
        <v>2612</v>
      </c>
      <c r="E63" s="12">
        <v>508</v>
      </c>
      <c r="F63" s="11" t="s">
        <v>2613</v>
      </c>
      <c r="G63" s="12" t="s">
        <v>7</v>
      </c>
      <c r="H63" s="12" t="s">
        <v>19</v>
      </c>
      <c r="I63" s="14" t="s">
        <v>3434</v>
      </c>
      <c r="J63" s="12" t="s">
        <v>1574</v>
      </c>
      <c r="K63" s="12" t="str">
        <f t="shared" si="3"/>
        <v>Closed</v>
      </c>
      <c r="L63" s="26">
        <v>44641</v>
      </c>
      <c r="M63" s="12"/>
      <c r="N63" s="12" t="s">
        <v>1652</v>
      </c>
      <c r="O63" s="12"/>
      <c r="P63" s="12" t="s">
        <v>3790</v>
      </c>
      <c r="Q63" s="12"/>
      <c r="R63" s="12"/>
      <c r="S63" s="12"/>
      <c r="T63" s="12"/>
      <c r="U63" s="12" t="str">
        <f t="shared" si="0"/>
        <v>NFF</v>
      </c>
      <c r="V63" s="12" t="str">
        <f t="shared" si="1"/>
        <v>DAOUDI Mohamed</v>
      </c>
      <c r="W63" s="13">
        <f t="shared" si="2"/>
        <v>44641</v>
      </c>
    </row>
    <row r="64" spans="1:23" ht="14.4" customHeight="1" x14ac:dyDescent="0.3">
      <c r="A64" s="13">
        <v>44570</v>
      </c>
      <c r="B64" s="12" t="s">
        <v>1503</v>
      </c>
      <c r="C64" s="12" t="s">
        <v>1542</v>
      </c>
      <c r="D64" s="5" t="s">
        <v>2612</v>
      </c>
      <c r="E64" s="12">
        <v>508</v>
      </c>
      <c r="F64" s="11" t="s">
        <v>2614</v>
      </c>
      <c r="G64" s="12" t="s">
        <v>7</v>
      </c>
      <c r="H64" s="12" t="s">
        <v>19</v>
      </c>
      <c r="I64" s="14" t="s">
        <v>2615</v>
      </c>
      <c r="J64" s="12" t="s">
        <v>1545</v>
      </c>
      <c r="K64" s="12" t="str">
        <f t="shared" si="3"/>
        <v>Closed</v>
      </c>
      <c r="L64" s="26">
        <v>44612</v>
      </c>
      <c r="M64" s="12" t="s">
        <v>1097</v>
      </c>
      <c r="N64" s="12" t="s">
        <v>2482</v>
      </c>
      <c r="O64" s="12"/>
      <c r="P64" s="12" t="s">
        <v>3790</v>
      </c>
      <c r="Q64" s="12"/>
      <c r="R64" s="12"/>
      <c r="S64" s="12"/>
      <c r="T64" s="12"/>
      <c r="U64" s="12" t="str">
        <f t="shared" si="0"/>
        <v>Corrected</v>
      </c>
      <c r="V64" s="12" t="str">
        <f t="shared" si="1"/>
        <v>DAOUDI Mohamed</v>
      </c>
      <c r="W64" s="13">
        <f t="shared" si="2"/>
        <v>44612</v>
      </c>
    </row>
    <row r="65" spans="1:23" ht="14.4" customHeight="1" x14ac:dyDescent="0.3">
      <c r="A65" s="13">
        <v>44570</v>
      </c>
      <c r="B65" s="12" t="s">
        <v>2616</v>
      </c>
      <c r="C65" s="12" t="s">
        <v>1542</v>
      </c>
      <c r="D65" s="5" t="s">
        <v>2617</v>
      </c>
      <c r="E65" s="12">
        <v>515</v>
      </c>
      <c r="F65" s="11" t="s">
        <v>1525</v>
      </c>
      <c r="G65" s="12" t="s">
        <v>7</v>
      </c>
      <c r="H65" s="12" t="s">
        <v>9</v>
      </c>
      <c r="I65" s="14" t="s">
        <v>2618</v>
      </c>
      <c r="J65" s="12" t="s">
        <v>1609</v>
      </c>
      <c r="K65" s="12" t="str">
        <f t="shared" si="3"/>
        <v>Open</v>
      </c>
      <c r="L65" s="26"/>
      <c r="M65" s="12" t="s">
        <v>1524</v>
      </c>
      <c r="N65" s="12" t="s">
        <v>1652</v>
      </c>
      <c r="O65" s="12"/>
      <c r="P65" s="12" t="s">
        <v>3790</v>
      </c>
      <c r="Q65" s="12"/>
      <c r="R65" s="12" t="s">
        <v>5</v>
      </c>
      <c r="S65" s="12" t="s">
        <v>3</v>
      </c>
      <c r="T65" s="12"/>
      <c r="U65" s="12" t="str">
        <f t="shared" si="0"/>
        <v>No Material</v>
      </c>
      <c r="V65" s="12" t="str">
        <f t="shared" si="1"/>
        <v>SUKIMAN Zamhuri</v>
      </c>
      <c r="W65" s="13" t="str">
        <f t="shared" si="2"/>
        <v/>
      </c>
    </row>
    <row r="66" spans="1:23" ht="14.4" customHeight="1" x14ac:dyDescent="0.3">
      <c r="A66" s="13">
        <v>44571</v>
      </c>
      <c r="B66" s="12" t="s">
        <v>2644</v>
      </c>
      <c r="C66" s="12" t="s">
        <v>1703</v>
      </c>
      <c r="D66" s="5" t="s">
        <v>1675</v>
      </c>
      <c r="E66" s="12">
        <v>501</v>
      </c>
      <c r="F66" s="14" t="s">
        <v>4148</v>
      </c>
      <c r="G66" s="12" t="s">
        <v>1</v>
      </c>
      <c r="H66" s="12" t="s">
        <v>11</v>
      </c>
      <c r="I66" s="14" t="s">
        <v>2645</v>
      </c>
      <c r="J66" s="12" t="s">
        <v>1545</v>
      </c>
      <c r="K66" s="12" t="str">
        <f t="shared" si="3"/>
        <v>Closed</v>
      </c>
      <c r="L66" s="26">
        <v>44572</v>
      </c>
      <c r="M66" s="12"/>
      <c r="N66" s="12" t="s">
        <v>4449</v>
      </c>
      <c r="O66" s="12"/>
      <c r="P66" s="12" t="s">
        <v>3790</v>
      </c>
      <c r="Q66" s="12"/>
      <c r="R66" s="12"/>
      <c r="S66" s="12"/>
      <c r="T66" s="13" t="s">
        <v>1547</v>
      </c>
      <c r="U66" s="12" t="str">
        <f t="shared" si="0"/>
        <v>Corrected</v>
      </c>
      <c r="V66" s="12" t="str">
        <f t="shared" si="1"/>
        <v>FIRDUS Ahmad</v>
      </c>
      <c r="W66" s="13">
        <f t="shared" si="2"/>
        <v>44572</v>
      </c>
    </row>
    <row r="67" spans="1:23" ht="14.4" customHeight="1" x14ac:dyDescent="0.3">
      <c r="A67" s="13">
        <v>44571</v>
      </c>
      <c r="B67" s="12" t="s">
        <v>2661</v>
      </c>
      <c r="C67" s="12" t="s">
        <v>1542</v>
      </c>
      <c r="D67" s="5" t="s">
        <v>2662</v>
      </c>
      <c r="E67" s="12">
        <v>510</v>
      </c>
      <c r="F67" s="11" t="s">
        <v>2663</v>
      </c>
      <c r="G67" s="12" t="s">
        <v>7</v>
      </c>
      <c r="H67" s="12" t="s">
        <v>19</v>
      </c>
      <c r="I67" s="14" t="s">
        <v>3436</v>
      </c>
      <c r="J67" s="12" t="s">
        <v>1609</v>
      </c>
      <c r="K67" s="12" t="str">
        <f t="shared" si="3"/>
        <v>Open</v>
      </c>
      <c r="L67" s="26"/>
      <c r="M67" s="12"/>
      <c r="N67" s="12" t="s">
        <v>1652</v>
      </c>
      <c r="O67" s="12"/>
      <c r="P67" s="12" t="s">
        <v>3790</v>
      </c>
      <c r="Q67" s="12"/>
      <c r="R67" s="12" t="s">
        <v>5</v>
      </c>
      <c r="S67" s="12" t="s">
        <v>3</v>
      </c>
      <c r="T67" s="13" t="s">
        <v>1547</v>
      </c>
      <c r="U67" s="12" t="str">
        <f t="shared" ref="U67:U130" si="4">IF(AND(J67="Corrective Action Required",R67="Corrected"),"Corrected", IF(AND(J67="Corrective Action Required",R67&lt;&gt;"Corrected"),R67,J67))</f>
        <v>No Material</v>
      </c>
      <c r="V67" s="12" t="str">
        <f t="shared" ref="V67:V130" si="5">IF(AND(J67="Corrective Action Required",R67="Corrected"),S67, IF(AND(J67="Corrective Action Required",R67&lt;&gt;"Corrected"),S67,H67))</f>
        <v>SUKIMAN Zamhuri</v>
      </c>
      <c r="W67" s="13" t="str">
        <f t="shared" ref="W67:W130" si="6">IF(OR(J67="Corrected",J67="NFF"),L67, IF(AND(J67="Corrective Action Required",R67="Corrected"),T67,""))</f>
        <v/>
      </c>
    </row>
    <row r="68" spans="1:23" ht="14.4" customHeight="1" x14ac:dyDescent="0.3">
      <c r="A68" s="13">
        <v>44571</v>
      </c>
      <c r="B68" s="12" t="s">
        <v>2664</v>
      </c>
      <c r="C68" s="12" t="s">
        <v>1542</v>
      </c>
      <c r="D68" s="5" t="s">
        <v>2662</v>
      </c>
      <c r="E68" s="12">
        <v>510</v>
      </c>
      <c r="F68" s="11" t="s">
        <v>2665</v>
      </c>
      <c r="G68" s="12" t="s">
        <v>7</v>
      </c>
      <c r="H68" s="12" t="s">
        <v>9</v>
      </c>
      <c r="I68" s="14"/>
      <c r="J68" s="12" t="s">
        <v>1609</v>
      </c>
      <c r="K68" s="12" t="str">
        <f t="shared" ref="K68:K131" si="7">IF(J68="Corrected","Closed",IF(J68="NFF","Closed","Open"))</f>
        <v>Open</v>
      </c>
      <c r="L68" s="26"/>
      <c r="M68" s="12" t="s">
        <v>2666</v>
      </c>
      <c r="N68" s="12" t="s">
        <v>2448</v>
      </c>
      <c r="O68" s="12"/>
      <c r="P68" s="12" t="s">
        <v>3790</v>
      </c>
      <c r="Q68" s="12"/>
      <c r="R68" s="12" t="s">
        <v>5</v>
      </c>
      <c r="S68" s="12" t="s">
        <v>3</v>
      </c>
      <c r="T68" s="12"/>
      <c r="U68" s="12" t="str">
        <f t="shared" si="4"/>
        <v>No Material</v>
      </c>
      <c r="V68" s="12" t="str">
        <f t="shared" si="5"/>
        <v>SUKIMAN Zamhuri</v>
      </c>
      <c r="W68" s="13" t="str">
        <f t="shared" si="6"/>
        <v/>
      </c>
    </row>
    <row r="69" spans="1:23" ht="14.4" customHeight="1" x14ac:dyDescent="0.3">
      <c r="A69" s="13">
        <v>44571</v>
      </c>
      <c r="B69" s="12" t="s">
        <v>2667</v>
      </c>
      <c r="C69" s="12" t="s">
        <v>1542</v>
      </c>
      <c r="D69" s="5" t="s">
        <v>2668</v>
      </c>
      <c r="E69" s="12">
        <v>505</v>
      </c>
      <c r="F69" s="11" t="s">
        <v>2669</v>
      </c>
      <c r="G69" s="12" t="s">
        <v>7</v>
      </c>
      <c r="H69" s="12" t="s">
        <v>9</v>
      </c>
      <c r="I69" s="14"/>
      <c r="J69" s="12" t="s">
        <v>1609</v>
      </c>
      <c r="K69" s="12" t="str">
        <f t="shared" si="7"/>
        <v>Open</v>
      </c>
      <c r="L69" s="26"/>
      <c r="M69" s="12" t="s">
        <v>1526</v>
      </c>
      <c r="N69" s="12" t="s">
        <v>1652</v>
      </c>
      <c r="O69" s="12"/>
      <c r="P69" s="12" t="s">
        <v>3790</v>
      </c>
      <c r="Q69" s="12"/>
      <c r="R69" s="12" t="s">
        <v>5</v>
      </c>
      <c r="S69" s="12" t="s">
        <v>3</v>
      </c>
      <c r="T69" s="12"/>
      <c r="U69" s="12" t="str">
        <f t="shared" si="4"/>
        <v>No Material</v>
      </c>
      <c r="V69" s="12" t="str">
        <f t="shared" si="5"/>
        <v>SUKIMAN Zamhuri</v>
      </c>
      <c r="W69" s="13" t="str">
        <f t="shared" si="6"/>
        <v/>
      </c>
    </row>
    <row r="70" spans="1:23" ht="14.4" customHeight="1" x14ac:dyDescent="0.3">
      <c r="A70" s="13">
        <v>44572</v>
      </c>
      <c r="B70" s="12" t="s">
        <v>2679</v>
      </c>
      <c r="C70" s="12" t="s">
        <v>1687</v>
      </c>
      <c r="D70" s="5" t="s">
        <v>1675</v>
      </c>
      <c r="E70" s="12">
        <v>502</v>
      </c>
      <c r="F70" s="11" t="s">
        <v>2680</v>
      </c>
      <c r="G70" s="12" t="s">
        <v>7</v>
      </c>
      <c r="H70" s="12" t="s">
        <v>293</v>
      </c>
      <c r="I70" s="14"/>
      <c r="J70" s="12" t="s">
        <v>1640</v>
      </c>
      <c r="K70" s="12" t="str">
        <f t="shared" si="7"/>
        <v>Open</v>
      </c>
      <c r="L70" s="26"/>
      <c r="M70" s="12"/>
      <c r="N70" s="12" t="s">
        <v>1652</v>
      </c>
      <c r="O70" s="12"/>
      <c r="P70" s="12" t="s">
        <v>3790</v>
      </c>
      <c r="Q70" s="12"/>
      <c r="R70" s="12" t="s">
        <v>5</v>
      </c>
      <c r="S70" s="12"/>
      <c r="T70" s="13" t="s">
        <v>1547</v>
      </c>
      <c r="U70" s="12" t="str">
        <f t="shared" si="4"/>
        <v>Under Investigation</v>
      </c>
      <c r="V70" s="12" t="str">
        <f t="shared" si="5"/>
        <v>RASHEED Imran</v>
      </c>
      <c r="W70" s="13" t="str">
        <f t="shared" si="6"/>
        <v/>
      </c>
    </row>
    <row r="71" spans="1:23" ht="14.4" customHeight="1" x14ac:dyDescent="0.3">
      <c r="A71" s="13">
        <v>44572</v>
      </c>
      <c r="B71" s="12" t="s">
        <v>2681</v>
      </c>
      <c r="C71" s="12" t="s">
        <v>1687</v>
      </c>
      <c r="D71" s="5" t="s">
        <v>1675</v>
      </c>
      <c r="E71" s="12">
        <v>504</v>
      </c>
      <c r="F71" s="11" t="s">
        <v>2682</v>
      </c>
      <c r="G71" s="12" t="s">
        <v>7</v>
      </c>
      <c r="H71" s="12" t="s">
        <v>19</v>
      </c>
      <c r="I71" s="14" t="s">
        <v>3519</v>
      </c>
      <c r="J71" s="12" t="s">
        <v>1574</v>
      </c>
      <c r="K71" s="12" t="str">
        <f t="shared" si="7"/>
        <v>Closed</v>
      </c>
      <c r="L71" s="26">
        <v>44647</v>
      </c>
      <c r="M71" s="12"/>
      <c r="N71" s="12" t="s">
        <v>2683</v>
      </c>
      <c r="O71" s="12"/>
      <c r="P71" s="12" t="s">
        <v>3790</v>
      </c>
      <c r="Q71" s="12"/>
      <c r="R71" s="12"/>
      <c r="S71" s="12"/>
      <c r="T71" s="13" t="s">
        <v>1547</v>
      </c>
      <c r="U71" s="12" t="str">
        <f t="shared" si="4"/>
        <v>NFF</v>
      </c>
      <c r="V71" s="12" t="str">
        <f t="shared" si="5"/>
        <v>DAOUDI Mohamed</v>
      </c>
      <c r="W71" s="13">
        <f t="shared" si="6"/>
        <v>44647</v>
      </c>
    </row>
    <row r="72" spans="1:23" ht="14.4" customHeight="1" x14ac:dyDescent="0.3">
      <c r="A72" s="13">
        <v>44572</v>
      </c>
      <c r="B72" s="12" t="s">
        <v>2684</v>
      </c>
      <c r="C72" s="12" t="s">
        <v>1687</v>
      </c>
      <c r="D72" s="5" t="s">
        <v>1675</v>
      </c>
      <c r="E72" s="12">
        <v>518</v>
      </c>
      <c r="F72" s="11" t="s">
        <v>2685</v>
      </c>
      <c r="G72" s="12" t="s">
        <v>7</v>
      </c>
      <c r="H72" s="12" t="s">
        <v>11</v>
      </c>
      <c r="I72" s="14" t="s">
        <v>3598</v>
      </c>
      <c r="J72" s="12" t="s">
        <v>1574</v>
      </c>
      <c r="K72" s="12" t="str">
        <f t="shared" si="7"/>
        <v>Closed</v>
      </c>
      <c r="L72" s="26">
        <v>44650</v>
      </c>
      <c r="M72" s="12"/>
      <c r="N72" s="12" t="s">
        <v>1652</v>
      </c>
      <c r="O72" s="12"/>
      <c r="P72" s="12" t="s">
        <v>3790</v>
      </c>
      <c r="Q72" s="12"/>
      <c r="R72" s="12"/>
      <c r="S72" s="12"/>
      <c r="T72" s="12"/>
      <c r="U72" s="12" t="str">
        <f t="shared" si="4"/>
        <v>NFF</v>
      </c>
      <c r="V72" s="12" t="str">
        <f t="shared" si="5"/>
        <v>FIRDUS Ahmad</v>
      </c>
      <c r="W72" s="13">
        <f t="shared" si="6"/>
        <v>44650</v>
      </c>
    </row>
    <row r="73" spans="1:23" ht="14.4" customHeight="1" x14ac:dyDescent="0.3">
      <c r="A73" s="13">
        <v>44573</v>
      </c>
      <c r="B73" s="12" t="s">
        <v>1344</v>
      </c>
      <c r="C73" s="12" t="s">
        <v>1690</v>
      </c>
      <c r="D73" s="5" t="s">
        <v>1675</v>
      </c>
      <c r="E73" s="12">
        <v>514</v>
      </c>
      <c r="F73" s="11" t="s">
        <v>2696</v>
      </c>
      <c r="G73" s="12" t="s">
        <v>1</v>
      </c>
      <c r="H73" s="12" t="s">
        <v>9</v>
      </c>
      <c r="I73" s="14" t="s">
        <v>4149</v>
      </c>
      <c r="J73" s="12" t="s">
        <v>1545</v>
      </c>
      <c r="K73" s="12" t="str">
        <f t="shared" si="7"/>
        <v>Closed</v>
      </c>
      <c r="L73" s="26">
        <v>44600</v>
      </c>
      <c r="M73" s="12"/>
      <c r="N73" s="12" t="s">
        <v>4429</v>
      </c>
      <c r="O73" s="12"/>
      <c r="P73" s="12" t="s">
        <v>3790</v>
      </c>
      <c r="Q73" s="12"/>
      <c r="R73" s="12"/>
      <c r="S73" s="12"/>
      <c r="T73" s="12"/>
      <c r="U73" s="12" t="str">
        <f t="shared" si="4"/>
        <v>Corrected</v>
      </c>
      <c r="V73" s="12" t="str">
        <f t="shared" si="5"/>
        <v>KHAN Jahan</v>
      </c>
      <c r="W73" s="13">
        <f t="shared" si="6"/>
        <v>44600</v>
      </c>
    </row>
    <row r="74" spans="1:23" ht="14.4" customHeight="1" x14ac:dyDescent="0.3">
      <c r="A74" s="13">
        <v>44577</v>
      </c>
      <c r="B74" s="12" t="s">
        <v>2704</v>
      </c>
      <c r="C74" s="12" t="s">
        <v>1542</v>
      </c>
      <c r="D74" s="5" t="s">
        <v>2705</v>
      </c>
      <c r="E74" s="12">
        <v>519</v>
      </c>
      <c r="F74" s="11" t="s">
        <v>2706</v>
      </c>
      <c r="G74" s="12" t="s">
        <v>7</v>
      </c>
      <c r="H74" s="12" t="s">
        <v>19</v>
      </c>
      <c r="I74" s="14"/>
      <c r="J74" s="12" t="s">
        <v>1609</v>
      </c>
      <c r="K74" s="12" t="str">
        <f t="shared" si="7"/>
        <v>Open</v>
      </c>
      <c r="L74" s="26"/>
      <c r="M74" s="12"/>
      <c r="N74" s="12" t="s">
        <v>2707</v>
      </c>
      <c r="O74" s="12"/>
      <c r="P74" s="12" t="s">
        <v>3790</v>
      </c>
      <c r="Q74" s="12"/>
      <c r="R74" s="12" t="s">
        <v>3566</v>
      </c>
      <c r="S74" s="12" t="s">
        <v>3</v>
      </c>
      <c r="T74" s="12"/>
      <c r="U74" s="12" t="str">
        <f t="shared" si="4"/>
        <v>CM Open</v>
      </c>
      <c r="V74" s="12" t="str">
        <f t="shared" si="5"/>
        <v>SUKIMAN Zamhuri</v>
      </c>
      <c r="W74" s="13" t="str">
        <f t="shared" si="6"/>
        <v/>
      </c>
    </row>
    <row r="75" spans="1:23" ht="14.4" customHeight="1" x14ac:dyDescent="0.3">
      <c r="A75" s="13">
        <v>44578</v>
      </c>
      <c r="B75" s="12" t="s">
        <v>2715</v>
      </c>
      <c r="C75" s="12" t="s">
        <v>1542</v>
      </c>
      <c r="D75" s="5" t="s">
        <v>2705</v>
      </c>
      <c r="E75" s="12">
        <v>501</v>
      </c>
      <c r="F75" s="11" t="s">
        <v>2716</v>
      </c>
      <c r="G75" s="12" t="s">
        <v>7</v>
      </c>
      <c r="H75" s="12" t="s">
        <v>19</v>
      </c>
      <c r="I75" s="14"/>
      <c r="J75" s="12" t="s">
        <v>1609</v>
      </c>
      <c r="K75" s="12" t="str">
        <f t="shared" si="7"/>
        <v>Open</v>
      </c>
      <c r="L75" s="26">
        <v>44621</v>
      </c>
      <c r="M75" s="12" t="s">
        <v>2717</v>
      </c>
      <c r="N75" s="12" t="s">
        <v>1652</v>
      </c>
      <c r="O75" s="12" t="s">
        <v>1675</v>
      </c>
      <c r="P75" s="12" t="s">
        <v>3790</v>
      </c>
      <c r="Q75" s="12"/>
      <c r="R75" s="12" t="s">
        <v>5</v>
      </c>
      <c r="S75" s="12" t="s">
        <v>3</v>
      </c>
      <c r="T75" s="12"/>
      <c r="U75" s="12" t="str">
        <f t="shared" si="4"/>
        <v>No Material</v>
      </c>
      <c r="V75" s="12" t="str">
        <f t="shared" si="5"/>
        <v>SUKIMAN Zamhuri</v>
      </c>
      <c r="W75" s="13" t="str">
        <f t="shared" si="6"/>
        <v/>
      </c>
    </row>
    <row r="76" spans="1:23" ht="14.4" customHeight="1" x14ac:dyDescent="0.3">
      <c r="A76" s="13">
        <v>44578</v>
      </c>
      <c r="B76" s="12" t="s">
        <v>2718</v>
      </c>
      <c r="C76" s="12" t="s">
        <v>1542</v>
      </c>
      <c r="D76" s="5" t="s">
        <v>2719</v>
      </c>
      <c r="E76" s="12">
        <v>506</v>
      </c>
      <c r="F76" s="11" t="s">
        <v>2720</v>
      </c>
      <c r="G76" s="12" t="s">
        <v>7</v>
      </c>
      <c r="H76" s="12" t="s">
        <v>9</v>
      </c>
      <c r="I76" s="14"/>
      <c r="J76" s="12" t="s">
        <v>1545</v>
      </c>
      <c r="K76" s="12" t="str">
        <f t="shared" si="7"/>
        <v>Closed</v>
      </c>
      <c r="L76" s="26">
        <v>44606</v>
      </c>
      <c r="M76" s="12" t="s">
        <v>2721</v>
      </c>
      <c r="N76" s="12" t="s">
        <v>2448</v>
      </c>
      <c r="O76" s="12"/>
      <c r="P76" s="12" t="s">
        <v>3790</v>
      </c>
      <c r="Q76" s="12"/>
      <c r="R76" s="12"/>
      <c r="S76" s="12"/>
      <c r="T76" s="13" t="s">
        <v>1547</v>
      </c>
      <c r="U76" s="12" t="str">
        <f t="shared" si="4"/>
        <v>Corrected</v>
      </c>
      <c r="V76" s="12" t="str">
        <f t="shared" si="5"/>
        <v>KHAN Jahan</v>
      </c>
      <c r="W76" s="13">
        <f t="shared" si="6"/>
        <v>44606</v>
      </c>
    </row>
    <row r="77" spans="1:23" ht="14.4" customHeight="1" x14ac:dyDescent="0.3">
      <c r="A77" s="13">
        <v>44578</v>
      </c>
      <c r="B77" s="12" t="s">
        <v>2722</v>
      </c>
      <c r="C77" s="12" t="s">
        <v>1542</v>
      </c>
      <c r="D77" s="5" t="s">
        <v>2719</v>
      </c>
      <c r="E77" s="12">
        <v>506</v>
      </c>
      <c r="F77" s="11" t="s">
        <v>2716</v>
      </c>
      <c r="G77" s="12" t="s">
        <v>7</v>
      </c>
      <c r="H77" s="12" t="s">
        <v>19</v>
      </c>
      <c r="I77" s="14"/>
      <c r="J77" s="12" t="s">
        <v>1609</v>
      </c>
      <c r="K77" s="12" t="str">
        <f t="shared" si="7"/>
        <v>Open</v>
      </c>
      <c r="L77" s="26"/>
      <c r="M77" s="12" t="s">
        <v>2723</v>
      </c>
      <c r="N77" s="12" t="s">
        <v>1652</v>
      </c>
      <c r="O77" s="12"/>
      <c r="P77" s="12" t="s">
        <v>3790</v>
      </c>
      <c r="Q77" s="12"/>
      <c r="R77" s="12" t="s">
        <v>5</v>
      </c>
      <c r="S77" s="12" t="s">
        <v>3</v>
      </c>
      <c r="T77" s="13" t="s">
        <v>1547</v>
      </c>
      <c r="U77" s="12" t="str">
        <f t="shared" si="4"/>
        <v>No Material</v>
      </c>
      <c r="V77" s="12" t="str">
        <f t="shared" si="5"/>
        <v>SUKIMAN Zamhuri</v>
      </c>
      <c r="W77" s="13" t="str">
        <f t="shared" si="6"/>
        <v/>
      </c>
    </row>
    <row r="78" spans="1:23" ht="14.4" customHeight="1" x14ac:dyDescent="0.3">
      <c r="A78" s="13">
        <v>44578</v>
      </c>
      <c r="B78" s="12" t="s">
        <v>2724</v>
      </c>
      <c r="C78" s="12" t="s">
        <v>1542</v>
      </c>
      <c r="D78" s="5" t="s">
        <v>2719</v>
      </c>
      <c r="E78" s="12">
        <v>506</v>
      </c>
      <c r="F78" s="11" t="s">
        <v>2725</v>
      </c>
      <c r="G78" s="12" t="s">
        <v>7</v>
      </c>
      <c r="H78" s="12" t="s">
        <v>11</v>
      </c>
      <c r="I78" s="14"/>
      <c r="J78" s="12" t="s">
        <v>1609</v>
      </c>
      <c r="K78" s="12" t="str">
        <f t="shared" si="7"/>
        <v>Open</v>
      </c>
      <c r="L78" s="26"/>
      <c r="M78" s="12" t="s">
        <v>2726</v>
      </c>
      <c r="N78" s="12" t="s">
        <v>1652</v>
      </c>
      <c r="O78" s="12"/>
      <c r="P78" s="12" t="s">
        <v>3790</v>
      </c>
      <c r="Q78" s="12"/>
      <c r="R78" s="12" t="s">
        <v>5</v>
      </c>
      <c r="S78" s="12" t="s">
        <v>3</v>
      </c>
      <c r="T78" s="13" t="s">
        <v>1547</v>
      </c>
      <c r="U78" s="12" t="str">
        <f t="shared" si="4"/>
        <v>No Material</v>
      </c>
      <c r="V78" s="12" t="str">
        <f t="shared" si="5"/>
        <v>SUKIMAN Zamhuri</v>
      </c>
      <c r="W78" s="13" t="str">
        <f t="shared" si="6"/>
        <v/>
      </c>
    </row>
    <row r="79" spans="1:23" ht="14.4" customHeight="1" x14ac:dyDescent="0.3">
      <c r="A79" s="13">
        <v>44578</v>
      </c>
      <c r="B79" s="12" t="s">
        <v>2727</v>
      </c>
      <c r="C79" s="12" t="s">
        <v>1542</v>
      </c>
      <c r="D79" s="5" t="s">
        <v>2728</v>
      </c>
      <c r="E79" s="12">
        <v>511</v>
      </c>
      <c r="F79" s="11" t="s">
        <v>2716</v>
      </c>
      <c r="G79" s="12" t="s">
        <v>7</v>
      </c>
      <c r="H79" s="12" t="s">
        <v>19</v>
      </c>
      <c r="I79" s="14"/>
      <c r="J79" s="12" t="s">
        <v>1609</v>
      </c>
      <c r="K79" s="12" t="str">
        <f t="shared" si="7"/>
        <v>Open</v>
      </c>
      <c r="L79" s="26"/>
      <c r="M79" s="12" t="s">
        <v>2729</v>
      </c>
      <c r="N79" s="12" t="s">
        <v>1652</v>
      </c>
      <c r="O79" s="12"/>
      <c r="P79" s="12" t="s">
        <v>3790</v>
      </c>
      <c r="Q79" s="12"/>
      <c r="R79" s="12" t="s">
        <v>5</v>
      </c>
      <c r="S79" s="12" t="s">
        <v>3</v>
      </c>
      <c r="T79" s="13" t="s">
        <v>1547</v>
      </c>
      <c r="U79" s="12" t="str">
        <f t="shared" si="4"/>
        <v>No Material</v>
      </c>
      <c r="V79" s="12" t="str">
        <f t="shared" si="5"/>
        <v>SUKIMAN Zamhuri</v>
      </c>
      <c r="W79" s="13" t="str">
        <f t="shared" si="6"/>
        <v/>
      </c>
    </row>
    <row r="80" spans="1:23" ht="14.4" customHeight="1" x14ac:dyDescent="0.3">
      <c r="A80" s="13">
        <v>44578</v>
      </c>
      <c r="B80" s="12" t="s">
        <v>2741</v>
      </c>
      <c r="C80" s="12" t="s">
        <v>1687</v>
      </c>
      <c r="D80" s="5" t="s">
        <v>1675</v>
      </c>
      <c r="E80" s="12">
        <v>513</v>
      </c>
      <c r="F80" s="11" t="s">
        <v>2742</v>
      </c>
      <c r="G80" s="12" t="s">
        <v>1</v>
      </c>
      <c r="H80" s="12" t="s">
        <v>11</v>
      </c>
      <c r="I80" s="14" t="s">
        <v>4150</v>
      </c>
      <c r="J80" s="12" t="s">
        <v>1545</v>
      </c>
      <c r="K80" s="12" t="str">
        <f t="shared" si="7"/>
        <v>Closed</v>
      </c>
      <c r="L80" s="26">
        <v>44608</v>
      </c>
      <c r="M80" s="12" t="s">
        <v>1518</v>
      </c>
      <c r="N80" s="12" t="s">
        <v>4449</v>
      </c>
      <c r="O80" s="12" t="s">
        <v>3390</v>
      </c>
      <c r="P80" s="12" t="s">
        <v>3790</v>
      </c>
      <c r="Q80" s="12"/>
      <c r="R80" s="12"/>
      <c r="S80" s="12"/>
      <c r="T80" s="12"/>
      <c r="U80" s="12" t="str">
        <f t="shared" si="4"/>
        <v>Corrected</v>
      </c>
      <c r="V80" s="12" t="str">
        <f t="shared" si="5"/>
        <v>FIRDUS Ahmad</v>
      </c>
      <c r="W80" s="13">
        <f t="shared" si="6"/>
        <v>44608</v>
      </c>
    </row>
    <row r="81" spans="1:23" ht="14.4" customHeight="1" x14ac:dyDescent="0.3">
      <c r="A81" s="13">
        <v>44579</v>
      </c>
      <c r="B81" s="12" t="s">
        <v>2752</v>
      </c>
      <c r="C81" s="12" t="s">
        <v>1542</v>
      </c>
      <c r="D81" s="5" t="s">
        <v>2705</v>
      </c>
      <c r="E81" s="12">
        <v>506</v>
      </c>
      <c r="F81" s="14" t="s">
        <v>1319</v>
      </c>
      <c r="G81" s="12" t="s">
        <v>1</v>
      </c>
      <c r="H81" s="12" t="s">
        <v>9</v>
      </c>
      <c r="I81" s="14" t="s">
        <v>2753</v>
      </c>
      <c r="J81" s="12" t="s">
        <v>1545</v>
      </c>
      <c r="K81" s="12" t="str">
        <f t="shared" si="7"/>
        <v>Closed</v>
      </c>
      <c r="L81" s="26">
        <v>44621</v>
      </c>
      <c r="M81" s="12" t="s">
        <v>1320</v>
      </c>
      <c r="N81" s="12" t="s">
        <v>1652</v>
      </c>
      <c r="O81" s="12" t="s">
        <v>1675</v>
      </c>
      <c r="P81" s="12" t="s">
        <v>3790</v>
      </c>
      <c r="Q81" s="12"/>
      <c r="R81" s="12"/>
      <c r="S81" s="12"/>
      <c r="T81" s="12"/>
      <c r="U81" s="12" t="str">
        <f t="shared" si="4"/>
        <v>Corrected</v>
      </c>
      <c r="V81" s="12" t="str">
        <f t="shared" si="5"/>
        <v>KHAN Jahan</v>
      </c>
      <c r="W81" s="13">
        <f t="shared" si="6"/>
        <v>44621</v>
      </c>
    </row>
    <row r="82" spans="1:23" ht="14.4" customHeight="1" x14ac:dyDescent="0.3">
      <c r="A82" s="13">
        <v>44579</v>
      </c>
      <c r="B82" s="12" t="s">
        <v>2754</v>
      </c>
      <c r="C82" s="12" t="s">
        <v>1542</v>
      </c>
      <c r="D82" s="5" t="s">
        <v>2755</v>
      </c>
      <c r="E82" s="12">
        <v>514</v>
      </c>
      <c r="F82" s="11" t="s">
        <v>2756</v>
      </c>
      <c r="G82" s="12" t="s">
        <v>7</v>
      </c>
      <c r="H82" s="12" t="s">
        <v>11</v>
      </c>
      <c r="I82" s="14"/>
      <c r="J82" s="12" t="s">
        <v>1574</v>
      </c>
      <c r="K82" s="12" t="str">
        <f t="shared" si="7"/>
        <v>Closed</v>
      </c>
      <c r="L82" s="26">
        <v>44606</v>
      </c>
      <c r="M82" s="12"/>
      <c r="N82" s="12" t="s">
        <v>4427</v>
      </c>
      <c r="O82" s="12"/>
      <c r="P82" s="12" t="s">
        <v>3790</v>
      </c>
      <c r="Q82" s="12"/>
      <c r="R82" s="12"/>
      <c r="S82" s="12"/>
      <c r="T82" s="12"/>
      <c r="U82" s="12" t="str">
        <f t="shared" si="4"/>
        <v>NFF</v>
      </c>
      <c r="V82" s="12" t="str">
        <f t="shared" si="5"/>
        <v>FIRDUS Ahmad</v>
      </c>
      <c r="W82" s="13">
        <f t="shared" si="6"/>
        <v>44606</v>
      </c>
    </row>
    <row r="83" spans="1:23" ht="14.4" customHeight="1" x14ac:dyDescent="0.3">
      <c r="A83" s="13">
        <v>44579</v>
      </c>
      <c r="B83" s="12" t="s">
        <v>2770</v>
      </c>
      <c r="C83" s="12" t="s">
        <v>1542</v>
      </c>
      <c r="D83" s="5" t="s">
        <v>2755</v>
      </c>
      <c r="E83" s="12">
        <v>514</v>
      </c>
      <c r="F83" s="11" t="s">
        <v>2771</v>
      </c>
      <c r="G83" s="12" t="s">
        <v>7</v>
      </c>
      <c r="H83" s="12" t="s">
        <v>19</v>
      </c>
      <c r="I83" s="14" t="s">
        <v>2772</v>
      </c>
      <c r="J83" s="12" t="s">
        <v>1609</v>
      </c>
      <c r="K83" s="12" t="str">
        <f t="shared" si="7"/>
        <v>Open</v>
      </c>
      <c r="L83" s="26"/>
      <c r="M83" s="12"/>
      <c r="N83" s="12" t="s">
        <v>2707</v>
      </c>
      <c r="O83" s="12"/>
      <c r="P83" s="12" t="s">
        <v>3790</v>
      </c>
      <c r="Q83" s="12"/>
      <c r="R83" s="12" t="s">
        <v>3566</v>
      </c>
      <c r="S83" s="12" t="s">
        <v>3</v>
      </c>
      <c r="T83" s="12"/>
      <c r="U83" s="12" t="str">
        <f t="shared" si="4"/>
        <v>CM Open</v>
      </c>
      <c r="V83" s="12" t="str">
        <f t="shared" si="5"/>
        <v>SUKIMAN Zamhuri</v>
      </c>
      <c r="W83" s="13" t="str">
        <f t="shared" si="6"/>
        <v/>
      </c>
    </row>
    <row r="84" spans="1:23" ht="14.4" customHeight="1" x14ac:dyDescent="0.3">
      <c r="A84" s="13">
        <v>44579</v>
      </c>
      <c r="B84" s="12" t="s">
        <v>2777</v>
      </c>
      <c r="C84" s="12" t="s">
        <v>1542</v>
      </c>
      <c r="D84" s="5" t="s">
        <v>2755</v>
      </c>
      <c r="E84" s="12">
        <v>514</v>
      </c>
      <c r="F84" s="11" t="s">
        <v>2778</v>
      </c>
      <c r="G84" s="12" t="s">
        <v>7</v>
      </c>
      <c r="H84" s="12" t="s">
        <v>19</v>
      </c>
      <c r="I84" s="14" t="s">
        <v>3438</v>
      </c>
      <c r="J84" s="12" t="s">
        <v>1574</v>
      </c>
      <c r="K84" s="12" t="str">
        <f t="shared" si="7"/>
        <v>Closed</v>
      </c>
      <c r="L84" s="26">
        <v>44641</v>
      </c>
      <c r="M84" s="12"/>
      <c r="N84" s="12" t="s">
        <v>1652</v>
      </c>
      <c r="O84" s="12"/>
      <c r="P84" s="12" t="s">
        <v>3790</v>
      </c>
      <c r="Q84" s="12"/>
      <c r="R84" s="12"/>
      <c r="S84" s="12"/>
      <c r="T84" s="12"/>
      <c r="U84" s="12" t="str">
        <f t="shared" si="4"/>
        <v>NFF</v>
      </c>
      <c r="V84" s="12" t="str">
        <f t="shared" si="5"/>
        <v>DAOUDI Mohamed</v>
      </c>
      <c r="W84" s="13">
        <f t="shared" si="6"/>
        <v>44641</v>
      </c>
    </row>
    <row r="85" spans="1:23" ht="14.4" customHeight="1" x14ac:dyDescent="0.3">
      <c r="A85" s="13">
        <v>44579</v>
      </c>
      <c r="B85" s="12" t="s">
        <v>2779</v>
      </c>
      <c r="C85" s="12" t="s">
        <v>1542</v>
      </c>
      <c r="D85" s="5" t="s">
        <v>2780</v>
      </c>
      <c r="E85" s="12">
        <v>516</v>
      </c>
      <c r="F85" s="11" t="s">
        <v>2778</v>
      </c>
      <c r="G85" s="12" t="s">
        <v>7</v>
      </c>
      <c r="H85" s="12" t="s">
        <v>19</v>
      </c>
      <c r="I85" s="14" t="s">
        <v>3438</v>
      </c>
      <c r="J85" s="12" t="s">
        <v>1574</v>
      </c>
      <c r="K85" s="12" t="str">
        <f t="shared" si="7"/>
        <v>Closed</v>
      </c>
      <c r="L85" s="26">
        <v>44641</v>
      </c>
      <c r="M85" s="12"/>
      <c r="N85" s="12" t="s">
        <v>1652</v>
      </c>
      <c r="O85" s="12"/>
      <c r="P85" s="12" t="s">
        <v>3790</v>
      </c>
      <c r="Q85" s="12"/>
      <c r="R85" s="12"/>
      <c r="S85" s="12"/>
      <c r="T85" s="13" t="s">
        <v>1547</v>
      </c>
      <c r="U85" s="12" t="str">
        <f t="shared" si="4"/>
        <v>NFF</v>
      </c>
      <c r="V85" s="12" t="str">
        <f t="shared" si="5"/>
        <v>DAOUDI Mohamed</v>
      </c>
      <c r="W85" s="13">
        <f t="shared" si="6"/>
        <v>44641</v>
      </c>
    </row>
    <row r="86" spans="1:23" ht="14.4" customHeight="1" x14ac:dyDescent="0.3">
      <c r="A86" s="13">
        <v>44580</v>
      </c>
      <c r="B86" s="12" t="s">
        <v>1351</v>
      </c>
      <c r="C86" s="12" t="s">
        <v>1690</v>
      </c>
      <c r="D86" s="5"/>
      <c r="E86" s="12">
        <v>510</v>
      </c>
      <c r="F86" s="11" t="s">
        <v>2790</v>
      </c>
      <c r="G86" s="12" t="s">
        <v>1</v>
      </c>
      <c r="H86" s="12" t="s">
        <v>19</v>
      </c>
      <c r="I86" s="14" t="s">
        <v>4151</v>
      </c>
      <c r="J86" s="12" t="s">
        <v>1545</v>
      </c>
      <c r="K86" s="12" t="str">
        <f t="shared" si="7"/>
        <v>Closed</v>
      </c>
      <c r="L86" s="26">
        <v>44599</v>
      </c>
      <c r="M86" s="12"/>
      <c r="N86" s="12" t="s">
        <v>4449</v>
      </c>
      <c r="O86" s="12"/>
      <c r="P86" s="12" t="s">
        <v>2788</v>
      </c>
      <c r="Q86" s="12"/>
      <c r="R86" s="12"/>
      <c r="S86" s="12"/>
      <c r="T86" s="12"/>
      <c r="U86" s="12" t="str">
        <f t="shared" si="4"/>
        <v>Corrected</v>
      </c>
      <c r="V86" s="12" t="str">
        <f t="shared" si="5"/>
        <v>DAOUDI Mohamed</v>
      </c>
      <c r="W86" s="13">
        <f t="shared" si="6"/>
        <v>44599</v>
      </c>
    </row>
    <row r="87" spans="1:23" ht="14.4" customHeight="1" x14ac:dyDescent="0.3">
      <c r="A87" s="13">
        <v>44580</v>
      </c>
      <c r="B87" s="12" t="s">
        <v>1353</v>
      </c>
      <c r="C87" s="12" t="s">
        <v>1690</v>
      </c>
      <c r="D87" s="5"/>
      <c r="E87" s="12">
        <v>501</v>
      </c>
      <c r="F87" s="14" t="s">
        <v>4152</v>
      </c>
      <c r="G87" s="12" t="s">
        <v>1</v>
      </c>
      <c r="H87" s="12" t="s">
        <v>19</v>
      </c>
      <c r="I87" s="14" t="s">
        <v>4153</v>
      </c>
      <c r="J87" s="12" t="s">
        <v>1545</v>
      </c>
      <c r="K87" s="12" t="str">
        <f t="shared" si="7"/>
        <v>Closed</v>
      </c>
      <c r="L87" s="26">
        <v>44599</v>
      </c>
      <c r="M87" s="12"/>
      <c r="N87" s="12" t="s">
        <v>2683</v>
      </c>
      <c r="O87" s="12"/>
      <c r="P87" s="12" t="s">
        <v>2788</v>
      </c>
      <c r="Q87" s="12"/>
      <c r="R87" s="12"/>
      <c r="S87" s="12"/>
      <c r="T87" s="12"/>
      <c r="U87" s="12" t="str">
        <f t="shared" si="4"/>
        <v>Corrected</v>
      </c>
      <c r="V87" s="12" t="str">
        <f t="shared" si="5"/>
        <v>DAOUDI Mohamed</v>
      </c>
      <c r="W87" s="13">
        <f t="shared" si="6"/>
        <v>44599</v>
      </c>
    </row>
    <row r="88" spans="1:23" ht="14.4" customHeight="1" x14ac:dyDescent="0.3">
      <c r="A88" s="13">
        <v>44580</v>
      </c>
      <c r="B88" s="12" t="s">
        <v>2791</v>
      </c>
      <c r="C88" s="12" t="s">
        <v>2792</v>
      </c>
      <c r="D88" s="5" t="s">
        <v>2793</v>
      </c>
      <c r="E88" s="12">
        <v>505</v>
      </c>
      <c r="F88" s="11" t="s">
        <v>2794</v>
      </c>
      <c r="G88" s="12" t="s">
        <v>7</v>
      </c>
      <c r="H88" s="12" t="s">
        <v>11</v>
      </c>
      <c r="I88" s="14" t="s">
        <v>3585</v>
      </c>
      <c r="J88" s="12" t="s">
        <v>1574</v>
      </c>
      <c r="K88" s="12" t="str">
        <f t="shared" si="7"/>
        <v>Closed</v>
      </c>
      <c r="L88" s="26">
        <v>44641</v>
      </c>
      <c r="M88" s="12"/>
      <c r="N88" s="12" t="s">
        <v>2517</v>
      </c>
      <c r="O88" s="12"/>
      <c r="P88" s="12" t="s">
        <v>3790</v>
      </c>
      <c r="Q88" s="12"/>
      <c r="R88" s="12"/>
      <c r="S88" s="12"/>
      <c r="T88" s="12"/>
      <c r="U88" s="12" t="str">
        <f t="shared" si="4"/>
        <v>NFF</v>
      </c>
      <c r="V88" s="12" t="str">
        <f t="shared" si="5"/>
        <v>FIRDUS Ahmad</v>
      </c>
      <c r="W88" s="13">
        <f t="shared" si="6"/>
        <v>44641</v>
      </c>
    </row>
    <row r="89" spans="1:23" ht="14.4" customHeight="1" x14ac:dyDescent="0.3">
      <c r="A89" s="13">
        <v>44580</v>
      </c>
      <c r="B89" s="12" t="s">
        <v>2795</v>
      </c>
      <c r="C89" s="12" t="s">
        <v>2792</v>
      </c>
      <c r="D89" s="5" t="s">
        <v>2796</v>
      </c>
      <c r="E89" s="12">
        <v>514</v>
      </c>
      <c r="F89" s="14" t="s">
        <v>4154</v>
      </c>
      <c r="G89" s="12" t="s">
        <v>7</v>
      </c>
      <c r="H89" s="12" t="s">
        <v>9</v>
      </c>
      <c r="I89" s="14"/>
      <c r="J89" s="12" t="s">
        <v>1582</v>
      </c>
      <c r="K89" s="12" t="str">
        <f t="shared" si="7"/>
        <v>Open</v>
      </c>
      <c r="L89" s="26"/>
      <c r="M89" s="12"/>
      <c r="N89" s="12" t="s">
        <v>2517</v>
      </c>
      <c r="O89" s="12"/>
      <c r="P89" s="12" t="s">
        <v>3790</v>
      </c>
      <c r="Q89" s="12"/>
      <c r="R89" s="12"/>
      <c r="S89" s="12"/>
      <c r="T89" s="12"/>
      <c r="U89" s="12" t="str">
        <f t="shared" si="4"/>
        <v>Not Started</v>
      </c>
      <c r="V89" s="12" t="str">
        <f t="shared" si="5"/>
        <v>KHAN Jahan</v>
      </c>
      <c r="W89" s="13" t="str">
        <f t="shared" si="6"/>
        <v/>
      </c>
    </row>
    <row r="90" spans="1:23" ht="14.4" customHeight="1" x14ac:dyDescent="0.3">
      <c r="A90" s="13">
        <v>44591</v>
      </c>
      <c r="B90" s="12" t="s">
        <v>2820</v>
      </c>
      <c r="C90" s="12" t="s">
        <v>1690</v>
      </c>
      <c r="D90" s="5" t="s">
        <v>1675</v>
      </c>
      <c r="E90" s="12">
        <v>511</v>
      </c>
      <c r="F90" s="11" t="s">
        <v>1322</v>
      </c>
      <c r="G90" s="12" t="s">
        <v>1</v>
      </c>
      <c r="H90" s="12" t="s">
        <v>9</v>
      </c>
      <c r="I90" s="14" t="s">
        <v>2821</v>
      </c>
      <c r="J90" s="12" t="s">
        <v>1609</v>
      </c>
      <c r="K90" s="12" t="str">
        <f t="shared" si="7"/>
        <v>Open</v>
      </c>
      <c r="L90" s="26"/>
      <c r="M90" s="12" t="s">
        <v>1321</v>
      </c>
      <c r="N90" s="12" t="s">
        <v>2638</v>
      </c>
      <c r="O90" s="12"/>
      <c r="P90" s="12" t="s">
        <v>3790</v>
      </c>
      <c r="Q90" s="12"/>
      <c r="R90" s="12" t="s">
        <v>1545</v>
      </c>
      <c r="S90" s="12" t="s">
        <v>3</v>
      </c>
      <c r="T90" s="13">
        <v>44649</v>
      </c>
      <c r="U90" s="12" t="str">
        <f t="shared" si="4"/>
        <v>Corrected</v>
      </c>
      <c r="V90" s="12" t="str">
        <f t="shared" si="5"/>
        <v>SUKIMAN Zamhuri</v>
      </c>
      <c r="W90" s="13">
        <f t="shared" si="6"/>
        <v>44649</v>
      </c>
    </row>
    <row r="91" spans="1:23" ht="28.8" customHeight="1" x14ac:dyDescent="0.3">
      <c r="A91" s="13">
        <v>44593</v>
      </c>
      <c r="B91" s="12" t="s">
        <v>2847</v>
      </c>
      <c r="C91" s="12" t="s">
        <v>1542</v>
      </c>
      <c r="D91" s="5" t="s">
        <v>2848</v>
      </c>
      <c r="E91" s="12">
        <v>514</v>
      </c>
      <c r="F91" s="11" t="s">
        <v>1468</v>
      </c>
      <c r="G91" s="12" t="s">
        <v>7</v>
      </c>
      <c r="H91" s="12" t="s">
        <v>9</v>
      </c>
      <c r="I91" s="14"/>
      <c r="J91" s="12" t="s">
        <v>1609</v>
      </c>
      <c r="K91" s="12" t="str">
        <f t="shared" si="7"/>
        <v>Open</v>
      </c>
      <c r="L91" s="26"/>
      <c r="M91" s="12" t="s">
        <v>1469</v>
      </c>
      <c r="N91" s="12" t="s">
        <v>3464</v>
      </c>
      <c r="O91" s="12"/>
      <c r="P91" s="12" t="s">
        <v>3790</v>
      </c>
      <c r="Q91" s="12"/>
      <c r="R91" s="12" t="s">
        <v>5</v>
      </c>
      <c r="S91" s="12" t="s">
        <v>3</v>
      </c>
      <c r="T91" s="13" t="s">
        <v>1547</v>
      </c>
      <c r="U91" s="12" t="str">
        <f t="shared" si="4"/>
        <v>No Material</v>
      </c>
      <c r="V91" s="12" t="str">
        <f t="shared" si="5"/>
        <v>SUKIMAN Zamhuri</v>
      </c>
      <c r="W91" s="13" t="str">
        <f t="shared" si="6"/>
        <v/>
      </c>
    </row>
    <row r="92" spans="1:23" ht="28.8" customHeight="1" x14ac:dyDescent="0.3">
      <c r="A92" s="13">
        <v>44593</v>
      </c>
      <c r="B92" s="12" t="s">
        <v>2849</v>
      </c>
      <c r="C92" s="12" t="s">
        <v>1542</v>
      </c>
      <c r="D92" s="5" t="s">
        <v>2850</v>
      </c>
      <c r="E92" s="12">
        <v>516</v>
      </c>
      <c r="F92" s="11" t="s">
        <v>2851</v>
      </c>
      <c r="G92" s="12" t="s">
        <v>7</v>
      </c>
      <c r="H92" s="12" t="s">
        <v>293</v>
      </c>
      <c r="I92" s="14"/>
      <c r="J92" s="12" t="s">
        <v>1582</v>
      </c>
      <c r="K92" s="12" t="str">
        <f t="shared" si="7"/>
        <v>Open</v>
      </c>
      <c r="L92" s="26"/>
      <c r="M92" s="12"/>
      <c r="N92" s="12" t="s">
        <v>4428</v>
      </c>
      <c r="O92" s="12"/>
      <c r="P92" s="12" t="s">
        <v>3790</v>
      </c>
      <c r="Q92" s="12"/>
      <c r="R92" s="12" t="s">
        <v>5</v>
      </c>
      <c r="S92" s="12"/>
      <c r="T92" s="13" t="s">
        <v>1547</v>
      </c>
      <c r="U92" s="12" t="str">
        <f t="shared" si="4"/>
        <v>Not Started</v>
      </c>
      <c r="V92" s="12" t="str">
        <f t="shared" si="5"/>
        <v>RASHEED Imran</v>
      </c>
      <c r="W92" s="13" t="str">
        <f t="shared" si="6"/>
        <v/>
      </c>
    </row>
    <row r="93" spans="1:23" ht="14.4" customHeight="1" x14ac:dyDescent="0.3">
      <c r="A93" s="13">
        <v>44593</v>
      </c>
      <c r="B93" s="12" t="s">
        <v>2852</v>
      </c>
      <c r="C93" s="12" t="s">
        <v>1542</v>
      </c>
      <c r="D93" s="5" t="s">
        <v>2853</v>
      </c>
      <c r="E93" s="12">
        <v>512</v>
      </c>
      <c r="F93" s="11" t="s">
        <v>2854</v>
      </c>
      <c r="G93" s="12" t="s">
        <v>7</v>
      </c>
      <c r="H93" s="12" t="s">
        <v>9</v>
      </c>
      <c r="I93" s="14"/>
      <c r="J93" s="12" t="s">
        <v>1582</v>
      </c>
      <c r="K93" s="12" t="str">
        <f t="shared" si="7"/>
        <v>Open</v>
      </c>
      <c r="L93" s="26"/>
      <c r="M93" s="12"/>
      <c r="N93" s="12" t="s">
        <v>2448</v>
      </c>
      <c r="O93" s="12"/>
      <c r="P93" s="12" t="s">
        <v>3790</v>
      </c>
      <c r="Q93" s="12"/>
      <c r="R93" s="12"/>
      <c r="S93" s="12"/>
      <c r="T93" s="13" t="s">
        <v>1547</v>
      </c>
      <c r="U93" s="12" t="str">
        <f t="shared" si="4"/>
        <v>Not Started</v>
      </c>
      <c r="V93" s="12" t="str">
        <f t="shared" si="5"/>
        <v>KHAN Jahan</v>
      </c>
      <c r="W93" s="13" t="str">
        <f t="shared" si="6"/>
        <v/>
      </c>
    </row>
    <row r="94" spans="1:23" ht="14.4" customHeight="1" x14ac:dyDescent="0.3">
      <c r="A94" s="13">
        <v>44593</v>
      </c>
      <c r="B94" s="12" t="s">
        <v>2855</v>
      </c>
      <c r="C94" s="12" t="s">
        <v>1542</v>
      </c>
      <c r="D94" s="5" t="s">
        <v>2853</v>
      </c>
      <c r="E94" s="12">
        <v>512</v>
      </c>
      <c r="F94" s="11" t="s">
        <v>2854</v>
      </c>
      <c r="G94" s="12" t="s">
        <v>7</v>
      </c>
      <c r="H94" s="12" t="s">
        <v>9</v>
      </c>
      <c r="I94" s="14"/>
      <c r="J94" s="12" t="s">
        <v>1582</v>
      </c>
      <c r="K94" s="12" t="str">
        <f t="shared" si="7"/>
        <v>Open</v>
      </c>
      <c r="L94" s="26"/>
      <c r="M94" s="12"/>
      <c r="N94" s="12" t="s">
        <v>2448</v>
      </c>
      <c r="O94" s="12"/>
      <c r="P94" s="12" t="s">
        <v>3790</v>
      </c>
      <c r="Q94" s="12"/>
      <c r="R94" s="12"/>
      <c r="S94" s="12"/>
      <c r="T94" s="13" t="s">
        <v>1547</v>
      </c>
      <c r="U94" s="12" t="str">
        <f t="shared" si="4"/>
        <v>Not Started</v>
      </c>
      <c r="V94" s="12" t="str">
        <f t="shared" si="5"/>
        <v>KHAN Jahan</v>
      </c>
      <c r="W94" s="13" t="str">
        <f t="shared" si="6"/>
        <v/>
      </c>
    </row>
    <row r="95" spans="1:23" ht="14.4" customHeight="1" x14ac:dyDescent="0.3">
      <c r="A95" s="13">
        <v>44593</v>
      </c>
      <c r="B95" s="12" t="s">
        <v>2868</v>
      </c>
      <c r="C95" s="12" t="s">
        <v>1542</v>
      </c>
      <c r="D95" s="5" t="s">
        <v>2869</v>
      </c>
      <c r="E95" s="12">
        <v>503</v>
      </c>
      <c r="F95" s="11" t="s">
        <v>2870</v>
      </c>
      <c r="G95" s="12" t="s">
        <v>7</v>
      </c>
      <c r="H95" s="12" t="s">
        <v>293</v>
      </c>
      <c r="I95" s="14"/>
      <c r="J95" s="12" t="s">
        <v>1582</v>
      </c>
      <c r="K95" s="12" t="str">
        <f t="shared" si="7"/>
        <v>Open</v>
      </c>
      <c r="L95" s="26"/>
      <c r="M95" s="12"/>
      <c r="N95" s="12" t="s">
        <v>4428</v>
      </c>
      <c r="O95" s="12"/>
      <c r="P95" s="12" t="s">
        <v>3790</v>
      </c>
      <c r="Q95" s="12"/>
      <c r="R95" s="12"/>
      <c r="S95" s="12"/>
      <c r="T95" s="12"/>
      <c r="U95" s="12" t="str">
        <f t="shared" si="4"/>
        <v>Not Started</v>
      </c>
      <c r="V95" s="12" t="str">
        <f t="shared" si="5"/>
        <v>RASHEED Imran</v>
      </c>
      <c r="W95" s="13" t="str">
        <f t="shared" si="6"/>
        <v/>
      </c>
    </row>
    <row r="96" spans="1:23" ht="14.4" customHeight="1" x14ac:dyDescent="0.3">
      <c r="A96" s="13">
        <v>44593</v>
      </c>
      <c r="B96" s="12" t="s">
        <v>2871</v>
      </c>
      <c r="C96" s="12" t="s">
        <v>1542</v>
      </c>
      <c r="D96" s="5" t="s">
        <v>2869</v>
      </c>
      <c r="E96" s="12">
        <v>503</v>
      </c>
      <c r="F96" s="11" t="s">
        <v>2872</v>
      </c>
      <c r="G96" s="12" t="s">
        <v>7</v>
      </c>
      <c r="H96" s="12" t="s">
        <v>19</v>
      </c>
      <c r="I96" s="14" t="s">
        <v>3786</v>
      </c>
      <c r="J96" s="12" t="s">
        <v>1609</v>
      </c>
      <c r="K96" s="12" t="str">
        <f t="shared" si="7"/>
        <v>Open</v>
      </c>
      <c r="L96" s="26"/>
      <c r="M96" s="12"/>
      <c r="N96" s="12" t="s">
        <v>2683</v>
      </c>
      <c r="O96" s="12"/>
      <c r="P96" s="12" t="s">
        <v>3790</v>
      </c>
      <c r="Q96" s="12"/>
      <c r="R96" s="12" t="s">
        <v>3566</v>
      </c>
      <c r="S96" s="12" t="s">
        <v>3</v>
      </c>
      <c r="T96" s="13" t="s">
        <v>1547</v>
      </c>
      <c r="U96" s="12" t="str">
        <f t="shared" si="4"/>
        <v>CM Open</v>
      </c>
      <c r="V96" s="12" t="str">
        <f t="shared" si="5"/>
        <v>SUKIMAN Zamhuri</v>
      </c>
      <c r="W96" s="13" t="str">
        <f t="shared" si="6"/>
        <v/>
      </c>
    </row>
    <row r="97" spans="1:23" ht="14.4" customHeight="1" x14ac:dyDescent="0.3">
      <c r="A97" s="13">
        <v>44593</v>
      </c>
      <c r="B97" s="12" t="s">
        <v>2873</v>
      </c>
      <c r="C97" s="12" t="s">
        <v>1542</v>
      </c>
      <c r="D97" s="5" t="s">
        <v>2869</v>
      </c>
      <c r="E97" s="12">
        <v>503</v>
      </c>
      <c r="F97" s="11" t="s">
        <v>2874</v>
      </c>
      <c r="G97" s="12" t="s">
        <v>7</v>
      </c>
      <c r="H97" s="12" t="s">
        <v>9</v>
      </c>
      <c r="I97" s="14" t="s">
        <v>3343</v>
      </c>
      <c r="J97" s="12" t="s">
        <v>1609</v>
      </c>
      <c r="K97" s="12" t="str">
        <f t="shared" si="7"/>
        <v>Open</v>
      </c>
      <c r="L97" s="26"/>
      <c r="M97" s="12"/>
      <c r="N97" s="12" t="s">
        <v>2448</v>
      </c>
      <c r="O97" s="12"/>
      <c r="P97" s="12" t="s">
        <v>3790</v>
      </c>
      <c r="Q97" s="12"/>
      <c r="R97" s="12" t="s">
        <v>1545</v>
      </c>
      <c r="S97" s="12" t="s">
        <v>22</v>
      </c>
      <c r="T97" s="13">
        <v>44636</v>
      </c>
      <c r="U97" s="12" t="str">
        <f t="shared" si="4"/>
        <v>Corrected</v>
      </c>
      <c r="V97" s="12" t="str">
        <f t="shared" si="5"/>
        <v>ARUMAI NAYAGAM Anish</v>
      </c>
      <c r="W97" s="13">
        <f t="shared" si="6"/>
        <v>44636</v>
      </c>
    </row>
    <row r="98" spans="1:23" ht="14.4" customHeight="1" x14ac:dyDescent="0.3">
      <c r="A98" s="13">
        <v>44593</v>
      </c>
      <c r="B98" s="12" t="s">
        <v>2875</v>
      </c>
      <c r="C98" s="12" t="s">
        <v>1542</v>
      </c>
      <c r="D98" s="5" t="s">
        <v>2869</v>
      </c>
      <c r="E98" s="12">
        <v>503</v>
      </c>
      <c r="F98" s="11" t="s">
        <v>2876</v>
      </c>
      <c r="G98" s="12" t="s">
        <v>7</v>
      </c>
      <c r="H98" s="12" t="s">
        <v>19</v>
      </c>
      <c r="I98" s="14"/>
      <c r="J98" s="12" t="s">
        <v>1545</v>
      </c>
      <c r="K98" s="12" t="str">
        <f t="shared" si="7"/>
        <v>Closed</v>
      </c>
      <c r="L98" s="26">
        <v>44615</v>
      </c>
      <c r="M98" s="12"/>
      <c r="N98" s="12" t="s">
        <v>2482</v>
      </c>
      <c r="O98" s="12"/>
      <c r="P98" s="12" t="s">
        <v>3790</v>
      </c>
      <c r="Q98" s="12"/>
      <c r="R98" s="12"/>
      <c r="S98" s="12"/>
      <c r="T98" s="12"/>
      <c r="U98" s="12" t="str">
        <f t="shared" si="4"/>
        <v>Corrected</v>
      </c>
      <c r="V98" s="12" t="str">
        <f t="shared" si="5"/>
        <v>DAOUDI Mohamed</v>
      </c>
      <c r="W98" s="13">
        <f t="shared" si="6"/>
        <v>44615</v>
      </c>
    </row>
    <row r="99" spans="1:23" ht="14.4" customHeight="1" x14ac:dyDescent="0.3">
      <c r="A99" s="13">
        <v>44598</v>
      </c>
      <c r="B99" s="12" t="s">
        <v>2877</v>
      </c>
      <c r="C99" s="12" t="s">
        <v>1542</v>
      </c>
      <c r="D99" s="5" t="s">
        <v>2878</v>
      </c>
      <c r="E99" s="12">
        <v>517</v>
      </c>
      <c r="F99" s="11" t="s">
        <v>2879</v>
      </c>
      <c r="G99" s="12" t="s">
        <v>7</v>
      </c>
      <c r="H99" s="12" t="s">
        <v>9</v>
      </c>
      <c r="I99" s="14"/>
      <c r="J99" s="12" t="s">
        <v>1609</v>
      </c>
      <c r="K99" s="12" t="str">
        <f t="shared" si="7"/>
        <v>Open</v>
      </c>
      <c r="L99" s="26"/>
      <c r="M99" s="12" t="s">
        <v>2880</v>
      </c>
      <c r="N99" s="12" t="s">
        <v>2528</v>
      </c>
      <c r="O99" s="12"/>
      <c r="P99" s="12" t="s">
        <v>3790</v>
      </c>
      <c r="Q99" s="12"/>
      <c r="R99" s="12" t="s">
        <v>5</v>
      </c>
      <c r="S99" s="12" t="s">
        <v>3</v>
      </c>
      <c r="T99" s="12"/>
      <c r="U99" s="12" t="str">
        <f t="shared" si="4"/>
        <v>No Material</v>
      </c>
      <c r="V99" s="12" t="str">
        <f t="shared" si="5"/>
        <v>SUKIMAN Zamhuri</v>
      </c>
      <c r="W99" s="13" t="str">
        <f t="shared" si="6"/>
        <v/>
      </c>
    </row>
    <row r="100" spans="1:23" ht="14.4" customHeight="1" x14ac:dyDescent="0.3">
      <c r="A100" s="13">
        <v>44598</v>
      </c>
      <c r="B100" s="12" t="s">
        <v>2881</v>
      </c>
      <c r="C100" s="12" t="s">
        <v>1542</v>
      </c>
      <c r="D100" s="5" t="s">
        <v>2878</v>
      </c>
      <c r="E100" s="12">
        <v>517</v>
      </c>
      <c r="F100" s="11" t="s">
        <v>2882</v>
      </c>
      <c r="G100" s="12" t="s">
        <v>7</v>
      </c>
      <c r="H100" s="12" t="s">
        <v>9</v>
      </c>
      <c r="I100" s="14"/>
      <c r="J100" s="12" t="s">
        <v>1609</v>
      </c>
      <c r="K100" s="12" t="str">
        <f t="shared" si="7"/>
        <v>Open</v>
      </c>
      <c r="L100" s="26"/>
      <c r="M100" s="12" t="s">
        <v>2883</v>
      </c>
      <c r="N100" s="12" t="s">
        <v>1652</v>
      </c>
      <c r="O100" s="12"/>
      <c r="P100" s="12" t="s">
        <v>3790</v>
      </c>
      <c r="Q100" s="12"/>
      <c r="R100" s="12" t="s">
        <v>5</v>
      </c>
      <c r="S100" s="12" t="s">
        <v>3</v>
      </c>
      <c r="T100" s="12"/>
      <c r="U100" s="12" t="str">
        <f t="shared" si="4"/>
        <v>No Material</v>
      </c>
      <c r="V100" s="12" t="str">
        <f t="shared" si="5"/>
        <v>SUKIMAN Zamhuri</v>
      </c>
      <c r="W100" s="13" t="str">
        <f t="shared" si="6"/>
        <v/>
      </c>
    </row>
    <row r="101" spans="1:23" ht="14.4" customHeight="1" x14ac:dyDescent="0.3">
      <c r="A101" s="13">
        <v>44598</v>
      </c>
      <c r="B101" s="12" t="s">
        <v>2884</v>
      </c>
      <c r="C101" s="12" t="s">
        <v>1542</v>
      </c>
      <c r="D101" s="5" t="s">
        <v>2885</v>
      </c>
      <c r="E101" s="12">
        <v>518</v>
      </c>
      <c r="F101" s="11" t="s">
        <v>2886</v>
      </c>
      <c r="G101" s="12" t="s">
        <v>7</v>
      </c>
      <c r="H101" s="12" t="s">
        <v>19</v>
      </c>
      <c r="I101" s="14" t="s">
        <v>3599</v>
      </c>
      <c r="J101" s="12" t="s">
        <v>1609</v>
      </c>
      <c r="K101" s="12" t="str">
        <f t="shared" si="7"/>
        <v>Open</v>
      </c>
      <c r="L101" s="26"/>
      <c r="M101" s="12"/>
      <c r="N101" s="12" t="s">
        <v>2603</v>
      </c>
      <c r="O101" s="12"/>
      <c r="P101" s="12" t="s">
        <v>3790</v>
      </c>
      <c r="Q101" s="12"/>
      <c r="R101" s="12" t="s">
        <v>5</v>
      </c>
      <c r="S101" s="12" t="s">
        <v>3</v>
      </c>
      <c r="T101" s="13" t="s">
        <v>1547</v>
      </c>
      <c r="U101" s="12" t="str">
        <f t="shared" si="4"/>
        <v>No Material</v>
      </c>
      <c r="V101" s="12" t="str">
        <f t="shared" si="5"/>
        <v>SUKIMAN Zamhuri</v>
      </c>
      <c r="W101" s="13" t="str">
        <f t="shared" si="6"/>
        <v/>
      </c>
    </row>
    <row r="102" spans="1:23" ht="14.4" customHeight="1" x14ac:dyDescent="0.3">
      <c r="A102" s="13">
        <v>44598</v>
      </c>
      <c r="B102" s="12" t="s">
        <v>2887</v>
      </c>
      <c r="C102" s="12" t="s">
        <v>1542</v>
      </c>
      <c r="D102" s="5" t="s">
        <v>2885</v>
      </c>
      <c r="E102" s="12">
        <v>518</v>
      </c>
      <c r="F102" s="11" t="s">
        <v>2888</v>
      </c>
      <c r="G102" s="12" t="s">
        <v>7</v>
      </c>
      <c r="H102" s="12" t="s">
        <v>9</v>
      </c>
      <c r="I102" s="14" t="s">
        <v>4066</v>
      </c>
      <c r="J102" s="12" t="s">
        <v>1609</v>
      </c>
      <c r="K102" s="12" t="str">
        <f t="shared" si="7"/>
        <v>Open</v>
      </c>
      <c r="L102" s="26"/>
      <c r="M102" s="12"/>
      <c r="N102" s="12" t="s">
        <v>4428</v>
      </c>
      <c r="O102" s="12"/>
      <c r="P102" s="12" t="s">
        <v>3790</v>
      </c>
      <c r="Q102" s="12"/>
      <c r="R102" s="12" t="s">
        <v>3566</v>
      </c>
      <c r="S102" s="12" t="s">
        <v>3</v>
      </c>
      <c r="T102" s="12"/>
      <c r="U102" s="12" t="str">
        <f t="shared" si="4"/>
        <v>CM Open</v>
      </c>
      <c r="V102" s="12" t="str">
        <f t="shared" si="5"/>
        <v>SUKIMAN Zamhuri</v>
      </c>
      <c r="W102" s="13" t="str">
        <f t="shared" si="6"/>
        <v/>
      </c>
    </row>
    <row r="103" spans="1:23" ht="14.4" customHeight="1" x14ac:dyDescent="0.3">
      <c r="A103" s="13">
        <v>44598</v>
      </c>
      <c r="B103" s="12" t="s">
        <v>2889</v>
      </c>
      <c r="C103" s="12" t="s">
        <v>1542</v>
      </c>
      <c r="D103" s="5" t="s">
        <v>2885</v>
      </c>
      <c r="E103" s="12">
        <v>518</v>
      </c>
      <c r="F103" s="11" t="s">
        <v>2890</v>
      </c>
      <c r="G103" s="12" t="s">
        <v>7</v>
      </c>
      <c r="H103" s="12" t="s">
        <v>11</v>
      </c>
      <c r="I103" s="14" t="s">
        <v>3600</v>
      </c>
      <c r="J103" s="12" t="s">
        <v>1609</v>
      </c>
      <c r="K103" s="12" t="str">
        <f t="shared" si="7"/>
        <v>Open</v>
      </c>
      <c r="L103" s="26"/>
      <c r="M103" s="12"/>
      <c r="N103" s="12" t="s">
        <v>1652</v>
      </c>
      <c r="O103" s="12"/>
      <c r="P103" s="12" t="s">
        <v>3790</v>
      </c>
      <c r="Q103" s="12"/>
      <c r="R103" s="12" t="s">
        <v>3566</v>
      </c>
      <c r="S103" s="12" t="s">
        <v>3</v>
      </c>
      <c r="T103" s="12"/>
      <c r="U103" s="12" t="str">
        <f t="shared" si="4"/>
        <v>CM Open</v>
      </c>
      <c r="V103" s="12" t="str">
        <f t="shared" si="5"/>
        <v>SUKIMAN Zamhuri</v>
      </c>
      <c r="W103" s="13" t="str">
        <f t="shared" si="6"/>
        <v/>
      </c>
    </row>
    <row r="104" spans="1:23" ht="14.4" customHeight="1" x14ac:dyDescent="0.3">
      <c r="A104" s="13">
        <v>44600</v>
      </c>
      <c r="B104" s="12" t="s">
        <v>2942</v>
      </c>
      <c r="C104" s="12" t="s">
        <v>1542</v>
      </c>
      <c r="D104" s="5" t="s">
        <v>2943</v>
      </c>
      <c r="E104" s="12">
        <v>515</v>
      </c>
      <c r="F104" s="11" t="s">
        <v>2944</v>
      </c>
      <c r="G104" s="12" t="s">
        <v>7</v>
      </c>
      <c r="H104" s="12" t="s">
        <v>19</v>
      </c>
      <c r="I104" s="14" t="s">
        <v>3438</v>
      </c>
      <c r="J104" s="12" t="s">
        <v>1574</v>
      </c>
      <c r="K104" s="12" t="str">
        <f t="shared" si="7"/>
        <v>Closed</v>
      </c>
      <c r="L104" s="26">
        <v>44641</v>
      </c>
      <c r="M104" s="12"/>
      <c r="N104" s="12" t="s">
        <v>1652</v>
      </c>
      <c r="O104" s="12"/>
      <c r="P104" s="12" t="s">
        <v>3790</v>
      </c>
      <c r="Q104" s="12"/>
      <c r="R104" s="12"/>
      <c r="S104" s="12"/>
      <c r="T104" s="12"/>
      <c r="U104" s="12" t="str">
        <f t="shared" si="4"/>
        <v>NFF</v>
      </c>
      <c r="V104" s="12" t="str">
        <f t="shared" si="5"/>
        <v>DAOUDI Mohamed</v>
      </c>
      <c r="W104" s="13">
        <f t="shared" si="6"/>
        <v>44641</v>
      </c>
    </row>
    <row r="105" spans="1:23" ht="14.4" customHeight="1" x14ac:dyDescent="0.3">
      <c r="A105" s="13">
        <v>44600</v>
      </c>
      <c r="B105" s="12" t="s">
        <v>2945</v>
      </c>
      <c r="C105" s="12" t="s">
        <v>1542</v>
      </c>
      <c r="D105" s="5" t="s">
        <v>2943</v>
      </c>
      <c r="E105" s="12">
        <v>515</v>
      </c>
      <c r="F105" s="11" t="s">
        <v>1515</v>
      </c>
      <c r="G105" s="12" t="s">
        <v>7</v>
      </c>
      <c r="H105" s="12" t="s">
        <v>19</v>
      </c>
      <c r="I105" s="14"/>
      <c r="J105" s="12" t="s">
        <v>1609</v>
      </c>
      <c r="K105" s="12" t="str">
        <f t="shared" si="7"/>
        <v>Open</v>
      </c>
      <c r="L105" s="26"/>
      <c r="M105" s="12" t="s">
        <v>1516</v>
      </c>
      <c r="N105" s="12" t="s">
        <v>1652</v>
      </c>
      <c r="O105" s="12"/>
      <c r="P105" s="12" t="s">
        <v>3790</v>
      </c>
      <c r="Q105" s="12"/>
      <c r="R105" s="12" t="s">
        <v>5</v>
      </c>
      <c r="S105" s="12" t="s">
        <v>3</v>
      </c>
      <c r="T105" s="13" t="s">
        <v>1547</v>
      </c>
      <c r="U105" s="12" t="str">
        <f t="shared" si="4"/>
        <v>No Material</v>
      </c>
      <c r="V105" s="12" t="str">
        <f t="shared" si="5"/>
        <v>SUKIMAN Zamhuri</v>
      </c>
      <c r="W105" s="13" t="str">
        <f t="shared" si="6"/>
        <v/>
      </c>
    </row>
    <row r="106" spans="1:23" ht="14.4" customHeight="1" x14ac:dyDescent="0.3">
      <c r="A106" s="13">
        <v>44600</v>
      </c>
      <c r="B106" s="12" t="s">
        <v>2946</v>
      </c>
      <c r="C106" s="12" t="s">
        <v>1542</v>
      </c>
      <c r="D106" s="5" t="s">
        <v>2943</v>
      </c>
      <c r="E106" s="12">
        <v>515</v>
      </c>
      <c r="F106" s="11" t="s">
        <v>2947</v>
      </c>
      <c r="G106" s="12" t="s">
        <v>7</v>
      </c>
      <c r="H106" s="12" t="s">
        <v>19</v>
      </c>
      <c r="I106" s="14" t="s">
        <v>3344</v>
      </c>
      <c r="J106" s="12" t="s">
        <v>1545</v>
      </c>
      <c r="K106" s="12" t="str">
        <f t="shared" si="7"/>
        <v>Closed</v>
      </c>
      <c r="L106" s="26">
        <v>44635</v>
      </c>
      <c r="M106" s="12" t="s">
        <v>1514</v>
      </c>
      <c r="N106" s="12" t="s">
        <v>2683</v>
      </c>
      <c r="O106" s="12" t="s">
        <v>1675</v>
      </c>
      <c r="P106" s="12" t="s">
        <v>3790</v>
      </c>
      <c r="Q106" s="12"/>
      <c r="R106" s="12"/>
      <c r="S106" s="12"/>
      <c r="T106" s="13" t="s">
        <v>1547</v>
      </c>
      <c r="U106" s="12" t="str">
        <f t="shared" si="4"/>
        <v>Corrected</v>
      </c>
      <c r="V106" s="12" t="str">
        <f t="shared" si="5"/>
        <v>DAOUDI Mohamed</v>
      </c>
      <c r="W106" s="13">
        <f t="shared" si="6"/>
        <v>44635</v>
      </c>
    </row>
    <row r="107" spans="1:23" ht="14.4" customHeight="1" x14ac:dyDescent="0.3">
      <c r="A107" s="13">
        <v>44600</v>
      </c>
      <c r="B107" s="12" t="s">
        <v>2948</v>
      </c>
      <c r="C107" s="12" t="s">
        <v>1542</v>
      </c>
      <c r="D107" s="5" t="s">
        <v>2705</v>
      </c>
      <c r="E107" s="12">
        <v>507</v>
      </c>
      <c r="F107" s="11" t="s">
        <v>2949</v>
      </c>
      <c r="G107" s="12" t="s">
        <v>7</v>
      </c>
      <c r="H107" s="12" t="s">
        <v>11</v>
      </c>
      <c r="I107" s="14" t="s">
        <v>2950</v>
      </c>
      <c r="J107" s="12" t="s">
        <v>1574</v>
      </c>
      <c r="K107" s="12" t="str">
        <f t="shared" si="7"/>
        <v>Closed</v>
      </c>
      <c r="L107" s="26">
        <v>44609</v>
      </c>
      <c r="M107" s="12"/>
      <c r="N107" s="12" t="s">
        <v>2517</v>
      </c>
      <c r="O107" s="12"/>
      <c r="P107" s="12" t="s">
        <v>3790</v>
      </c>
      <c r="Q107" s="12"/>
      <c r="R107" s="12"/>
      <c r="S107" s="12"/>
      <c r="T107" s="13" t="s">
        <v>1547</v>
      </c>
      <c r="U107" s="12" t="str">
        <f t="shared" si="4"/>
        <v>NFF</v>
      </c>
      <c r="V107" s="12" t="str">
        <f t="shared" si="5"/>
        <v>FIRDUS Ahmad</v>
      </c>
      <c r="W107" s="13">
        <f t="shared" si="6"/>
        <v>44609</v>
      </c>
    </row>
    <row r="108" spans="1:23" ht="14.4" customHeight="1" x14ac:dyDescent="0.3">
      <c r="A108" s="13">
        <v>44600</v>
      </c>
      <c r="B108" s="12" t="s">
        <v>1488</v>
      </c>
      <c r="C108" s="12" t="s">
        <v>1542</v>
      </c>
      <c r="D108" s="5" t="s">
        <v>2951</v>
      </c>
      <c r="E108" s="12">
        <v>508</v>
      </c>
      <c r="F108" s="11" t="s">
        <v>2952</v>
      </c>
      <c r="G108" s="12" t="s">
        <v>7</v>
      </c>
      <c r="H108" s="12" t="s">
        <v>11</v>
      </c>
      <c r="I108" s="14" t="s">
        <v>2953</v>
      </c>
      <c r="J108" s="12" t="s">
        <v>1545</v>
      </c>
      <c r="K108" s="12" t="str">
        <f t="shared" si="7"/>
        <v>Closed</v>
      </c>
      <c r="L108" s="26">
        <v>44608</v>
      </c>
      <c r="M108" s="12" t="s">
        <v>1230</v>
      </c>
      <c r="N108" s="12" t="s">
        <v>4427</v>
      </c>
      <c r="O108" s="12" t="s">
        <v>3370</v>
      </c>
      <c r="P108" s="12" t="s">
        <v>3790</v>
      </c>
      <c r="Q108" s="12"/>
      <c r="R108" s="12"/>
      <c r="S108" s="12"/>
      <c r="T108" s="12"/>
      <c r="U108" s="12" t="str">
        <f t="shared" si="4"/>
        <v>Corrected</v>
      </c>
      <c r="V108" s="12" t="str">
        <f t="shared" si="5"/>
        <v>FIRDUS Ahmad</v>
      </c>
      <c r="W108" s="13">
        <f t="shared" si="6"/>
        <v>44608</v>
      </c>
    </row>
    <row r="109" spans="1:23" ht="14.4" customHeight="1" x14ac:dyDescent="0.3">
      <c r="A109" s="13">
        <v>44602</v>
      </c>
      <c r="B109" s="12" t="s">
        <v>2985</v>
      </c>
      <c r="C109" s="12" t="s">
        <v>1542</v>
      </c>
      <c r="D109" s="5"/>
      <c r="E109" s="12">
        <v>505</v>
      </c>
      <c r="F109" s="11" t="s">
        <v>2986</v>
      </c>
      <c r="G109" s="12" t="s">
        <v>7</v>
      </c>
      <c r="H109" s="12" t="s">
        <v>11</v>
      </c>
      <c r="I109" s="14"/>
      <c r="J109" s="12" t="s">
        <v>1609</v>
      </c>
      <c r="K109" s="12" t="str">
        <f t="shared" si="7"/>
        <v>Open</v>
      </c>
      <c r="L109" s="26"/>
      <c r="M109" s="12"/>
      <c r="N109" s="12" t="s">
        <v>3464</v>
      </c>
      <c r="O109" s="12"/>
      <c r="P109" s="12" t="s">
        <v>3790</v>
      </c>
      <c r="Q109" s="12"/>
      <c r="R109" s="12" t="s">
        <v>3566</v>
      </c>
      <c r="S109" s="12" t="s">
        <v>3</v>
      </c>
      <c r="T109" s="13" t="s">
        <v>1547</v>
      </c>
      <c r="U109" s="12" t="str">
        <f t="shared" si="4"/>
        <v>CM Open</v>
      </c>
      <c r="V109" s="12" t="str">
        <f t="shared" si="5"/>
        <v>SUKIMAN Zamhuri</v>
      </c>
      <c r="W109" s="13" t="str">
        <f t="shared" si="6"/>
        <v/>
      </c>
    </row>
    <row r="110" spans="1:23" ht="14.4" customHeight="1" x14ac:dyDescent="0.3">
      <c r="A110" s="13">
        <v>44602</v>
      </c>
      <c r="B110" s="12" t="s">
        <v>2987</v>
      </c>
      <c r="C110" s="12" t="s">
        <v>1542</v>
      </c>
      <c r="D110" s="5"/>
      <c r="E110" s="12">
        <v>510</v>
      </c>
      <c r="F110" s="11" t="s">
        <v>2988</v>
      </c>
      <c r="G110" s="12" t="s">
        <v>7</v>
      </c>
      <c r="H110" s="12" t="s">
        <v>9</v>
      </c>
      <c r="I110" s="14" t="s">
        <v>4066</v>
      </c>
      <c r="J110" s="12" t="s">
        <v>1609</v>
      </c>
      <c r="K110" s="12" t="str">
        <f t="shared" si="7"/>
        <v>Open</v>
      </c>
      <c r="L110" s="26"/>
      <c r="M110" s="12"/>
      <c r="N110" s="12" t="s">
        <v>4428</v>
      </c>
      <c r="O110" s="12"/>
      <c r="P110" s="12" t="s">
        <v>3790</v>
      </c>
      <c r="Q110" s="12"/>
      <c r="R110" s="12" t="s">
        <v>3566</v>
      </c>
      <c r="S110" s="12" t="s">
        <v>3</v>
      </c>
      <c r="T110" s="13" t="s">
        <v>1547</v>
      </c>
      <c r="U110" s="12" t="str">
        <f t="shared" si="4"/>
        <v>CM Open</v>
      </c>
      <c r="V110" s="12" t="str">
        <f t="shared" si="5"/>
        <v>SUKIMAN Zamhuri</v>
      </c>
      <c r="W110" s="13" t="str">
        <f t="shared" si="6"/>
        <v/>
      </c>
    </row>
    <row r="111" spans="1:23" ht="14.4" customHeight="1" x14ac:dyDescent="0.3">
      <c r="A111" s="13">
        <v>44603</v>
      </c>
      <c r="B111" s="12" t="s">
        <v>3009</v>
      </c>
      <c r="C111" s="12" t="s">
        <v>1542</v>
      </c>
      <c r="D111" s="5" t="s">
        <v>3010</v>
      </c>
      <c r="E111" s="12">
        <v>501</v>
      </c>
      <c r="F111" s="11" t="s">
        <v>3011</v>
      </c>
      <c r="G111" s="12" t="s">
        <v>7</v>
      </c>
      <c r="H111" s="12" t="s">
        <v>11</v>
      </c>
      <c r="I111" s="14" t="s">
        <v>3012</v>
      </c>
      <c r="J111" s="12" t="s">
        <v>1574</v>
      </c>
      <c r="K111" s="12" t="str">
        <f t="shared" si="7"/>
        <v>Closed</v>
      </c>
      <c r="L111" s="26">
        <v>44626</v>
      </c>
      <c r="M111" s="12"/>
      <c r="N111" s="12" t="s">
        <v>1652</v>
      </c>
      <c r="O111" s="12"/>
      <c r="P111" s="12" t="s">
        <v>3790</v>
      </c>
      <c r="Q111" s="12"/>
      <c r="R111" s="12"/>
      <c r="S111" s="12"/>
      <c r="T111" s="13" t="s">
        <v>1547</v>
      </c>
      <c r="U111" s="12" t="str">
        <f t="shared" si="4"/>
        <v>NFF</v>
      </c>
      <c r="V111" s="12" t="str">
        <f t="shared" si="5"/>
        <v>FIRDUS Ahmad</v>
      </c>
      <c r="W111" s="13">
        <f t="shared" si="6"/>
        <v>44626</v>
      </c>
    </row>
    <row r="112" spans="1:23" ht="14.4" customHeight="1" x14ac:dyDescent="0.3">
      <c r="A112" s="13">
        <v>44603</v>
      </c>
      <c r="B112" s="12" t="s">
        <v>3013</v>
      </c>
      <c r="C112" s="12" t="s">
        <v>1542</v>
      </c>
      <c r="D112" s="5" t="s">
        <v>3010</v>
      </c>
      <c r="E112" s="12">
        <v>501</v>
      </c>
      <c r="F112" s="11" t="s">
        <v>3014</v>
      </c>
      <c r="G112" s="12" t="s">
        <v>7</v>
      </c>
      <c r="H112" s="12" t="s">
        <v>11</v>
      </c>
      <c r="I112" s="14" t="s">
        <v>3015</v>
      </c>
      <c r="J112" s="12" t="s">
        <v>1574</v>
      </c>
      <c r="K112" s="12" t="str">
        <f t="shared" si="7"/>
        <v>Closed</v>
      </c>
      <c r="L112" s="26">
        <v>44626</v>
      </c>
      <c r="M112" s="12"/>
      <c r="N112" s="12" t="s">
        <v>2528</v>
      </c>
      <c r="O112" s="12"/>
      <c r="P112" s="12" t="s">
        <v>3790</v>
      </c>
      <c r="Q112" s="12"/>
      <c r="R112" s="12"/>
      <c r="S112" s="12"/>
      <c r="T112" s="13" t="s">
        <v>1547</v>
      </c>
      <c r="U112" s="12" t="str">
        <f t="shared" si="4"/>
        <v>NFF</v>
      </c>
      <c r="V112" s="12" t="str">
        <f t="shared" si="5"/>
        <v>FIRDUS Ahmad</v>
      </c>
      <c r="W112" s="13">
        <f t="shared" si="6"/>
        <v>44626</v>
      </c>
    </row>
    <row r="113" spans="1:23" ht="14.4" customHeight="1" x14ac:dyDescent="0.3">
      <c r="A113" s="13">
        <v>44603</v>
      </c>
      <c r="B113" s="12" t="s">
        <v>3016</v>
      </c>
      <c r="C113" s="12" t="s">
        <v>1542</v>
      </c>
      <c r="D113" s="5" t="s">
        <v>3017</v>
      </c>
      <c r="E113" s="12">
        <v>506</v>
      </c>
      <c r="F113" s="11" t="s">
        <v>3018</v>
      </c>
      <c r="G113" s="12" t="s">
        <v>7</v>
      </c>
      <c r="H113" s="12" t="s">
        <v>12</v>
      </c>
      <c r="I113" s="14"/>
      <c r="J113" s="12" t="s">
        <v>1582</v>
      </c>
      <c r="K113" s="12" t="str">
        <f t="shared" si="7"/>
        <v>Open</v>
      </c>
      <c r="L113" s="26"/>
      <c r="M113" s="12"/>
      <c r="N113" s="12" t="s">
        <v>2517</v>
      </c>
      <c r="O113" s="12"/>
      <c r="P113" s="12" t="s">
        <v>3790</v>
      </c>
      <c r="Q113" s="12"/>
      <c r="R113" s="12"/>
      <c r="S113" s="12"/>
      <c r="T113" s="12"/>
      <c r="U113" s="12" t="str">
        <f t="shared" si="4"/>
        <v>Not Started</v>
      </c>
      <c r="V113" s="12" t="str">
        <f t="shared" si="5"/>
        <v>ALOWAINI Shawqi</v>
      </c>
      <c r="W113" s="13" t="str">
        <f t="shared" si="6"/>
        <v/>
      </c>
    </row>
    <row r="114" spans="1:23" ht="14.4" customHeight="1" x14ac:dyDescent="0.3">
      <c r="A114" s="13">
        <v>44603</v>
      </c>
      <c r="B114" s="12" t="s">
        <v>3019</v>
      </c>
      <c r="C114" s="12" t="s">
        <v>1542</v>
      </c>
      <c r="D114" s="5" t="s">
        <v>3010</v>
      </c>
      <c r="E114" s="12">
        <v>501</v>
      </c>
      <c r="F114" s="11" t="s">
        <v>3020</v>
      </c>
      <c r="G114" s="12" t="s">
        <v>7</v>
      </c>
      <c r="H114" s="12" t="s">
        <v>11</v>
      </c>
      <c r="I114" s="14" t="s">
        <v>3021</v>
      </c>
      <c r="J114" s="12" t="s">
        <v>1545</v>
      </c>
      <c r="K114" s="12" t="str">
        <f t="shared" si="7"/>
        <v>Closed</v>
      </c>
      <c r="L114" s="26">
        <v>44609</v>
      </c>
      <c r="M114" s="12"/>
      <c r="N114" s="12" t="s">
        <v>2517</v>
      </c>
      <c r="O114" s="12"/>
      <c r="P114" s="12" t="s">
        <v>3790</v>
      </c>
      <c r="Q114" s="12"/>
      <c r="R114" s="12"/>
      <c r="S114" s="12"/>
      <c r="T114" s="12"/>
      <c r="U114" s="12" t="str">
        <f t="shared" si="4"/>
        <v>Corrected</v>
      </c>
      <c r="V114" s="12" t="str">
        <f t="shared" si="5"/>
        <v>FIRDUS Ahmad</v>
      </c>
      <c r="W114" s="13">
        <f t="shared" si="6"/>
        <v>44609</v>
      </c>
    </row>
    <row r="115" spans="1:23" ht="14.4" customHeight="1" x14ac:dyDescent="0.3">
      <c r="A115" s="13">
        <v>44605</v>
      </c>
      <c r="B115" s="12" t="s">
        <v>3024</v>
      </c>
      <c r="C115" s="12" t="s">
        <v>1716</v>
      </c>
      <c r="D115" s="5" t="s">
        <v>1675</v>
      </c>
      <c r="E115" s="12">
        <v>514</v>
      </c>
      <c r="F115" s="11" t="s">
        <v>3023</v>
      </c>
      <c r="G115" s="12" t="s">
        <v>7</v>
      </c>
      <c r="H115" s="12" t="s">
        <v>9</v>
      </c>
      <c r="I115" s="14"/>
      <c r="J115" s="12" t="s">
        <v>1609</v>
      </c>
      <c r="K115" s="12" t="str">
        <f t="shared" si="7"/>
        <v>Open</v>
      </c>
      <c r="L115" s="26"/>
      <c r="M115" s="12" t="s">
        <v>1482</v>
      </c>
      <c r="N115" s="12" t="s">
        <v>2683</v>
      </c>
      <c r="O115" s="12"/>
      <c r="P115" s="12" t="s">
        <v>3790</v>
      </c>
      <c r="Q115" s="12"/>
      <c r="R115" s="12" t="s">
        <v>1545</v>
      </c>
      <c r="S115" s="12" t="s">
        <v>3</v>
      </c>
      <c r="T115" s="13">
        <v>44641</v>
      </c>
      <c r="U115" s="12" t="str">
        <f t="shared" si="4"/>
        <v>Corrected</v>
      </c>
      <c r="V115" s="12" t="str">
        <f t="shared" si="5"/>
        <v>SUKIMAN Zamhuri</v>
      </c>
      <c r="W115" s="13">
        <f t="shared" si="6"/>
        <v>44641</v>
      </c>
    </row>
    <row r="116" spans="1:23" ht="14.4" customHeight="1" x14ac:dyDescent="0.3">
      <c r="A116" s="13">
        <v>44606</v>
      </c>
      <c r="B116" s="12" t="s">
        <v>3039</v>
      </c>
      <c r="C116" s="12" t="s">
        <v>1542</v>
      </c>
      <c r="D116" s="5" t="s">
        <v>3040</v>
      </c>
      <c r="E116" s="12">
        <v>514</v>
      </c>
      <c r="F116" s="11" t="s">
        <v>3041</v>
      </c>
      <c r="G116" s="12" t="s">
        <v>7</v>
      </c>
      <c r="H116" s="12" t="s">
        <v>14</v>
      </c>
      <c r="I116" s="14" t="s">
        <v>3773</v>
      </c>
      <c r="J116" s="12" t="s">
        <v>1609</v>
      </c>
      <c r="K116" s="12" t="str">
        <f t="shared" si="7"/>
        <v>Open</v>
      </c>
      <c r="L116" s="26">
        <v>44662</v>
      </c>
      <c r="M116" s="12"/>
      <c r="N116" s="12" t="s">
        <v>4427</v>
      </c>
      <c r="O116" s="12"/>
      <c r="P116" s="12" t="s">
        <v>3790</v>
      </c>
      <c r="Q116" s="12"/>
      <c r="R116" s="12" t="s">
        <v>3566</v>
      </c>
      <c r="S116" s="12" t="s">
        <v>3</v>
      </c>
      <c r="T116" s="13" t="s">
        <v>1547</v>
      </c>
      <c r="U116" s="12" t="str">
        <f t="shared" si="4"/>
        <v>CM Open</v>
      </c>
      <c r="V116" s="12" t="str">
        <f t="shared" si="5"/>
        <v>SUKIMAN Zamhuri</v>
      </c>
      <c r="W116" s="13" t="str">
        <f t="shared" si="6"/>
        <v/>
      </c>
    </row>
    <row r="117" spans="1:23" ht="14.4" customHeight="1" x14ac:dyDescent="0.3">
      <c r="A117" s="13">
        <v>44606</v>
      </c>
      <c r="B117" s="12" t="s">
        <v>3042</v>
      </c>
      <c r="C117" s="12" t="s">
        <v>1542</v>
      </c>
      <c r="D117" s="5" t="s">
        <v>3043</v>
      </c>
      <c r="E117" s="12">
        <v>516</v>
      </c>
      <c r="F117" s="11" t="s">
        <v>3044</v>
      </c>
      <c r="G117" s="12" t="s">
        <v>7</v>
      </c>
      <c r="H117" s="12" t="s">
        <v>19</v>
      </c>
      <c r="I117" s="14" t="s">
        <v>3520</v>
      </c>
      <c r="J117" s="12" t="s">
        <v>1545</v>
      </c>
      <c r="K117" s="12" t="str">
        <f t="shared" si="7"/>
        <v>Closed</v>
      </c>
      <c r="L117" s="26">
        <v>44647</v>
      </c>
      <c r="M117" s="12"/>
      <c r="N117" s="12" t="s">
        <v>2638</v>
      </c>
      <c r="O117" s="12" t="s">
        <v>1675</v>
      </c>
      <c r="P117" s="12" t="s">
        <v>3790</v>
      </c>
      <c r="Q117" s="12"/>
      <c r="R117" s="12"/>
      <c r="S117" s="12"/>
      <c r="T117" s="13" t="s">
        <v>1547</v>
      </c>
      <c r="U117" s="12" t="str">
        <f t="shared" si="4"/>
        <v>Corrected</v>
      </c>
      <c r="V117" s="12" t="str">
        <f t="shared" si="5"/>
        <v>DAOUDI Mohamed</v>
      </c>
      <c r="W117" s="13">
        <f t="shared" si="6"/>
        <v>44647</v>
      </c>
    </row>
    <row r="118" spans="1:23" ht="14.4" customHeight="1" x14ac:dyDescent="0.3">
      <c r="A118" s="13">
        <v>44606</v>
      </c>
      <c r="B118" s="12" t="s">
        <v>3045</v>
      </c>
      <c r="C118" s="12" t="s">
        <v>1542</v>
      </c>
      <c r="D118" s="5" t="s">
        <v>3043</v>
      </c>
      <c r="E118" s="12">
        <v>516</v>
      </c>
      <c r="F118" s="11" t="s">
        <v>3046</v>
      </c>
      <c r="G118" s="12" t="s">
        <v>7</v>
      </c>
      <c r="H118" s="12" t="s">
        <v>14</v>
      </c>
      <c r="I118" s="14" t="s">
        <v>3774</v>
      </c>
      <c r="J118" s="12" t="s">
        <v>1609</v>
      </c>
      <c r="K118" s="12" t="str">
        <f t="shared" si="7"/>
        <v>Open</v>
      </c>
      <c r="L118" s="26">
        <v>44662</v>
      </c>
      <c r="M118" s="12"/>
      <c r="N118" s="12" t="s">
        <v>4427</v>
      </c>
      <c r="O118" s="12"/>
      <c r="P118" s="12" t="s">
        <v>3790</v>
      </c>
      <c r="Q118" s="12"/>
      <c r="R118" s="12" t="s">
        <v>3566</v>
      </c>
      <c r="S118" s="12" t="s">
        <v>3</v>
      </c>
      <c r="T118" s="13" t="s">
        <v>1547</v>
      </c>
      <c r="U118" s="12" t="str">
        <f t="shared" si="4"/>
        <v>CM Open</v>
      </c>
      <c r="V118" s="12" t="str">
        <f t="shared" si="5"/>
        <v>SUKIMAN Zamhuri</v>
      </c>
      <c r="W118" s="13" t="str">
        <f t="shared" si="6"/>
        <v/>
      </c>
    </row>
    <row r="119" spans="1:23" ht="14.4" customHeight="1" x14ac:dyDescent="0.3">
      <c r="A119" s="13">
        <v>44606</v>
      </c>
      <c r="B119" s="12" t="s">
        <v>3047</v>
      </c>
      <c r="C119" s="12" t="s">
        <v>1542</v>
      </c>
      <c r="D119" s="5" t="s">
        <v>3043</v>
      </c>
      <c r="E119" s="12">
        <v>516</v>
      </c>
      <c r="F119" s="11" t="s">
        <v>3048</v>
      </c>
      <c r="G119" s="12" t="s">
        <v>7</v>
      </c>
      <c r="H119" s="12" t="s">
        <v>11</v>
      </c>
      <c r="I119" s="14" t="s">
        <v>3521</v>
      </c>
      <c r="J119" s="12" t="s">
        <v>1574</v>
      </c>
      <c r="K119" s="12" t="str">
        <f t="shared" si="7"/>
        <v>Closed</v>
      </c>
      <c r="L119" s="26">
        <v>44647</v>
      </c>
      <c r="M119" s="12"/>
      <c r="N119" s="12" t="s">
        <v>2517</v>
      </c>
      <c r="O119" s="12"/>
      <c r="P119" s="12" t="s">
        <v>3790</v>
      </c>
      <c r="Q119" s="12"/>
      <c r="R119" s="12"/>
      <c r="S119" s="12"/>
      <c r="T119" s="13" t="s">
        <v>1547</v>
      </c>
      <c r="U119" s="12" t="str">
        <f t="shared" si="4"/>
        <v>NFF</v>
      </c>
      <c r="V119" s="12" t="str">
        <f t="shared" si="5"/>
        <v>FIRDUS Ahmad</v>
      </c>
      <c r="W119" s="13">
        <f t="shared" si="6"/>
        <v>44647</v>
      </c>
    </row>
    <row r="120" spans="1:23" ht="14.4" customHeight="1" x14ac:dyDescent="0.3">
      <c r="A120" s="13">
        <v>44607</v>
      </c>
      <c r="B120" s="12" t="s">
        <v>3057</v>
      </c>
      <c r="C120" s="12" t="s">
        <v>1542</v>
      </c>
      <c r="D120" s="5" t="s">
        <v>3058</v>
      </c>
      <c r="E120" s="12">
        <v>502</v>
      </c>
      <c r="F120" s="11" t="s">
        <v>3059</v>
      </c>
      <c r="G120" s="12" t="s">
        <v>7</v>
      </c>
      <c r="H120" s="12" t="s">
        <v>14</v>
      </c>
      <c r="I120" s="14" t="s">
        <v>3778</v>
      </c>
      <c r="J120" s="12" t="s">
        <v>1609</v>
      </c>
      <c r="K120" s="12" t="str">
        <f t="shared" si="7"/>
        <v>Open</v>
      </c>
      <c r="L120" s="26">
        <v>44662</v>
      </c>
      <c r="M120" s="12"/>
      <c r="N120" s="12" t="s">
        <v>4427</v>
      </c>
      <c r="O120" s="12"/>
      <c r="P120" s="12" t="s">
        <v>3790</v>
      </c>
      <c r="Q120" s="12"/>
      <c r="R120" s="12" t="s">
        <v>3566</v>
      </c>
      <c r="S120" s="12" t="s">
        <v>3</v>
      </c>
      <c r="T120" s="13"/>
      <c r="U120" s="12" t="str">
        <f t="shared" si="4"/>
        <v>CM Open</v>
      </c>
      <c r="V120" s="12" t="str">
        <f t="shared" si="5"/>
        <v>SUKIMAN Zamhuri</v>
      </c>
      <c r="W120" s="13" t="str">
        <f t="shared" si="6"/>
        <v/>
      </c>
    </row>
    <row r="121" spans="1:23" ht="14.4" customHeight="1" x14ac:dyDescent="0.3">
      <c r="A121" s="13">
        <v>44607</v>
      </c>
      <c r="B121" s="12" t="s">
        <v>3060</v>
      </c>
      <c r="C121" s="12" t="s">
        <v>1542</v>
      </c>
      <c r="D121" s="5" t="s">
        <v>3061</v>
      </c>
      <c r="E121" s="12">
        <v>512</v>
      </c>
      <c r="F121" s="11" t="s">
        <v>3059</v>
      </c>
      <c r="G121" s="12" t="s">
        <v>7</v>
      </c>
      <c r="H121" s="12" t="s">
        <v>14</v>
      </c>
      <c r="I121" s="14" t="s">
        <v>3778</v>
      </c>
      <c r="J121" s="12" t="s">
        <v>1609</v>
      </c>
      <c r="K121" s="12" t="str">
        <f t="shared" si="7"/>
        <v>Open</v>
      </c>
      <c r="L121" s="26">
        <v>44662</v>
      </c>
      <c r="M121" s="12"/>
      <c r="N121" s="12" t="s">
        <v>4427</v>
      </c>
      <c r="O121" s="12"/>
      <c r="P121" s="12" t="s">
        <v>3790</v>
      </c>
      <c r="Q121" s="12"/>
      <c r="R121" s="12" t="s">
        <v>3566</v>
      </c>
      <c r="S121" s="12" t="s">
        <v>3</v>
      </c>
      <c r="T121" s="12"/>
      <c r="U121" s="12" t="str">
        <f t="shared" si="4"/>
        <v>CM Open</v>
      </c>
      <c r="V121" s="12" t="str">
        <f t="shared" si="5"/>
        <v>SUKIMAN Zamhuri</v>
      </c>
      <c r="W121" s="13" t="str">
        <f t="shared" si="6"/>
        <v/>
      </c>
    </row>
    <row r="122" spans="1:23" ht="14.4" customHeight="1" x14ac:dyDescent="0.3">
      <c r="A122" s="13">
        <v>44608</v>
      </c>
      <c r="B122" s="12" t="s">
        <v>1507</v>
      </c>
      <c r="C122" s="12" t="s">
        <v>1690</v>
      </c>
      <c r="D122" s="5" t="s">
        <v>1675</v>
      </c>
      <c r="E122" s="12">
        <v>501</v>
      </c>
      <c r="F122" s="11" t="s">
        <v>3062</v>
      </c>
      <c r="G122" s="12" t="s">
        <v>1</v>
      </c>
      <c r="H122" s="12" t="s">
        <v>11</v>
      </c>
      <c r="I122" s="14" t="s">
        <v>4155</v>
      </c>
      <c r="J122" s="12" t="s">
        <v>1545</v>
      </c>
      <c r="K122" s="12" t="str">
        <f t="shared" si="7"/>
        <v>Closed</v>
      </c>
      <c r="L122" s="26">
        <v>44612</v>
      </c>
      <c r="M122" s="12"/>
      <c r="N122" s="12" t="s">
        <v>3465</v>
      </c>
      <c r="O122" s="12"/>
      <c r="P122" s="12" t="s">
        <v>2788</v>
      </c>
      <c r="Q122" s="12"/>
      <c r="R122" s="12"/>
      <c r="S122" s="12"/>
      <c r="T122" s="12"/>
      <c r="U122" s="12" t="str">
        <f t="shared" si="4"/>
        <v>Corrected</v>
      </c>
      <c r="V122" s="12" t="str">
        <f t="shared" si="5"/>
        <v>FIRDUS Ahmad</v>
      </c>
      <c r="W122" s="13">
        <f t="shared" si="6"/>
        <v>44612</v>
      </c>
    </row>
    <row r="123" spans="1:23" ht="14.4" customHeight="1" x14ac:dyDescent="0.3">
      <c r="A123" s="13">
        <v>44608</v>
      </c>
      <c r="B123" s="12" t="s">
        <v>3085</v>
      </c>
      <c r="C123" s="12" t="s">
        <v>1542</v>
      </c>
      <c r="D123" s="5" t="s">
        <v>3086</v>
      </c>
      <c r="E123" s="12">
        <v>503</v>
      </c>
      <c r="F123" s="14" t="s">
        <v>4156</v>
      </c>
      <c r="G123" s="12" t="s">
        <v>7</v>
      </c>
      <c r="H123" s="12" t="s">
        <v>12</v>
      </c>
      <c r="I123" s="14"/>
      <c r="J123" s="12" t="s">
        <v>1582</v>
      </c>
      <c r="K123" s="12" t="str">
        <f t="shared" si="7"/>
        <v>Open</v>
      </c>
      <c r="L123" s="26"/>
      <c r="M123" s="12"/>
      <c r="N123" s="12" t="s">
        <v>4427</v>
      </c>
      <c r="O123" s="12"/>
      <c r="P123" s="12" t="s">
        <v>3790</v>
      </c>
      <c r="Q123" s="12"/>
      <c r="R123" s="12"/>
      <c r="S123" s="12"/>
      <c r="T123" s="12"/>
      <c r="U123" s="12" t="str">
        <f t="shared" si="4"/>
        <v>Not Started</v>
      </c>
      <c r="V123" s="12" t="str">
        <f t="shared" si="5"/>
        <v>ALOWAINI Shawqi</v>
      </c>
      <c r="W123" s="13" t="str">
        <f t="shared" si="6"/>
        <v/>
      </c>
    </row>
    <row r="124" spans="1:23" ht="14.4" customHeight="1" x14ac:dyDescent="0.3">
      <c r="A124" s="13">
        <v>44608</v>
      </c>
      <c r="B124" s="12" t="s">
        <v>3087</v>
      </c>
      <c r="C124" s="12" t="s">
        <v>1542</v>
      </c>
      <c r="D124" s="5" t="s">
        <v>3086</v>
      </c>
      <c r="E124" s="12">
        <v>503</v>
      </c>
      <c r="F124" s="11" t="s">
        <v>3088</v>
      </c>
      <c r="G124" s="12" t="s">
        <v>7</v>
      </c>
      <c r="H124" s="12" t="s">
        <v>12</v>
      </c>
      <c r="I124" s="14"/>
      <c r="J124" s="12" t="s">
        <v>1582</v>
      </c>
      <c r="K124" s="12" t="str">
        <f t="shared" si="7"/>
        <v>Open</v>
      </c>
      <c r="L124" s="26"/>
      <c r="M124" s="12"/>
      <c r="N124" s="12" t="s">
        <v>2517</v>
      </c>
      <c r="O124" s="12"/>
      <c r="P124" s="12" t="s">
        <v>3790</v>
      </c>
      <c r="Q124" s="12"/>
      <c r="R124" s="12"/>
      <c r="S124" s="12"/>
      <c r="T124" s="13" t="s">
        <v>1547</v>
      </c>
      <c r="U124" s="12" t="str">
        <f t="shared" si="4"/>
        <v>Not Started</v>
      </c>
      <c r="V124" s="12" t="str">
        <f t="shared" si="5"/>
        <v>ALOWAINI Shawqi</v>
      </c>
      <c r="W124" s="13" t="str">
        <f t="shared" si="6"/>
        <v/>
      </c>
    </row>
    <row r="125" spans="1:23" ht="14.4" customHeight="1" x14ac:dyDescent="0.3">
      <c r="A125" s="13">
        <v>44608</v>
      </c>
      <c r="B125" s="12" t="s">
        <v>3089</v>
      </c>
      <c r="C125" s="12" t="s">
        <v>1542</v>
      </c>
      <c r="D125" s="5" t="s">
        <v>3090</v>
      </c>
      <c r="E125" s="12">
        <v>503</v>
      </c>
      <c r="F125" s="11" t="s">
        <v>3091</v>
      </c>
      <c r="G125" s="12" t="s">
        <v>7</v>
      </c>
      <c r="H125" s="12" t="s">
        <v>12</v>
      </c>
      <c r="I125" s="14"/>
      <c r="J125" s="12" t="s">
        <v>1582</v>
      </c>
      <c r="K125" s="12" t="str">
        <f t="shared" si="7"/>
        <v>Open</v>
      </c>
      <c r="L125" s="26"/>
      <c r="M125" s="12"/>
      <c r="N125" s="12" t="s">
        <v>4427</v>
      </c>
      <c r="O125" s="12"/>
      <c r="P125" s="12" t="s">
        <v>3790</v>
      </c>
      <c r="Q125" s="12"/>
      <c r="R125" s="12"/>
      <c r="S125" s="12"/>
      <c r="T125" s="13" t="s">
        <v>1547</v>
      </c>
      <c r="U125" s="12" t="str">
        <f t="shared" si="4"/>
        <v>Not Started</v>
      </c>
      <c r="V125" s="12" t="str">
        <f t="shared" si="5"/>
        <v>ALOWAINI Shawqi</v>
      </c>
      <c r="W125" s="13" t="str">
        <f t="shared" si="6"/>
        <v/>
      </c>
    </row>
    <row r="126" spans="1:23" ht="14.4" customHeight="1" x14ac:dyDescent="0.3">
      <c r="A126" s="13">
        <v>44608</v>
      </c>
      <c r="B126" s="12" t="s">
        <v>3092</v>
      </c>
      <c r="C126" s="12" t="s">
        <v>1542</v>
      </c>
      <c r="D126" s="5" t="s">
        <v>3090</v>
      </c>
      <c r="E126" s="12">
        <v>503</v>
      </c>
      <c r="F126" s="11" t="s">
        <v>3093</v>
      </c>
      <c r="G126" s="12" t="s">
        <v>7</v>
      </c>
      <c r="H126" s="12" t="s">
        <v>293</v>
      </c>
      <c r="I126" s="14"/>
      <c r="J126" s="12" t="s">
        <v>1582</v>
      </c>
      <c r="K126" s="12" t="str">
        <f t="shared" si="7"/>
        <v>Open</v>
      </c>
      <c r="L126" s="26"/>
      <c r="M126" s="12"/>
      <c r="N126" s="12" t="s">
        <v>4428</v>
      </c>
      <c r="O126" s="12"/>
      <c r="P126" s="12" t="s">
        <v>3790</v>
      </c>
      <c r="Q126" s="12"/>
      <c r="R126" s="12"/>
      <c r="S126" s="12"/>
      <c r="T126" s="13" t="s">
        <v>1547</v>
      </c>
      <c r="U126" s="12" t="str">
        <f t="shared" si="4"/>
        <v>Not Started</v>
      </c>
      <c r="V126" s="12" t="str">
        <f t="shared" si="5"/>
        <v>RASHEED Imran</v>
      </c>
      <c r="W126" s="13" t="str">
        <f t="shared" si="6"/>
        <v/>
      </c>
    </row>
    <row r="127" spans="1:23" ht="14.4" customHeight="1" x14ac:dyDescent="0.3">
      <c r="A127" s="13">
        <v>44609</v>
      </c>
      <c r="B127" s="12" t="s">
        <v>3094</v>
      </c>
      <c r="C127" s="12" t="s">
        <v>1542</v>
      </c>
      <c r="D127" s="5" t="s">
        <v>3090</v>
      </c>
      <c r="E127" s="12">
        <v>503</v>
      </c>
      <c r="F127" s="11" t="s">
        <v>3088</v>
      </c>
      <c r="G127" s="12" t="s">
        <v>7</v>
      </c>
      <c r="H127" s="12" t="s">
        <v>12</v>
      </c>
      <c r="I127" s="14"/>
      <c r="J127" s="12" t="s">
        <v>1582</v>
      </c>
      <c r="K127" s="12" t="str">
        <f t="shared" si="7"/>
        <v>Open</v>
      </c>
      <c r="L127" s="26"/>
      <c r="M127" s="12"/>
      <c r="N127" s="12" t="s">
        <v>2517</v>
      </c>
      <c r="O127" s="12"/>
      <c r="P127" s="12" t="s">
        <v>3790</v>
      </c>
      <c r="Q127" s="12"/>
      <c r="R127" s="12"/>
      <c r="S127" s="12"/>
      <c r="T127" s="13" t="s">
        <v>1547</v>
      </c>
      <c r="U127" s="12" t="str">
        <f t="shared" si="4"/>
        <v>Not Started</v>
      </c>
      <c r="V127" s="12" t="str">
        <f t="shared" si="5"/>
        <v>ALOWAINI Shawqi</v>
      </c>
      <c r="W127" s="13" t="str">
        <f t="shared" si="6"/>
        <v/>
      </c>
    </row>
    <row r="128" spans="1:23" ht="14.4" customHeight="1" x14ac:dyDescent="0.3">
      <c r="A128" s="13">
        <v>44609</v>
      </c>
      <c r="B128" s="12" t="s">
        <v>3095</v>
      </c>
      <c r="C128" s="12" t="s">
        <v>1687</v>
      </c>
      <c r="D128" s="5"/>
      <c r="E128" s="12">
        <v>515</v>
      </c>
      <c r="F128" s="11" t="s">
        <v>3096</v>
      </c>
      <c r="G128" s="12" t="s">
        <v>7</v>
      </c>
      <c r="H128" s="12" t="s">
        <v>17</v>
      </c>
      <c r="I128" s="14" t="s">
        <v>3097</v>
      </c>
      <c r="J128" s="12" t="s">
        <v>1545</v>
      </c>
      <c r="K128" s="12" t="str">
        <f t="shared" si="7"/>
        <v>Closed</v>
      </c>
      <c r="L128" s="26">
        <v>44609</v>
      </c>
      <c r="M128" s="12"/>
      <c r="N128" s="12" t="s">
        <v>4427</v>
      </c>
      <c r="O128" s="12" t="s">
        <v>3371</v>
      </c>
      <c r="P128" s="12" t="s">
        <v>3790</v>
      </c>
      <c r="Q128" s="12"/>
      <c r="R128" s="12"/>
      <c r="S128" s="12"/>
      <c r="T128" s="13" t="s">
        <v>1547</v>
      </c>
      <c r="U128" s="12" t="str">
        <f t="shared" si="4"/>
        <v>Corrected</v>
      </c>
      <c r="V128" s="12" t="str">
        <f t="shared" si="5"/>
        <v>FATHI Charafeddine</v>
      </c>
      <c r="W128" s="13">
        <f t="shared" si="6"/>
        <v>44609</v>
      </c>
    </row>
    <row r="129" spans="1:23" ht="14.4" customHeight="1" x14ac:dyDescent="0.3">
      <c r="A129" s="13">
        <v>44609</v>
      </c>
      <c r="B129" s="12" t="s">
        <v>3106</v>
      </c>
      <c r="C129" s="12" t="s">
        <v>1542</v>
      </c>
      <c r="D129" s="5" t="s">
        <v>3107</v>
      </c>
      <c r="E129" s="12">
        <v>517</v>
      </c>
      <c r="F129" s="14" t="s">
        <v>4157</v>
      </c>
      <c r="G129" s="12" t="s">
        <v>4</v>
      </c>
      <c r="H129" s="12" t="s">
        <v>11</v>
      </c>
      <c r="I129" s="14" t="s">
        <v>3109</v>
      </c>
      <c r="J129" s="12" t="s">
        <v>1545</v>
      </c>
      <c r="K129" s="12" t="str">
        <f t="shared" si="7"/>
        <v>Closed</v>
      </c>
      <c r="L129" s="26">
        <v>44621</v>
      </c>
      <c r="M129" s="12" t="s">
        <v>3108</v>
      </c>
      <c r="N129" s="12" t="s">
        <v>4449</v>
      </c>
      <c r="O129" s="12" t="s">
        <v>3390</v>
      </c>
      <c r="P129" s="12" t="s">
        <v>3790</v>
      </c>
      <c r="Q129" s="12"/>
      <c r="R129" s="12"/>
      <c r="S129" s="12"/>
      <c r="T129" s="12"/>
      <c r="U129" s="12" t="str">
        <f t="shared" si="4"/>
        <v>Corrected</v>
      </c>
      <c r="V129" s="12" t="str">
        <f t="shared" si="5"/>
        <v>FIRDUS Ahmad</v>
      </c>
      <c r="W129" s="13">
        <f t="shared" si="6"/>
        <v>44621</v>
      </c>
    </row>
    <row r="130" spans="1:23" ht="14.4" customHeight="1" x14ac:dyDescent="0.3">
      <c r="A130" s="13">
        <v>44609</v>
      </c>
      <c r="B130" s="12" t="s">
        <v>3110</v>
      </c>
      <c r="C130" s="12" t="s">
        <v>1542</v>
      </c>
      <c r="D130" s="5" t="s">
        <v>3107</v>
      </c>
      <c r="E130" s="12">
        <v>517</v>
      </c>
      <c r="F130" s="11" t="s">
        <v>2278</v>
      </c>
      <c r="G130" s="12" t="s">
        <v>7</v>
      </c>
      <c r="H130" s="12" t="s">
        <v>11</v>
      </c>
      <c r="I130" s="14"/>
      <c r="J130" s="12" t="s">
        <v>1545</v>
      </c>
      <c r="K130" s="12" t="str">
        <f t="shared" si="7"/>
        <v>Closed</v>
      </c>
      <c r="L130" s="26">
        <v>44621</v>
      </c>
      <c r="M130" s="12"/>
      <c r="N130" s="12" t="s">
        <v>4449</v>
      </c>
      <c r="O130" s="12" t="s">
        <v>3620</v>
      </c>
      <c r="P130" s="12" t="s">
        <v>3790</v>
      </c>
      <c r="Q130" s="12"/>
      <c r="R130" s="12"/>
      <c r="S130" s="12"/>
      <c r="T130" s="12"/>
      <c r="U130" s="12" t="str">
        <f t="shared" si="4"/>
        <v>Corrected</v>
      </c>
      <c r="V130" s="12" t="str">
        <f t="shared" si="5"/>
        <v>FIRDUS Ahmad</v>
      </c>
      <c r="W130" s="13">
        <f t="shared" si="6"/>
        <v>44621</v>
      </c>
    </row>
    <row r="131" spans="1:23" ht="14.4" customHeight="1" x14ac:dyDescent="0.3">
      <c r="A131" s="13">
        <v>44609</v>
      </c>
      <c r="B131" s="12" t="s">
        <v>3111</v>
      </c>
      <c r="C131" s="12" t="s">
        <v>1542</v>
      </c>
      <c r="D131" s="5" t="s">
        <v>3107</v>
      </c>
      <c r="E131" s="12">
        <v>517</v>
      </c>
      <c r="F131" s="11" t="s">
        <v>3112</v>
      </c>
      <c r="G131" s="12" t="s">
        <v>7</v>
      </c>
      <c r="H131" s="12" t="s">
        <v>9</v>
      </c>
      <c r="I131" s="14" t="s">
        <v>4066</v>
      </c>
      <c r="J131" s="12" t="s">
        <v>1609</v>
      </c>
      <c r="K131" s="12" t="str">
        <f t="shared" si="7"/>
        <v>Open</v>
      </c>
      <c r="L131" s="26"/>
      <c r="M131" s="12"/>
      <c r="N131" s="12" t="s">
        <v>4428</v>
      </c>
      <c r="O131" s="12"/>
      <c r="P131" s="12" t="s">
        <v>3790</v>
      </c>
      <c r="Q131" s="12"/>
      <c r="R131" s="12" t="s">
        <v>3566</v>
      </c>
      <c r="S131" s="12" t="s">
        <v>3</v>
      </c>
      <c r="T131" s="13" t="s">
        <v>1547</v>
      </c>
      <c r="U131" s="12" t="str">
        <f t="shared" ref="U131:U194" si="8">IF(AND(J131="Corrective Action Required",R131="Corrected"),"Corrected", IF(AND(J131="Corrective Action Required",R131&lt;&gt;"Corrected"),R131,J131))</f>
        <v>CM Open</v>
      </c>
      <c r="V131" s="12" t="str">
        <f t="shared" ref="V131:V194" si="9">IF(AND(J131="Corrective Action Required",R131="Corrected"),S131, IF(AND(J131="Corrective Action Required",R131&lt;&gt;"Corrected"),S131,H131))</f>
        <v>SUKIMAN Zamhuri</v>
      </c>
      <c r="W131" s="13" t="str">
        <f t="shared" ref="W131:W194" si="10">IF(OR(J131="Corrected",J131="NFF"),L131, IF(AND(J131="Corrective Action Required",R131="Corrected"),T131,""))</f>
        <v/>
      </c>
    </row>
    <row r="132" spans="1:23" ht="14.4" customHeight="1" x14ac:dyDescent="0.3">
      <c r="A132" s="13">
        <v>44609</v>
      </c>
      <c r="B132" s="12" t="s">
        <v>3113</v>
      </c>
      <c r="C132" s="12" t="s">
        <v>1542</v>
      </c>
      <c r="D132" s="5" t="s">
        <v>3114</v>
      </c>
      <c r="E132" s="12">
        <v>518</v>
      </c>
      <c r="F132" s="11" t="s">
        <v>3621</v>
      </c>
      <c r="G132" s="12" t="s">
        <v>7</v>
      </c>
      <c r="H132" s="12" t="s">
        <v>11</v>
      </c>
      <c r="I132" s="14" t="s">
        <v>3709</v>
      </c>
      <c r="J132" s="12" t="s">
        <v>1609</v>
      </c>
      <c r="K132" s="12" t="str">
        <f t="shared" ref="K132:K195" si="11">IF(J132="Corrected","Closed",IF(J132="NFF","Closed","Open"))</f>
        <v>Open</v>
      </c>
      <c r="L132" s="26"/>
      <c r="M132" s="12"/>
      <c r="N132" s="12" t="s">
        <v>4449</v>
      </c>
      <c r="O132" s="12"/>
      <c r="P132" s="12" t="s">
        <v>3790</v>
      </c>
      <c r="Q132" s="12"/>
      <c r="R132" s="12" t="s">
        <v>5</v>
      </c>
      <c r="S132" s="12" t="s">
        <v>3</v>
      </c>
      <c r="T132" s="13" t="s">
        <v>1547</v>
      </c>
      <c r="U132" s="12" t="str">
        <f t="shared" si="8"/>
        <v>No Material</v>
      </c>
      <c r="V132" s="12" t="str">
        <f t="shared" si="9"/>
        <v>SUKIMAN Zamhuri</v>
      </c>
      <c r="W132" s="13" t="str">
        <f t="shared" si="10"/>
        <v/>
      </c>
    </row>
    <row r="133" spans="1:23" ht="14.4" customHeight="1" x14ac:dyDescent="0.3">
      <c r="A133" s="13">
        <v>44609</v>
      </c>
      <c r="B133" s="12" t="s">
        <v>3115</v>
      </c>
      <c r="C133" s="12" t="s">
        <v>1542</v>
      </c>
      <c r="D133" s="5" t="s">
        <v>3114</v>
      </c>
      <c r="E133" s="12">
        <v>518</v>
      </c>
      <c r="F133" s="11" t="s">
        <v>3116</v>
      </c>
      <c r="G133" s="12" t="s">
        <v>7</v>
      </c>
      <c r="H133" s="12" t="s">
        <v>293</v>
      </c>
      <c r="I133" s="14"/>
      <c r="J133" s="12" t="s">
        <v>1582</v>
      </c>
      <c r="K133" s="12" t="str">
        <f t="shared" si="11"/>
        <v>Open</v>
      </c>
      <c r="L133" s="26"/>
      <c r="M133" s="12"/>
      <c r="N133" s="12" t="s">
        <v>4428</v>
      </c>
      <c r="O133" s="12"/>
      <c r="P133" s="12" t="s">
        <v>3790</v>
      </c>
      <c r="Q133" s="12"/>
      <c r="R133" s="12"/>
      <c r="S133" s="12"/>
      <c r="T133" s="13" t="s">
        <v>1547</v>
      </c>
      <c r="U133" s="12" t="str">
        <f t="shared" si="8"/>
        <v>Not Started</v>
      </c>
      <c r="V133" s="12" t="str">
        <f t="shared" si="9"/>
        <v>RASHEED Imran</v>
      </c>
      <c r="W133" s="13" t="str">
        <f t="shared" si="10"/>
        <v/>
      </c>
    </row>
    <row r="134" spans="1:23" ht="14.4" customHeight="1" x14ac:dyDescent="0.3">
      <c r="A134" s="13">
        <v>44612</v>
      </c>
      <c r="B134" s="12" t="s">
        <v>1505</v>
      </c>
      <c r="C134" s="12" t="s">
        <v>1687</v>
      </c>
      <c r="D134" s="5" t="s">
        <v>1675</v>
      </c>
      <c r="E134" s="12">
        <v>501</v>
      </c>
      <c r="F134" s="11" t="s">
        <v>3117</v>
      </c>
      <c r="G134" s="12" t="s">
        <v>7</v>
      </c>
      <c r="H134" s="12" t="s">
        <v>19</v>
      </c>
      <c r="I134" s="14" t="s">
        <v>2615</v>
      </c>
      <c r="J134" s="12" t="s">
        <v>1545</v>
      </c>
      <c r="K134" s="12" t="str">
        <f t="shared" si="11"/>
        <v>Closed</v>
      </c>
      <c r="L134" s="26">
        <v>44612</v>
      </c>
      <c r="M134" s="12" t="s">
        <v>1300</v>
      </c>
      <c r="N134" s="12" t="s">
        <v>2482</v>
      </c>
      <c r="O134" s="12"/>
      <c r="P134" s="12" t="s">
        <v>3790</v>
      </c>
      <c r="Q134" s="12"/>
      <c r="R134" s="12"/>
      <c r="S134" s="12"/>
      <c r="T134" s="12"/>
      <c r="U134" s="12" t="str">
        <f t="shared" si="8"/>
        <v>Corrected</v>
      </c>
      <c r="V134" s="12" t="str">
        <f t="shared" si="9"/>
        <v>DAOUDI Mohamed</v>
      </c>
      <c r="W134" s="13">
        <f t="shared" si="10"/>
        <v>44612</v>
      </c>
    </row>
    <row r="135" spans="1:23" ht="14.4" customHeight="1" x14ac:dyDescent="0.3">
      <c r="A135" s="13">
        <v>44612</v>
      </c>
      <c r="B135" s="12" t="s">
        <v>3118</v>
      </c>
      <c r="C135" s="12" t="s">
        <v>1690</v>
      </c>
      <c r="D135" s="5"/>
      <c r="E135" s="12">
        <v>518</v>
      </c>
      <c r="F135" s="11" t="s">
        <v>3119</v>
      </c>
      <c r="G135" s="12" t="s">
        <v>1</v>
      </c>
      <c r="H135" s="12" t="s">
        <v>19</v>
      </c>
      <c r="I135" s="14" t="s">
        <v>3622</v>
      </c>
      <c r="J135" s="12" t="s">
        <v>1574</v>
      </c>
      <c r="K135" s="12" t="str">
        <f t="shared" si="11"/>
        <v>Closed</v>
      </c>
      <c r="L135" s="26"/>
      <c r="M135" s="12"/>
      <c r="N135" s="12" t="s">
        <v>2603</v>
      </c>
      <c r="O135" s="12"/>
      <c r="P135" s="12" t="s">
        <v>3790</v>
      </c>
      <c r="Q135" s="12"/>
      <c r="R135" s="12"/>
      <c r="S135" s="12"/>
      <c r="T135" s="12"/>
      <c r="U135" s="12" t="str">
        <f t="shared" si="8"/>
        <v>NFF</v>
      </c>
      <c r="V135" s="12" t="str">
        <f t="shared" si="9"/>
        <v>DAOUDI Mohamed</v>
      </c>
      <c r="W135" s="13"/>
    </row>
    <row r="136" spans="1:23" ht="14.4" customHeight="1" x14ac:dyDescent="0.3">
      <c r="A136" s="13">
        <v>44612</v>
      </c>
      <c r="B136" s="12" t="s">
        <v>3120</v>
      </c>
      <c r="C136" s="12" t="s">
        <v>1690</v>
      </c>
      <c r="D136" s="5"/>
      <c r="E136" s="12">
        <v>503</v>
      </c>
      <c r="F136" s="11" t="s">
        <v>3121</v>
      </c>
      <c r="G136" s="12" t="s">
        <v>7</v>
      </c>
      <c r="H136" s="12" t="s">
        <v>12</v>
      </c>
      <c r="I136" s="14"/>
      <c r="J136" s="12" t="s">
        <v>1582</v>
      </c>
      <c r="K136" s="12" t="str">
        <f t="shared" si="11"/>
        <v>Open</v>
      </c>
      <c r="L136" s="26"/>
      <c r="M136" s="12"/>
      <c r="N136" s="12" t="s">
        <v>4427</v>
      </c>
      <c r="O136" s="12"/>
      <c r="P136" s="12" t="s">
        <v>3790</v>
      </c>
      <c r="Q136" s="12"/>
      <c r="R136" s="12"/>
      <c r="S136" s="12"/>
      <c r="T136" s="13" t="s">
        <v>1547</v>
      </c>
      <c r="U136" s="12" t="str">
        <f t="shared" si="8"/>
        <v>Not Started</v>
      </c>
      <c r="V136" s="12" t="str">
        <f t="shared" si="9"/>
        <v>ALOWAINI Shawqi</v>
      </c>
      <c r="W136" s="13" t="str">
        <f t="shared" si="10"/>
        <v/>
      </c>
    </row>
    <row r="137" spans="1:23" ht="14.4" customHeight="1" x14ac:dyDescent="0.3">
      <c r="A137" s="13">
        <v>44612</v>
      </c>
      <c r="B137" s="12" t="s">
        <v>3122</v>
      </c>
      <c r="C137" s="12" t="s">
        <v>1690</v>
      </c>
      <c r="D137" s="5"/>
      <c r="E137" s="12">
        <v>517</v>
      </c>
      <c r="F137" s="11" t="s">
        <v>3123</v>
      </c>
      <c r="G137" s="12" t="s">
        <v>7</v>
      </c>
      <c r="H137" s="12" t="s">
        <v>11</v>
      </c>
      <c r="I137" s="14" t="s">
        <v>3124</v>
      </c>
      <c r="J137" s="12" t="s">
        <v>1545</v>
      </c>
      <c r="K137" s="12" t="str">
        <f t="shared" si="11"/>
        <v>Closed</v>
      </c>
      <c r="L137" s="26">
        <v>44621</v>
      </c>
      <c r="M137" s="12"/>
      <c r="N137" s="12" t="s">
        <v>4430</v>
      </c>
      <c r="O137" s="12" t="s">
        <v>1675</v>
      </c>
      <c r="P137" s="12" t="s">
        <v>3790</v>
      </c>
      <c r="Q137" s="12"/>
      <c r="R137" s="12"/>
      <c r="S137" s="12"/>
      <c r="T137" s="13" t="s">
        <v>1547</v>
      </c>
      <c r="U137" s="12" t="str">
        <f t="shared" si="8"/>
        <v>Corrected</v>
      </c>
      <c r="V137" s="12" t="str">
        <f t="shared" si="9"/>
        <v>FIRDUS Ahmad</v>
      </c>
      <c r="W137" s="13">
        <f t="shared" si="10"/>
        <v>44621</v>
      </c>
    </row>
    <row r="138" spans="1:23" ht="14.4" customHeight="1" x14ac:dyDescent="0.3">
      <c r="A138" s="13">
        <v>44612</v>
      </c>
      <c r="B138" s="12" t="s">
        <v>3125</v>
      </c>
      <c r="C138" s="12" t="s">
        <v>1690</v>
      </c>
      <c r="D138" s="5"/>
      <c r="E138" s="12">
        <v>514</v>
      </c>
      <c r="F138" s="11" t="s">
        <v>3126</v>
      </c>
      <c r="G138" s="12" t="s">
        <v>7</v>
      </c>
      <c r="H138" s="12" t="s">
        <v>9</v>
      </c>
      <c r="I138" s="14"/>
      <c r="J138" s="12" t="s">
        <v>1582</v>
      </c>
      <c r="K138" s="12" t="str">
        <f t="shared" si="11"/>
        <v>Open</v>
      </c>
      <c r="L138" s="26"/>
      <c r="M138" s="12"/>
      <c r="N138" s="12" t="s">
        <v>3216</v>
      </c>
      <c r="O138" s="12"/>
      <c r="P138" s="12" t="s">
        <v>3790</v>
      </c>
      <c r="Q138" s="12"/>
      <c r="R138" s="12"/>
      <c r="S138" s="12"/>
      <c r="T138" s="13" t="s">
        <v>1547</v>
      </c>
      <c r="U138" s="12" t="str">
        <f t="shared" si="8"/>
        <v>Not Started</v>
      </c>
      <c r="V138" s="12" t="str">
        <f t="shared" si="9"/>
        <v>KHAN Jahan</v>
      </c>
      <c r="W138" s="13" t="str">
        <f t="shared" si="10"/>
        <v/>
      </c>
    </row>
    <row r="139" spans="1:23" ht="14.4" customHeight="1" x14ac:dyDescent="0.3">
      <c r="A139" s="13">
        <v>44612</v>
      </c>
      <c r="B139" s="12" t="s">
        <v>3127</v>
      </c>
      <c r="C139" s="12" t="s">
        <v>1690</v>
      </c>
      <c r="D139" s="5"/>
      <c r="E139" s="12">
        <v>516</v>
      </c>
      <c r="F139" s="11" t="s">
        <v>3128</v>
      </c>
      <c r="G139" s="12" t="s">
        <v>7</v>
      </c>
      <c r="H139" s="12" t="s">
        <v>19</v>
      </c>
      <c r="I139" s="14" t="s">
        <v>3559</v>
      </c>
      <c r="J139" s="12" t="s">
        <v>1574</v>
      </c>
      <c r="K139" s="12" t="str">
        <f t="shared" si="11"/>
        <v>Closed</v>
      </c>
      <c r="L139" s="26">
        <v>44648</v>
      </c>
      <c r="M139" s="12"/>
      <c r="N139" s="12" t="s">
        <v>2517</v>
      </c>
      <c r="O139" s="12"/>
      <c r="P139" s="12" t="s">
        <v>3790</v>
      </c>
      <c r="Q139" s="12"/>
      <c r="R139" s="12"/>
      <c r="S139" s="12"/>
      <c r="T139" s="13" t="s">
        <v>1547</v>
      </c>
      <c r="U139" s="12" t="str">
        <f t="shared" si="8"/>
        <v>NFF</v>
      </c>
      <c r="V139" s="12" t="str">
        <f t="shared" si="9"/>
        <v>DAOUDI Mohamed</v>
      </c>
      <c r="W139" s="13">
        <f t="shared" si="10"/>
        <v>44648</v>
      </c>
    </row>
    <row r="140" spans="1:23" ht="14.4" customHeight="1" x14ac:dyDescent="0.3">
      <c r="A140" s="13">
        <v>44612</v>
      </c>
      <c r="B140" s="12" t="s">
        <v>3129</v>
      </c>
      <c r="C140" s="12" t="s">
        <v>1690</v>
      </c>
      <c r="D140" s="5"/>
      <c r="E140" s="12">
        <v>518</v>
      </c>
      <c r="F140" s="11" t="s">
        <v>3130</v>
      </c>
      <c r="G140" s="12" t="s">
        <v>7</v>
      </c>
      <c r="H140" s="12" t="s">
        <v>14</v>
      </c>
      <c r="I140" s="14" t="s">
        <v>4158</v>
      </c>
      <c r="J140" s="12" t="s">
        <v>1545</v>
      </c>
      <c r="K140" s="12" t="str">
        <f t="shared" si="11"/>
        <v>Closed</v>
      </c>
      <c r="L140" s="26">
        <v>44656</v>
      </c>
      <c r="M140" s="12"/>
      <c r="N140" s="12" t="s">
        <v>4427</v>
      </c>
      <c r="O140" s="12" t="s">
        <v>2445</v>
      </c>
      <c r="P140" s="12" t="s">
        <v>3790</v>
      </c>
      <c r="Q140" s="12"/>
      <c r="R140" s="12" t="s">
        <v>1545</v>
      </c>
      <c r="S140" s="12" t="s">
        <v>25</v>
      </c>
      <c r="T140" s="13">
        <v>44656</v>
      </c>
      <c r="U140" s="12" t="str">
        <f t="shared" si="8"/>
        <v>Corrected</v>
      </c>
      <c r="V140" s="12" t="str">
        <f t="shared" si="9"/>
        <v>GUAN Jialin</v>
      </c>
      <c r="W140" s="13">
        <f t="shared" si="10"/>
        <v>44656</v>
      </c>
    </row>
    <row r="141" spans="1:23" ht="14.4" customHeight="1" x14ac:dyDescent="0.3">
      <c r="A141" s="13">
        <v>44612</v>
      </c>
      <c r="B141" s="12" t="s">
        <v>3131</v>
      </c>
      <c r="C141" s="12" t="s">
        <v>1690</v>
      </c>
      <c r="D141" s="5"/>
      <c r="E141" s="12">
        <v>518</v>
      </c>
      <c r="F141" s="11" t="s">
        <v>3132</v>
      </c>
      <c r="G141" s="12" t="s">
        <v>1</v>
      </c>
      <c r="H141" s="12" t="s">
        <v>19</v>
      </c>
      <c r="I141" s="14" t="s">
        <v>3601</v>
      </c>
      <c r="J141" s="12" t="s">
        <v>1609</v>
      </c>
      <c r="K141" s="12" t="str">
        <f t="shared" si="11"/>
        <v>Open</v>
      </c>
      <c r="L141" s="26"/>
      <c r="M141" s="12"/>
      <c r="N141" s="12" t="s">
        <v>1652</v>
      </c>
      <c r="O141" s="12"/>
      <c r="P141" s="12" t="s">
        <v>3790</v>
      </c>
      <c r="Q141" s="12"/>
      <c r="R141" s="12" t="s">
        <v>3566</v>
      </c>
      <c r="S141" s="12" t="s">
        <v>3</v>
      </c>
      <c r="T141" s="13" t="s">
        <v>1547</v>
      </c>
      <c r="U141" s="12" t="str">
        <f t="shared" si="8"/>
        <v>CM Open</v>
      </c>
      <c r="V141" s="12" t="str">
        <f t="shared" si="9"/>
        <v>SUKIMAN Zamhuri</v>
      </c>
      <c r="W141" s="13" t="str">
        <f t="shared" si="10"/>
        <v/>
      </c>
    </row>
    <row r="142" spans="1:23" ht="14.4" customHeight="1" x14ac:dyDescent="0.3">
      <c r="A142" s="13">
        <v>44612</v>
      </c>
      <c r="B142" s="12" t="s">
        <v>3133</v>
      </c>
      <c r="C142" s="12" t="s">
        <v>1690</v>
      </c>
      <c r="D142" s="5"/>
      <c r="E142" s="12">
        <v>518</v>
      </c>
      <c r="F142" s="11" t="s">
        <v>3128</v>
      </c>
      <c r="G142" s="12" t="s">
        <v>7</v>
      </c>
      <c r="H142" s="12" t="s">
        <v>19</v>
      </c>
      <c r="I142" s="14" t="s">
        <v>3559</v>
      </c>
      <c r="J142" s="12" t="s">
        <v>1574</v>
      </c>
      <c r="K142" s="12" t="str">
        <f t="shared" si="11"/>
        <v>Closed</v>
      </c>
      <c r="L142" s="26">
        <v>44648</v>
      </c>
      <c r="M142" s="12"/>
      <c r="N142" s="12" t="s">
        <v>2517</v>
      </c>
      <c r="O142" s="12"/>
      <c r="P142" s="12" t="s">
        <v>3790</v>
      </c>
      <c r="Q142" s="12"/>
      <c r="R142" s="12"/>
      <c r="S142" s="12"/>
      <c r="T142" s="13" t="s">
        <v>1547</v>
      </c>
      <c r="U142" s="12" t="str">
        <f t="shared" si="8"/>
        <v>NFF</v>
      </c>
      <c r="V142" s="12" t="str">
        <f t="shared" si="9"/>
        <v>DAOUDI Mohamed</v>
      </c>
      <c r="W142" s="13">
        <f t="shared" si="10"/>
        <v>44648</v>
      </c>
    </row>
    <row r="143" spans="1:23" ht="14.4" customHeight="1" x14ac:dyDescent="0.3">
      <c r="A143" s="13">
        <v>44613</v>
      </c>
      <c r="B143" s="12" t="s">
        <v>3134</v>
      </c>
      <c r="C143" s="12" t="s">
        <v>1690</v>
      </c>
      <c r="D143" s="5" t="s">
        <v>3135</v>
      </c>
      <c r="E143" s="12">
        <v>504</v>
      </c>
      <c r="F143" s="11" t="s">
        <v>3136</v>
      </c>
      <c r="G143" s="12" t="s">
        <v>7</v>
      </c>
      <c r="H143" s="12" t="s">
        <v>12</v>
      </c>
      <c r="I143" s="14"/>
      <c r="J143" s="12" t="s">
        <v>1582</v>
      </c>
      <c r="K143" s="12" t="str">
        <f t="shared" si="11"/>
        <v>Open</v>
      </c>
      <c r="L143" s="26"/>
      <c r="M143" s="12"/>
      <c r="N143" s="12" t="s">
        <v>4427</v>
      </c>
      <c r="O143" s="12"/>
      <c r="P143" s="12" t="s">
        <v>3790</v>
      </c>
      <c r="Q143" s="12"/>
      <c r="R143" s="12"/>
      <c r="S143" s="12"/>
      <c r="T143" s="13" t="s">
        <v>1547</v>
      </c>
      <c r="U143" s="12" t="str">
        <f t="shared" si="8"/>
        <v>Not Started</v>
      </c>
      <c r="V143" s="12" t="str">
        <f t="shared" si="9"/>
        <v>ALOWAINI Shawqi</v>
      </c>
      <c r="W143" s="13" t="str">
        <f t="shared" si="10"/>
        <v/>
      </c>
    </row>
    <row r="144" spans="1:23" ht="14.4" customHeight="1" x14ac:dyDescent="0.3">
      <c r="A144" s="13">
        <v>44613</v>
      </c>
      <c r="B144" s="12" t="s">
        <v>3137</v>
      </c>
      <c r="C144" s="12" t="s">
        <v>1690</v>
      </c>
      <c r="D144" s="5" t="s">
        <v>3135</v>
      </c>
      <c r="E144" s="12">
        <v>504</v>
      </c>
      <c r="F144" s="11" t="s">
        <v>3138</v>
      </c>
      <c r="G144" s="12" t="s">
        <v>1</v>
      </c>
      <c r="H144" s="12" t="s">
        <v>19</v>
      </c>
      <c r="I144" s="14" t="s">
        <v>3522</v>
      </c>
      <c r="J144" s="12" t="s">
        <v>1609</v>
      </c>
      <c r="K144" s="12" t="str">
        <f t="shared" si="11"/>
        <v>Open</v>
      </c>
      <c r="L144" s="26">
        <v>44647</v>
      </c>
      <c r="M144" s="12"/>
      <c r="N144" s="12" t="s">
        <v>1652</v>
      </c>
      <c r="O144" s="12" t="s">
        <v>3523</v>
      </c>
      <c r="P144" s="12" t="s">
        <v>3790</v>
      </c>
      <c r="Q144" s="12"/>
      <c r="R144" s="12" t="s">
        <v>3566</v>
      </c>
      <c r="S144" s="12" t="s">
        <v>3</v>
      </c>
      <c r="T144" s="13" t="s">
        <v>1547</v>
      </c>
      <c r="U144" s="12" t="str">
        <f t="shared" si="8"/>
        <v>CM Open</v>
      </c>
      <c r="V144" s="12" t="str">
        <f t="shared" si="9"/>
        <v>SUKIMAN Zamhuri</v>
      </c>
      <c r="W144" s="13" t="str">
        <f t="shared" si="10"/>
        <v/>
      </c>
    </row>
    <row r="145" spans="1:23" ht="14.4" customHeight="1" x14ac:dyDescent="0.3">
      <c r="A145" s="13">
        <v>44613</v>
      </c>
      <c r="B145" s="12" t="s">
        <v>3139</v>
      </c>
      <c r="C145" s="12" t="s">
        <v>1690</v>
      </c>
      <c r="D145" s="5" t="s">
        <v>2705</v>
      </c>
      <c r="E145" s="12">
        <v>507</v>
      </c>
      <c r="F145" s="14" t="s">
        <v>4159</v>
      </c>
      <c r="G145" s="12" t="s">
        <v>7</v>
      </c>
      <c r="H145" s="12" t="s">
        <v>14</v>
      </c>
      <c r="I145" s="14" t="s">
        <v>3775</v>
      </c>
      <c r="J145" s="12" t="s">
        <v>1609</v>
      </c>
      <c r="K145" s="12" t="str">
        <f t="shared" si="11"/>
        <v>Open</v>
      </c>
      <c r="L145" s="26"/>
      <c r="M145" s="12"/>
      <c r="N145" s="12" t="s">
        <v>4427</v>
      </c>
      <c r="O145" s="12"/>
      <c r="P145" s="12" t="s">
        <v>3790</v>
      </c>
      <c r="Q145" s="12"/>
      <c r="R145" s="12" t="s">
        <v>3566</v>
      </c>
      <c r="S145" s="12" t="s">
        <v>3</v>
      </c>
      <c r="T145" s="13" t="s">
        <v>1547</v>
      </c>
      <c r="U145" s="12" t="str">
        <f t="shared" si="8"/>
        <v>CM Open</v>
      </c>
      <c r="V145" s="12" t="str">
        <f t="shared" si="9"/>
        <v>SUKIMAN Zamhuri</v>
      </c>
      <c r="W145" s="13" t="str">
        <f t="shared" si="10"/>
        <v/>
      </c>
    </row>
    <row r="146" spans="1:23" ht="14.4" customHeight="1" x14ac:dyDescent="0.3">
      <c r="A146" s="13">
        <v>44613</v>
      </c>
      <c r="B146" s="12" t="s">
        <v>3140</v>
      </c>
      <c r="C146" s="12" t="s">
        <v>1690</v>
      </c>
      <c r="D146" s="5" t="s">
        <v>2705</v>
      </c>
      <c r="E146" s="12">
        <v>507</v>
      </c>
      <c r="F146" s="11" t="s">
        <v>3141</v>
      </c>
      <c r="G146" s="12" t="s">
        <v>7</v>
      </c>
      <c r="H146" s="12" t="s">
        <v>19</v>
      </c>
      <c r="I146" s="14" t="s">
        <v>3142</v>
      </c>
      <c r="J146" s="12" t="s">
        <v>1574</v>
      </c>
      <c r="K146" s="12" t="str">
        <f t="shared" si="11"/>
        <v>Closed</v>
      </c>
      <c r="L146" s="26">
        <v>44622</v>
      </c>
      <c r="M146" s="12"/>
      <c r="N146" s="12" t="s">
        <v>2482</v>
      </c>
      <c r="O146" s="12"/>
      <c r="P146" s="12" t="s">
        <v>3790</v>
      </c>
      <c r="Q146" s="12"/>
      <c r="R146" s="12"/>
      <c r="S146" s="12"/>
      <c r="T146" s="12"/>
      <c r="U146" s="12" t="str">
        <f t="shared" si="8"/>
        <v>NFF</v>
      </c>
      <c r="V146" s="12" t="str">
        <f t="shared" si="9"/>
        <v>DAOUDI Mohamed</v>
      </c>
      <c r="W146" s="13">
        <f t="shared" si="10"/>
        <v>44622</v>
      </c>
    </row>
    <row r="147" spans="1:23" ht="14.4" customHeight="1" x14ac:dyDescent="0.3">
      <c r="A147" s="13">
        <v>44615</v>
      </c>
      <c r="B147" s="12" t="s">
        <v>3162</v>
      </c>
      <c r="C147" s="12" t="s">
        <v>1542</v>
      </c>
      <c r="D147" s="5" t="s">
        <v>3163</v>
      </c>
      <c r="E147" s="12">
        <v>508</v>
      </c>
      <c r="F147" s="14" t="s">
        <v>4160</v>
      </c>
      <c r="G147" s="12" t="s">
        <v>7</v>
      </c>
      <c r="H147" s="12" t="s">
        <v>14</v>
      </c>
      <c r="I147" s="14"/>
      <c r="J147" s="12" t="s">
        <v>1574</v>
      </c>
      <c r="K147" s="12" t="str">
        <f t="shared" si="11"/>
        <v>Closed</v>
      </c>
      <c r="L147" s="26">
        <v>44654</v>
      </c>
      <c r="M147" s="12"/>
      <c r="N147" s="12" t="s">
        <v>4427</v>
      </c>
      <c r="O147" s="12"/>
      <c r="P147" s="12" t="s">
        <v>3790</v>
      </c>
      <c r="Q147" s="12"/>
      <c r="R147" s="12"/>
      <c r="S147" s="12"/>
      <c r="T147" s="13" t="s">
        <v>1547</v>
      </c>
      <c r="U147" s="12" t="str">
        <f t="shared" si="8"/>
        <v>NFF</v>
      </c>
      <c r="V147" s="12" t="str">
        <f t="shared" si="9"/>
        <v>GUAN Jialin</v>
      </c>
      <c r="W147" s="13">
        <f t="shared" si="10"/>
        <v>44654</v>
      </c>
    </row>
    <row r="148" spans="1:23" ht="14.4" customHeight="1" x14ac:dyDescent="0.3">
      <c r="A148" s="13">
        <v>44615</v>
      </c>
      <c r="B148" s="12" t="s">
        <v>3188</v>
      </c>
      <c r="C148" s="12"/>
      <c r="D148" s="5" t="s">
        <v>3189</v>
      </c>
      <c r="E148" s="12">
        <v>505</v>
      </c>
      <c r="F148" s="11" t="s">
        <v>3190</v>
      </c>
      <c r="G148" s="12" t="s">
        <v>7</v>
      </c>
      <c r="H148" s="12" t="s">
        <v>12</v>
      </c>
      <c r="I148" s="14"/>
      <c r="J148" s="12" t="s">
        <v>1582</v>
      </c>
      <c r="K148" s="12" t="str">
        <f t="shared" si="11"/>
        <v>Open</v>
      </c>
      <c r="L148" s="26"/>
      <c r="M148" s="12"/>
      <c r="N148" s="12" t="s">
        <v>2517</v>
      </c>
      <c r="O148" s="12"/>
      <c r="P148" s="12" t="s">
        <v>3790</v>
      </c>
      <c r="Q148" s="12"/>
      <c r="R148" s="12" t="s">
        <v>5</v>
      </c>
      <c r="S148" s="12" t="s">
        <v>3</v>
      </c>
      <c r="T148" s="13" t="s">
        <v>1547</v>
      </c>
      <c r="U148" s="12" t="str">
        <f t="shared" si="8"/>
        <v>Not Started</v>
      </c>
      <c r="V148" s="12" t="str">
        <f t="shared" si="9"/>
        <v>ALOWAINI Shawqi</v>
      </c>
      <c r="W148" s="13" t="str">
        <f t="shared" si="10"/>
        <v/>
      </c>
    </row>
    <row r="149" spans="1:23" ht="14.4" customHeight="1" x14ac:dyDescent="0.3">
      <c r="A149" s="13">
        <v>44615</v>
      </c>
      <c r="B149" s="12" t="s">
        <v>3191</v>
      </c>
      <c r="C149" s="12"/>
      <c r="D149" s="5" t="s">
        <v>3192</v>
      </c>
      <c r="E149" s="12">
        <v>510</v>
      </c>
      <c r="F149" s="11" t="s">
        <v>3193</v>
      </c>
      <c r="G149" s="12" t="s">
        <v>7</v>
      </c>
      <c r="H149" s="12" t="s">
        <v>9</v>
      </c>
      <c r="I149" s="14"/>
      <c r="J149" s="12" t="s">
        <v>1609</v>
      </c>
      <c r="K149" s="12" t="str">
        <f t="shared" si="11"/>
        <v>Open</v>
      </c>
      <c r="L149" s="26"/>
      <c r="M149" s="12" t="s">
        <v>2666</v>
      </c>
      <c r="N149" s="12" t="s">
        <v>3464</v>
      </c>
      <c r="O149" s="12"/>
      <c r="P149" s="12" t="s">
        <v>3790</v>
      </c>
      <c r="Q149" s="12"/>
      <c r="R149" s="12" t="s">
        <v>3566</v>
      </c>
      <c r="S149" s="12" t="s">
        <v>3</v>
      </c>
      <c r="T149" s="13" t="s">
        <v>1547</v>
      </c>
      <c r="U149" s="12" t="str">
        <f t="shared" si="8"/>
        <v>CM Open</v>
      </c>
      <c r="V149" s="12" t="str">
        <f t="shared" si="9"/>
        <v>SUKIMAN Zamhuri</v>
      </c>
      <c r="W149" s="13" t="str">
        <f t="shared" si="10"/>
        <v/>
      </c>
    </row>
    <row r="150" spans="1:23" ht="14.4" customHeight="1" x14ac:dyDescent="0.3">
      <c r="A150" s="13">
        <v>44616</v>
      </c>
      <c r="B150" s="12" t="s">
        <v>3243</v>
      </c>
      <c r="C150" s="12" t="s">
        <v>1542</v>
      </c>
      <c r="D150" s="5" t="s">
        <v>3244</v>
      </c>
      <c r="E150" s="12">
        <v>501</v>
      </c>
      <c r="F150" s="11" t="s">
        <v>3245</v>
      </c>
      <c r="G150" s="12" t="s">
        <v>4</v>
      </c>
      <c r="H150" s="12" t="s">
        <v>11</v>
      </c>
      <c r="I150" s="14" t="s">
        <v>3560</v>
      </c>
      <c r="J150" s="12" t="s">
        <v>1609</v>
      </c>
      <c r="K150" s="12" t="str">
        <f t="shared" si="11"/>
        <v>Open</v>
      </c>
      <c r="L150" s="26">
        <v>44647</v>
      </c>
      <c r="M150" s="12"/>
      <c r="N150" s="12" t="s">
        <v>2528</v>
      </c>
      <c r="O150" s="12" t="s">
        <v>3383</v>
      </c>
      <c r="P150" s="12" t="s">
        <v>2788</v>
      </c>
      <c r="Q150" s="12"/>
      <c r="R150" s="12" t="s">
        <v>1545</v>
      </c>
      <c r="S150" s="12" t="s">
        <v>13</v>
      </c>
      <c r="T150" s="13">
        <v>44655</v>
      </c>
      <c r="U150" s="12" t="str">
        <f t="shared" si="8"/>
        <v>Corrected</v>
      </c>
      <c r="V150" s="12" t="str">
        <f t="shared" si="9"/>
        <v xml:space="preserve">KHAMIS Jaafar </v>
      </c>
      <c r="W150" s="13">
        <f t="shared" si="10"/>
        <v>44655</v>
      </c>
    </row>
    <row r="151" spans="1:23" ht="14.4" customHeight="1" x14ac:dyDescent="0.3">
      <c r="A151" s="13">
        <v>44616</v>
      </c>
      <c r="B151" s="12" t="s">
        <v>3246</v>
      </c>
      <c r="C151" s="12" t="s">
        <v>1542</v>
      </c>
      <c r="D151" s="5" t="s">
        <v>3247</v>
      </c>
      <c r="E151" s="12">
        <v>506</v>
      </c>
      <c r="F151" s="11" t="s">
        <v>3248</v>
      </c>
      <c r="G151" s="12" t="s">
        <v>7</v>
      </c>
      <c r="H151" s="12" t="s">
        <v>12</v>
      </c>
      <c r="I151" s="14"/>
      <c r="J151" s="12" t="s">
        <v>1582</v>
      </c>
      <c r="K151" s="12" t="str">
        <f t="shared" si="11"/>
        <v>Open</v>
      </c>
      <c r="L151" s="26"/>
      <c r="M151" s="12"/>
      <c r="N151" s="12" t="s">
        <v>4427</v>
      </c>
      <c r="O151" s="12"/>
      <c r="P151" s="12" t="s">
        <v>3790</v>
      </c>
      <c r="Q151" s="12"/>
      <c r="R151" s="12" t="s">
        <v>1545</v>
      </c>
      <c r="S151" s="12" t="s">
        <v>13</v>
      </c>
      <c r="T151" s="29">
        <v>44655</v>
      </c>
      <c r="U151" s="12" t="str">
        <f t="shared" si="8"/>
        <v>Not Started</v>
      </c>
      <c r="V151" s="12" t="str">
        <f t="shared" si="9"/>
        <v>ALOWAINI Shawqi</v>
      </c>
      <c r="W151" s="13" t="str">
        <f t="shared" si="10"/>
        <v/>
      </c>
    </row>
    <row r="152" spans="1:23" ht="14.4" customHeight="1" x14ac:dyDescent="0.3">
      <c r="A152" s="13">
        <v>44616</v>
      </c>
      <c r="B152" s="12" t="s">
        <v>3249</v>
      </c>
      <c r="C152" s="12" t="s">
        <v>1542</v>
      </c>
      <c r="D152" s="5" t="s">
        <v>3250</v>
      </c>
      <c r="E152" s="12">
        <v>509</v>
      </c>
      <c r="F152" s="11" t="s">
        <v>3251</v>
      </c>
      <c r="G152" s="12" t="s">
        <v>7</v>
      </c>
      <c r="H152" s="12" t="s">
        <v>12</v>
      </c>
      <c r="I152" s="14"/>
      <c r="J152" s="12" t="s">
        <v>1582</v>
      </c>
      <c r="K152" s="12" t="str">
        <f t="shared" si="11"/>
        <v>Open</v>
      </c>
      <c r="L152" s="26"/>
      <c r="M152" s="12"/>
      <c r="N152" s="12" t="s">
        <v>4427</v>
      </c>
      <c r="O152" s="12"/>
      <c r="P152" s="12" t="s">
        <v>3790</v>
      </c>
      <c r="Q152" s="12"/>
      <c r="R152" s="12"/>
      <c r="S152" s="12"/>
      <c r="T152" s="12"/>
      <c r="U152" s="12" t="str">
        <f t="shared" si="8"/>
        <v>Not Started</v>
      </c>
      <c r="V152" s="12" t="str">
        <f t="shared" si="9"/>
        <v>ALOWAINI Shawqi</v>
      </c>
      <c r="W152" s="13" t="str">
        <f t="shared" si="10"/>
        <v/>
      </c>
    </row>
    <row r="153" spans="1:23" ht="14.4" customHeight="1" x14ac:dyDescent="0.3">
      <c r="A153" s="13">
        <v>44619</v>
      </c>
      <c r="B153" s="12" t="s">
        <v>3252</v>
      </c>
      <c r="C153" s="12" t="s">
        <v>1542</v>
      </c>
      <c r="D153" s="5" t="s">
        <v>3253</v>
      </c>
      <c r="E153" s="12">
        <v>519</v>
      </c>
      <c r="F153" s="11" t="s">
        <v>3254</v>
      </c>
      <c r="G153" s="12" t="s">
        <v>7</v>
      </c>
      <c r="H153" s="12" t="s">
        <v>293</v>
      </c>
      <c r="I153" s="14"/>
      <c r="J153" s="12" t="s">
        <v>1582</v>
      </c>
      <c r="K153" s="12" t="str">
        <f t="shared" si="11"/>
        <v>Open</v>
      </c>
      <c r="L153" s="26"/>
      <c r="M153" s="12"/>
      <c r="N153" s="12" t="s">
        <v>2707</v>
      </c>
      <c r="O153" s="12" t="s">
        <v>1675</v>
      </c>
      <c r="P153" s="12" t="s">
        <v>3790</v>
      </c>
      <c r="Q153" s="12"/>
      <c r="R153" s="12"/>
      <c r="S153" s="12"/>
      <c r="T153" s="12"/>
      <c r="U153" s="12" t="str">
        <f t="shared" si="8"/>
        <v>Not Started</v>
      </c>
      <c r="V153" s="12" t="str">
        <f t="shared" si="9"/>
        <v>RASHEED Imran</v>
      </c>
      <c r="W153" s="13" t="str">
        <f t="shared" si="10"/>
        <v/>
      </c>
    </row>
    <row r="154" spans="1:23" ht="14.4" customHeight="1" x14ac:dyDescent="0.3">
      <c r="A154" s="13">
        <v>44619</v>
      </c>
      <c r="B154" s="12" t="s">
        <v>3255</v>
      </c>
      <c r="C154" s="12" t="s">
        <v>1542</v>
      </c>
      <c r="D154" s="5" t="s">
        <v>3256</v>
      </c>
      <c r="E154" s="12">
        <v>511</v>
      </c>
      <c r="F154" s="11" t="s">
        <v>3257</v>
      </c>
      <c r="G154" s="12" t="s">
        <v>7</v>
      </c>
      <c r="H154" s="12" t="s">
        <v>14</v>
      </c>
      <c r="I154" s="14" t="s">
        <v>4161</v>
      </c>
      <c r="J154" s="12" t="s">
        <v>1545</v>
      </c>
      <c r="K154" s="12" t="str">
        <f t="shared" si="11"/>
        <v>Closed</v>
      </c>
      <c r="L154" s="26">
        <v>44655</v>
      </c>
      <c r="M154" s="12"/>
      <c r="N154" s="12" t="s">
        <v>4427</v>
      </c>
      <c r="O154" s="12" t="s">
        <v>3258</v>
      </c>
      <c r="P154" s="12" t="s">
        <v>3790</v>
      </c>
      <c r="Q154" s="12"/>
      <c r="R154" s="12"/>
      <c r="S154" s="12"/>
      <c r="T154" s="12"/>
      <c r="U154" s="12" t="str">
        <f t="shared" si="8"/>
        <v>Corrected</v>
      </c>
      <c r="V154" s="12" t="str">
        <f t="shared" si="9"/>
        <v>GUAN Jialin</v>
      </c>
      <c r="W154" s="13">
        <f t="shared" si="10"/>
        <v>44655</v>
      </c>
    </row>
    <row r="155" spans="1:23" ht="14.4" customHeight="1" x14ac:dyDescent="0.3">
      <c r="A155" s="13">
        <v>44623</v>
      </c>
      <c r="B155" s="12" t="s">
        <v>3266</v>
      </c>
      <c r="C155" s="12" t="s">
        <v>1542</v>
      </c>
      <c r="D155" s="5" t="s">
        <v>3250</v>
      </c>
      <c r="E155" s="12">
        <v>509</v>
      </c>
      <c r="F155" s="11" t="s">
        <v>3267</v>
      </c>
      <c r="G155" s="12" t="s">
        <v>4</v>
      </c>
      <c r="H155" s="12" t="s">
        <v>19</v>
      </c>
      <c r="I155" s="14" t="s">
        <v>3268</v>
      </c>
      <c r="J155" s="12" t="s">
        <v>1545</v>
      </c>
      <c r="K155" s="12" t="str">
        <f t="shared" si="11"/>
        <v>Closed</v>
      </c>
      <c r="L155" s="26">
        <v>44623</v>
      </c>
      <c r="M155" s="12"/>
      <c r="N155" s="12" t="s">
        <v>2603</v>
      </c>
      <c r="O155" s="12" t="s">
        <v>1675</v>
      </c>
      <c r="P155" s="12" t="s">
        <v>3790</v>
      </c>
      <c r="Q155" s="12"/>
      <c r="R155" s="12" t="s">
        <v>5</v>
      </c>
      <c r="S155" s="12" t="s">
        <v>3</v>
      </c>
      <c r="T155" s="12"/>
      <c r="U155" s="12" t="str">
        <f t="shared" si="8"/>
        <v>Corrected</v>
      </c>
      <c r="V155" s="12" t="str">
        <f t="shared" si="9"/>
        <v>DAOUDI Mohamed</v>
      </c>
      <c r="W155" s="13">
        <f t="shared" si="10"/>
        <v>44623</v>
      </c>
    </row>
    <row r="156" spans="1:23" ht="14.4" customHeight="1" x14ac:dyDescent="0.3">
      <c r="A156" s="13">
        <v>44642</v>
      </c>
      <c r="B156" s="12" t="s">
        <v>3480</v>
      </c>
      <c r="C156" s="12" t="s">
        <v>1542</v>
      </c>
      <c r="D156" s="5" t="s">
        <v>1675</v>
      </c>
      <c r="E156" s="12">
        <v>505</v>
      </c>
      <c r="F156" s="11" t="s">
        <v>3481</v>
      </c>
      <c r="G156" s="12" t="s">
        <v>7</v>
      </c>
      <c r="H156" s="12" t="s">
        <v>11</v>
      </c>
      <c r="I156" s="14" t="s">
        <v>3669</v>
      </c>
      <c r="J156" s="12" t="s">
        <v>1609</v>
      </c>
      <c r="K156" s="12" t="str">
        <f t="shared" si="11"/>
        <v>Open</v>
      </c>
      <c r="L156" s="26"/>
      <c r="M156" s="12"/>
      <c r="N156" s="12" t="s">
        <v>3216</v>
      </c>
      <c r="O156" s="12"/>
      <c r="P156" s="12" t="s">
        <v>3790</v>
      </c>
      <c r="Q156" s="12"/>
      <c r="R156" s="12" t="s">
        <v>3566</v>
      </c>
      <c r="S156" s="12" t="s">
        <v>3</v>
      </c>
      <c r="T156" s="13" t="s">
        <v>1547</v>
      </c>
      <c r="U156" s="12" t="str">
        <f t="shared" si="8"/>
        <v>CM Open</v>
      </c>
      <c r="V156" s="12" t="str">
        <f t="shared" si="9"/>
        <v>SUKIMAN Zamhuri</v>
      </c>
      <c r="W156" s="13" t="str">
        <f t="shared" si="10"/>
        <v/>
      </c>
    </row>
    <row r="157" spans="1:23" ht="14.4" customHeight="1" x14ac:dyDescent="0.3">
      <c r="A157" s="13">
        <v>44642</v>
      </c>
      <c r="B157" s="12" t="s">
        <v>3482</v>
      </c>
      <c r="C157" s="12" t="s">
        <v>1542</v>
      </c>
      <c r="D157" s="5" t="s">
        <v>1675</v>
      </c>
      <c r="E157" s="12">
        <v>510</v>
      </c>
      <c r="F157" s="11" t="s">
        <v>3483</v>
      </c>
      <c r="G157" s="12" t="s">
        <v>1</v>
      </c>
      <c r="H157" s="12" t="s">
        <v>19</v>
      </c>
      <c r="I157" s="14" t="s">
        <v>3524</v>
      </c>
      <c r="J157" s="12" t="s">
        <v>1574</v>
      </c>
      <c r="K157" s="12" t="str">
        <f t="shared" si="11"/>
        <v>Closed</v>
      </c>
      <c r="L157" s="26">
        <v>44647</v>
      </c>
      <c r="M157" s="12"/>
      <c r="N157" s="12" t="s">
        <v>2603</v>
      </c>
      <c r="O157" s="12"/>
      <c r="P157" s="12" t="s">
        <v>3790</v>
      </c>
      <c r="Q157" s="12"/>
      <c r="R157" s="12"/>
      <c r="S157" s="12"/>
      <c r="T157" s="13" t="s">
        <v>1547</v>
      </c>
      <c r="U157" s="12" t="str">
        <f t="shared" si="8"/>
        <v>NFF</v>
      </c>
      <c r="V157" s="12" t="str">
        <f t="shared" si="9"/>
        <v>DAOUDI Mohamed</v>
      </c>
      <c r="W157" s="13">
        <f t="shared" si="10"/>
        <v>44647</v>
      </c>
    </row>
    <row r="158" spans="1:23" ht="14.4" customHeight="1" x14ac:dyDescent="0.3">
      <c r="A158" s="13">
        <v>44643</v>
      </c>
      <c r="B158" s="12" t="s">
        <v>3508</v>
      </c>
      <c r="C158" s="12" t="s">
        <v>1542</v>
      </c>
      <c r="D158" s="5"/>
      <c r="E158" s="12">
        <v>509</v>
      </c>
      <c r="F158" s="11" t="s">
        <v>3528</v>
      </c>
      <c r="G158" s="12" t="s">
        <v>7</v>
      </c>
      <c r="H158" s="12" t="s">
        <v>12</v>
      </c>
      <c r="I158" s="14"/>
      <c r="J158" s="12" t="s">
        <v>1582</v>
      </c>
      <c r="K158" s="12" t="str">
        <f t="shared" si="11"/>
        <v>Open</v>
      </c>
      <c r="L158" s="26"/>
      <c r="M158" s="12"/>
      <c r="N158" s="12" t="s">
        <v>4427</v>
      </c>
      <c r="O158" s="12"/>
      <c r="P158" s="12" t="s">
        <v>3790</v>
      </c>
      <c r="Q158" s="12"/>
      <c r="R158" s="12"/>
      <c r="S158" s="12"/>
      <c r="T158" s="13" t="s">
        <v>1547</v>
      </c>
      <c r="U158" s="12" t="str">
        <f t="shared" si="8"/>
        <v>Not Started</v>
      </c>
      <c r="V158" s="12" t="str">
        <f t="shared" si="9"/>
        <v>ALOWAINI Shawqi</v>
      </c>
      <c r="W158" s="13" t="str">
        <f t="shared" si="10"/>
        <v/>
      </c>
    </row>
    <row r="159" spans="1:23" ht="14.4" customHeight="1" x14ac:dyDescent="0.3">
      <c r="A159" s="13">
        <v>44643</v>
      </c>
      <c r="B159" s="12" t="s">
        <v>3509</v>
      </c>
      <c r="C159" s="12" t="s">
        <v>1542</v>
      </c>
      <c r="D159" s="5"/>
      <c r="E159" s="12">
        <v>509</v>
      </c>
      <c r="F159" s="11" t="s">
        <v>3529</v>
      </c>
      <c r="G159" s="12" t="s">
        <v>7</v>
      </c>
      <c r="H159" s="12" t="s">
        <v>17</v>
      </c>
      <c r="I159" s="14" t="s">
        <v>3563</v>
      </c>
      <c r="J159" s="12" t="s">
        <v>1574</v>
      </c>
      <c r="K159" s="12" t="str">
        <f t="shared" si="11"/>
        <v>Closed</v>
      </c>
      <c r="L159" s="26">
        <v>44647</v>
      </c>
      <c r="M159" s="12"/>
      <c r="N159" s="12" t="s">
        <v>4430</v>
      </c>
      <c r="O159" s="12"/>
      <c r="P159" s="12" t="s">
        <v>3790</v>
      </c>
      <c r="Q159" s="12"/>
      <c r="R159" s="12"/>
      <c r="S159" s="12"/>
      <c r="T159" s="13" t="s">
        <v>1547</v>
      </c>
      <c r="U159" s="12" t="str">
        <f t="shared" si="8"/>
        <v>NFF</v>
      </c>
      <c r="V159" s="12" t="str">
        <f t="shared" si="9"/>
        <v>FATHI Charafeddine</v>
      </c>
      <c r="W159" s="13">
        <f t="shared" si="10"/>
        <v>44647</v>
      </c>
    </row>
    <row r="160" spans="1:23" ht="14.4" customHeight="1" x14ac:dyDescent="0.3">
      <c r="A160" s="13">
        <v>44643</v>
      </c>
      <c r="B160" s="12" t="s">
        <v>3510</v>
      </c>
      <c r="C160" s="12" t="s">
        <v>1542</v>
      </c>
      <c r="D160" s="5"/>
      <c r="E160" s="12">
        <v>519</v>
      </c>
      <c r="F160" s="11" t="s">
        <v>3529</v>
      </c>
      <c r="G160" s="12" t="s">
        <v>7</v>
      </c>
      <c r="H160" s="12" t="s">
        <v>17</v>
      </c>
      <c r="I160" s="14" t="s">
        <v>3564</v>
      </c>
      <c r="J160" s="12" t="s">
        <v>1574</v>
      </c>
      <c r="K160" s="12" t="str">
        <f t="shared" si="11"/>
        <v>Closed</v>
      </c>
      <c r="L160" s="26">
        <v>44647</v>
      </c>
      <c r="M160" s="12"/>
      <c r="N160" s="12" t="s">
        <v>4430</v>
      </c>
      <c r="O160" s="12"/>
      <c r="P160" s="12" t="s">
        <v>3790</v>
      </c>
      <c r="Q160" s="12"/>
      <c r="R160" s="12"/>
      <c r="S160" s="12"/>
      <c r="T160" s="13" t="s">
        <v>1547</v>
      </c>
      <c r="U160" s="12" t="str">
        <f t="shared" si="8"/>
        <v>NFF</v>
      </c>
      <c r="V160" s="12" t="str">
        <f t="shared" si="9"/>
        <v>FATHI Charafeddine</v>
      </c>
      <c r="W160" s="13">
        <f t="shared" si="10"/>
        <v>44647</v>
      </c>
    </row>
    <row r="161" spans="1:23" ht="14.4" customHeight="1" x14ac:dyDescent="0.3">
      <c r="A161" s="13">
        <v>44643</v>
      </c>
      <c r="B161" s="12" t="s">
        <v>3511</v>
      </c>
      <c r="C161" s="12" t="s">
        <v>1542</v>
      </c>
      <c r="D161" s="5"/>
      <c r="E161" s="12">
        <v>519</v>
      </c>
      <c r="F161" s="11" t="s">
        <v>3530</v>
      </c>
      <c r="G161" s="12" t="s">
        <v>7</v>
      </c>
      <c r="H161" s="12" t="s">
        <v>11</v>
      </c>
      <c r="I161" s="14" t="s">
        <v>3679</v>
      </c>
      <c r="J161" s="12" t="s">
        <v>1574</v>
      </c>
      <c r="K161" s="12" t="str">
        <f t="shared" si="11"/>
        <v>Closed</v>
      </c>
      <c r="L161" s="26">
        <v>43986</v>
      </c>
      <c r="M161" s="12"/>
      <c r="N161" s="12" t="s">
        <v>2603</v>
      </c>
      <c r="O161" s="12"/>
      <c r="P161" s="12" t="s">
        <v>3790</v>
      </c>
      <c r="Q161" s="12"/>
      <c r="R161" s="12"/>
      <c r="S161" s="12"/>
      <c r="T161" s="13" t="s">
        <v>1547</v>
      </c>
      <c r="U161" s="12" t="str">
        <f t="shared" si="8"/>
        <v>NFF</v>
      </c>
      <c r="V161" s="12" t="str">
        <f t="shared" si="9"/>
        <v>FIRDUS Ahmad</v>
      </c>
      <c r="W161" s="13">
        <f t="shared" si="10"/>
        <v>43986</v>
      </c>
    </row>
    <row r="162" spans="1:23" ht="14.4" customHeight="1" x14ac:dyDescent="0.3">
      <c r="A162" s="13">
        <v>44643</v>
      </c>
      <c r="B162" s="12" t="s">
        <v>3512</v>
      </c>
      <c r="C162" s="12" t="s">
        <v>1542</v>
      </c>
      <c r="D162" s="5"/>
      <c r="E162" s="12">
        <v>519</v>
      </c>
      <c r="F162" s="11" t="s">
        <v>3531</v>
      </c>
      <c r="G162" s="12" t="s">
        <v>7</v>
      </c>
      <c r="H162" s="12" t="s">
        <v>9</v>
      </c>
      <c r="I162" s="14"/>
      <c r="J162" s="12" t="s">
        <v>1582</v>
      </c>
      <c r="K162" s="12" t="str">
        <f t="shared" si="11"/>
        <v>Open</v>
      </c>
      <c r="L162" s="26"/>
      <c r="M162" s="12"/>
      <c r="N162" s="12" t="s">
        <v>3216</v>
      </c>
      <c r="O162" s="12"/>
      <c r="P162" s="12" t="s">
        <v>3790</v>
      </c>
      <c r="Q162" s="12"/>
      <c r="R162" s="12"/>
      <c r="S162" s="12"/>
      <c r="T162" s="13" t="s">
        <v>1547</v>
      </c>
      <c r="U162" s="12" t="str">
        <f t="shared" si="8"/>
        <v>Not Started</v>
      </c>
      <c r="V162" s="12" t="str">
        <f t="shared" si="9"/>
        <v>KHAN Jahan</v>
      </c>
      <c r="W162" s="13" t="str">
        <f t="shared" si="10"/>
        <v/>
      </c>
    </row>
    <row r="163" spans="1:23" ht="14.4" customHeight="1" x14ac:dyDescent="0.3">
      <c r="A163" s="13">
        <v>44643</v>
      </c>
      <c r="B163" s="12" t="s">
        <v>3513</v>
      </c>
      <c r="C163" s="12" t="s">
        <v>1542</v>
      </c>
      <c r="D163" s="5"/>
      <c r="E163" s="12">
        <v>519</v>
      </c>
      <c r="F163" s="11" t="s">
        <v>1950</v>
      </c>
      <c r="G163" s="12" t="s">
        <v>7</v>
      </c>
      <c r="H163" s="12" t="s">
        <v>9</v>
      </c>
      <c r="I163" s="14" t="s">
        <v>3578</v>
      </c>
      <c r="J163" s="12" t="s">
        <v>1574</v>
      </c>
      <c r="K163" s="12" t="str">
        <f t="shared" si="11"/>
        <v>Closed</v>
      </c>
      <c r="L163" s="26">
        <v>44656</v>
      </c>
      <c r="M163" s="12"/>
      <c r="N163" s="12" t="s">
        <v>2448</v>
      </c>
      <c r="O163" s="12"/>
      <c r="P163" s="12" t="s">
        <v>3790</v>
      </c>
      <c r="Q163" s="12"/>
      <c r="R163" s="12"/>
      <c r="S163" s="12"/>
      <c r="T163" s="13" t="s">
        <v>1547</v>
      </c>
      <c r="U163" s="12" t="str">
        <f t="shared" si="8"/>
        <v>NFF</v>
      </c>
      <c r="V163" s="12" t="str">
        <f t="shared" si="9"/>
        <v>KHAN Jahan</v>
      </c>
      <c r="W163" s="13">
        <f t="shared" si="10"/>
        <v>44656</v>
      </c>
    </row>
    <row r="164" spans="1:23" ht="14.4" customHeight="1" x14ac:dyDescent="0.3">
      <c r="A164" s="13">
        <v>44644</v>
      </c>
      <c r="B164" s="12" t="s">
        <v>3533</v>
      </c>
      <c r="C164" s="12" t="s">
        <v>1690</v>
      </c>
      <c r="D164" s="5"/>
      <c r="E164" s="12">
        <v>506</v>
      </c>
      <c r="F164" s="11" t="s">
        <v>3534</v>
      </c>
      <c r="G164" s="12" t="s">
        <v>4</v>
      </c>
      <c r="H164" s="12" t="s">
        <v>19</v>
      </c>
      <c r="I164" s="14" t="s">
        <v>3535</v>
      </c>
      <c r="J164" s="12" t="s">
        <v>1574</v>
      </c>
      <c r="K164" s="12" t="str">
        <f t="shared" si="11"/>
        <v>Closed</v>
      </c>
      <c r="L164" s="26">
        <v>44647</v>
      </c>
      <c r="M164" s="12"/>
      <c r="N164" s="12" t="s">
        <v>2603</v>
      </c>
      <c r="O164" s="12"/>
      <c r="P164" s="12" t="s">
        <v>3790</v>
      </c>
      <c r="Q164" s="12"/>
      <c r="R164" s="12" t="s">
        <v>1545</v>
      </c>
      <c r="S164" s="12" t="s">
        <v>6</v>
      </c>
      <c r="T164" s="13">
        <v>44647</v>
      </c>
      <c r="U164" s="12" t="str">
        <f t="shared" si="8"/>
        <v>NFF</v>
      </c>
      <c r="V164" s="12" t="str">
        <f t="shared" si="9"/>
        <v>DAOUDI Mohamed</v>
      </c>
      <c r="W164" s="13">
        <f t="shared" si="10"/>
        <v>44647</v>
      </c>
    </row>
    <row r="165" spans="1:23" ht="14.4" customHeight="1" x14ac:dyDescent="0.3">
      <c r="A165" s="13">
        <v>44644</v>
      </c>
      <c r="B165" s="12" t="s">
        <v>3536</v>
      </c>
      <c r="C165" s="12" t="s">
        <v>1690</v>
      </c>
      <c r="D165" s="5"/>
      <c r="E165" s="12">
        <v>504</v>
      </c>
      <c r="F165" s="11" t="s">
        <v>3537</v>
      </c>
      <c r="G165" s="12" t="s">
        <v>7</v>
      </c>
      <c r="H165" s="12" t="s">
        <v>12</v>
      </c>
      <c r="I165" s="14"/>
      <c r="J165" s="12" t="s">
        <v>1582</v>
      </c>
      <c r="K165" s="12" t="str">
        <f t="shared" si="11"/>
        <v>Open</v>
      </c>
      <c r="L165" s="26"/>
      <c r="M165" s="12"/>
      <c r="N165" s="12" t="s">
        <v>4427</v>
      </c>
      <c r="O165" s="12"/>
      <c r="P165" s="12" t="s">
        <v>3790</v>
      </c>
      <c r="Q165" s="12"/>
      <c r="R165" s="12" t="s">
        <v>1545</v>
      </c>
      <c r="S165" s="12" t="s">
        <v>6</v>
      </c>
      <c r="T165" s="13">
        <v>44647</v>
      </c>
      <c r="U165" s="12" t="str">
        <f t="shared" si="8"/>
        <v>Not Started</v>
      </c>
      <c r="V165" s="12" t="str">
        <f t="shared" si="9"/>
        <v>ALOWAINI Shawqi</v>
      </c>
      <c r="W165" s="13" t="str">
        <f t="shared" si="10"/>
        <v/>
      </c>
    </row>
    <row r="166" spans="1:23" ht="14.4" customHeight="1" x14ac:dyDescent="0.3">
      <c r="A166" s="13">
        <v>44644</v>
      </c>
      <c r="B166" s="12" t="s">
        <v>3538</v>
      </c>
      <c r="C166" s="12" t="s">
        <v>1690</v>
      </c>
      <c r="D166" s="5"/>
      <c r="E166" s="12">
        <v>503</v>
      </c>
      <c r="F166" s="11" t="s">
        <v>3128</v>
      </c>
      <c r="G166" s="12" t="s">
        <v>7</v>
      </c>
      <c r="H166" s="12" t="s">
        <v>19</v>
      </c>
      <c r="I166" s="14" t="s">
        <v>3559</v>
      </c>
      <c r="J166" s="12" t="s">
        <v>1574</v>
      </c>
      <c r="K166" s="12" t="str">
        <f t="shared" si="11"/>
        <v>Closed</v>
      </c>
      <c r="L166" s="26">
        <v>44647</v>
      </c>
      <c r="M166" s="12"/>
      <c r="N166" s="12" t="s">
        <v>2517</v>
      </c>
      <c r="O166" s="12"/>
      <c r="P166" s="12" t="s">
        <v>3790</v>
      </c>
      <c r="Q166" s="12"/>
      <c r="R166" s="12" t="s">
        <v>1545</v>
      </c>
      <c r="S166" s="12" t="s">
        <v>6</v>
      </c>
      <c r="T166" s="13">
        <v>44647</v>
      </c>
      <c r="U166" s="12" t="str">
        <f t="shared" si="8"/>
        <v>NFF</v>
      </c>
      <c r="V166" s="12" t="str">
        <f t="shared" si="9"/>
        <v>DAOUDI Mohamed</v>
      </c>
      <c r="W166" s="13">
        <f t="shared" si="10"/>
        <v>44647</v>
      </c>
    </row>
    <row r="167" spans="1:23" ht="14.4" customHeight="1" x14ac:dyDescent="0.3">
      <c r="A167" s="13">
        <v>44644</v>
      </c>
      <c r="B167" s="12" t="s">
        <v>3539</v>
      </c>
      <c r="C167" s="12" t="s">
        <v>1690</v>
      </c>
      <c r="D167" s="5"/>
      <c r="E167" s="12">
        <v>508</v>
      </c>
      <c r="F167" s="11" t="s">
        <v>3128</v>
      </c>
      <c r="G167" s="12" t="s">
        <v>7</v>
      </c>
      <c r="H167" s="12" t="s">
        <v>19</v>
      </c>
      <c r="I167" s="14" t="s">
        <v>3559</v>
      </c>
      <c r="J167" s="12" t="s">
        <v>1574</v>
      </c>
      <c r="K167" s="12" t="str">
        <f t="shared" si="11"/>
        <v>Closed</v>
      </c>
      <c r="L167" s="26">
        <v>44647</v>
      </c>
      <c r="M167" s="12"/>
      <c r="N167" s="12" t="s">
        <v>2517</v>
      </c>
      <c r="O167" s="12"/>
      <c r="P167" s="12" t="s">
        <v>3790</v>
      </c>
      <c r="Q167" s="12"/>
      <c r="R167" s="12"/>
      <c r="S167" s="12"/>
      <c r="T167" s="13" t="s">
        <v>1547</v>
      </c>
      <c r="U167" s="12" t="str">
        <f t="shared" si="8"/>
        <v>NFF</v>
      </c>
      <c r="V167" s="12" t="str">
        <f t="shared" si="9"/>
        <v>DAOUDI Mohamed</v>
      </c>
      <c r="W167" s="13">
        <f t="shared" si="10"/>
        <v>44647</v>
      </c>
    </row>
    <row r="168" spans="1:23" ht="14.4" customHeight="1" x14ac:dyDescent="0.3">
      <c r="A168" s="13">
        <v>44644</v>
      </c>
      <c r="B168" s="12" t="s">
        <v>3540</v>
      </c>
      <c r="C168" s="12" t="s">
        <v>1690</v>
      </c>
      <c r="D168" s="5"/>
      <c r="E168" s="12">
        <v>501</v>
      </c>
      <c r="F168" s="11" t="s">
        <v>3541</v>
      </c>
      <c r="G168" s="12" t="s">
        <v>7</v>
      </c>
      <c r="H168" s="12" t="s">
        <v>11</v>
      </c>
      <c r="I168" s="14" t="s">
        <v>3663</v>
      </c>
      <c r="J168" s="12" t="s">
        <v>1574</v>
      </c>
      <c r="K168" s="12" t="str">
        <f t="shared" si="11"/>
        <v>Closed</v>
      </c>
      <c r="L168" s="26">
        <v>44654</v>
      </c>
      <c r="M168" s="12"/>
      <c r="N168" s="12" t="s">
        <v>4449</v>
      </c>
      <c r="O168" s="12"/>
      <c r="P168" s="12" t="s">
        <v>3790</v>
      </c>
      <c r="Q168" s="12"/>
      <c r="R168" s="12"/>
      <c r="S168" s="12"/>
      <c r="T168" s="13" t="s">
        <v>1547</v>
      </c>
      <c r="U168" s="12" t="str">
        <f t="shared" si="8"/>
        <v>NFF</v>
      </c>
      <c r="V168" s="12" t="str">
        <f t="shared" si="9"/>
        <v>FIRDUS Ahmad</v>
      </c>
      <c r="W168" s="13">
        <f t="shared" si="10"/>
        <v>44654</v>
      </c>
    </row>
    <row r="169" spans="1:23" ht="28.95" customHeight="1" x14ac:dyDescent="0.3">
      <c r="A169" s="13">
        <v>44645</v>
      </c>
      <c r="B169" s="12" t="s">
        <v>3544</v>
      </c>
      <c r="C169" s="12" t="s">
        <v>1542</v>
      </c>
      <c r="D169" s="5"/>
      <c r="E169" s="12">
        <v>501</v>
      </c>
      <c r="F169" s="11" t="s">
        <v>3545</v>
      </c>
      <c r="G169" s="12" t="s">
        <v>7</v>
      </c>
      <c r="H169" s="12" t="s">
        <v>14</v>
      </c>
      <c r="I169" s="14" t="s">
        <v>3647</v>
      </c>
      <c r="J169" s="12" t="s">
        <v>1609</v>
      </c>
      <c r="K169" s="12" t="str">
        <f t="shared" si="11"/>
        <v>Open</v>
      </c>
      <c r="L169" s="26">
        <v>44654</v>
      </c>
      <c r="M169" s="12"/>
      <c r="N169" s="12" t="s">
        <v>4427</v>
      </c>
      <c r="O169" s="12"/>
      <c r="P169" s="12" t="s">
        <v>3790</v>
      </c>
      <c r="Q169" s="12"/>
      <c r="R169" s="12" t="s">
        <v>3566</v>
      </c>
      <c r="S169" s="12" t="s">
        <v>3</v>
      </c>
      <c r="T169" s="13" t="s">
        <v>1547</v>
      </c>
      <c r="U169" s="12" t="str">
        <f t="shared" si="8"/>
        <v>CM Open</v>
      </c>
      <c r="V169" s="12" t="str">
        <f t="shared" si="9"/>
        <v>SUKIMAN Zamhuri</v>
      </c>
      <c r="W169" s="13" t="str">
        <f t="shared" si="10"/>
        <v/>
      </c>
    </row>
    <row r="170" spans="1:23" ht="14.4" customHeight="1" x14ac:dyDescent="0.3">
      <c r="A170" s="13">
        <v>44645</v>
      </c>
      <c r="B170" s="12" t="s">
        <v>3546</v>
      </c>
      <c r="C170" s="12" t="s">
        <v>1542</v>
      </c>
      <c r="D170" s="5"/>
      <c r="E170" s="12">
        <v>506</v>
      </c>
      <c r="F170" s="11" t="s">
        <v>3547</v>
      </c>
      <c r="G170" s="12" t="s">
        <v>7</v>
      </c>
      <c r="H170" s="12" t="s">
        <v>293</v>
      </c>
      <c r="I170" s="14"/>
      <c r="J170" s="12" t="s">
        <v>1582</v>
      </c>
      <c r="K170" s="12" t="str">
        <f t="shared" si="11"/>
        <v>Open</v>
      </c>
      <c r="L170" s="26"/>
      <c r="M170" s="12"/>
      <c r="N170" s="12" t="s">
        <v>4428</v>
      </c>
      <c r="O170" s="12"/>
      <c r="P170" s="12" t="s">
        <v>3790</v>
      </c>
      <c r="Q170" s="12"/>
      <c r="R170" s="12" t="s">
        <v>3566</v>
      </c>
      <c r="S170" s="12"/>
      <c r="T170" s="13" t="s">
        <v>1547</v>
      </c>
      <c r="U170" s="12" t="str">
        <f t="shared" si="8"/>
        <v>Not Started</v>
      </c>
      <c r="V170" s="12" t="str">
        <f t="shared" si="9"/>
        <v>RASHEED Imran</v>
      </c>
      <c r="W170" s="13" t="str">
        <f t="shared" si="10"/>
        <v/>
      </c>
    </row>
    <row r="171" spans="1:23" ht="14.4" customHeight="1" x14ac:dyDescent="0.3">
      <c r="A171" s="13">
        <v>44647</v>
      </c>
      <c r="B171" s="12" t="s">
        <v>3553</v>
      </c>
      <c r="C171" s="12" t="s">
        <v>1690</v>
      </c>
      <c r="D171" s="5"/>
      <c r="E171" s="12">
        <v>501</v>
      </c>
      <c r="F171" s="14" t="s">
        <v>3554</v>
      </c>
      <c r="G171" s="12" t="s">
        <v>7</v>
      </c>
      <c r="H171" s="12" t="s">
        <v>11</v>
      </c>
      <c r="I171" s="14" t="s">
        <v>3565</v>
      </c>
      <c r="J171" s="12" t="s">
        <v>1609</v>
      </c>
      <c r="K171" s="12" t="str">
        <f t="shared" si="11"/>
        <v>Open</v>
      </c>
      <c r="L171" s="26">
        <v>44647</v>
      </c>
      <c r="M171" s="12"/>
      <c r="N171" s="12" t="s">
        <v>2528</v>
      </c>
      <c r="O171" s="12" t="s">
        <v>3383</v>
      </c>
      <c r="P171" s="12" t="s">
        <v>3790</v>
      </c>
      <c r="Q171" s="12"/>
      <c r="R171" s="12" t="s">
        <v>1545</v>
      </c>
      <c r="S171" s="12" t="s">
        <v>13</v>
      </c>
      <c r="T171" s="13">
        <v>44655</v>
      </c>
      <c r="U171" s="12" t="str">
        <f t="shared" si="8"/>
        <v>Corrected</v>
      </c>
      <c r="V171" s="12" t="str">
        <f t="shared" si="9"/>
        <v xml:space="preserve">KHAMIS Jaafar </v>
      </c>
      <c r="W171" s="13">
        <f t="shared" si="10"/>
        <v>44655</v>
      </c>
    </row>
    <row r="172" spans="1:23" ht="14.4" customHeight="1" x14ac:dyDescent="0.3">
      <c r="A172" s="13">
        <v>44647</v>
      </c>
      <c r="B172" s="12" t="s">
        <v>3555</v>
      </c>
      <c r="C172" s="12" t="s">
        <v>1690</v>
      </c>
      <c r="D172" s="5"/>
      <c r="E172" s="12">
        <v>512</v>
      </c>
      <c r="F172" s="11" t="s">
        <v>3556</v>
      </c>
      <c r="G172" s="12" t="s">
        <v>7</v>
      </c>
      <c r="H172" s="12" t="s">
        <v>14</v>
      </c>
      <c r="I172" s="14" t="s">
        <v>3471</v>
      </c>
      <c r="J172" s="12" t="s">
        <v>1574</v>
      </c>
      <c r="K172" s="12" t="str">
        <f t="shared" si="11"/>
        <v>Closed</v>
      </c>
      <c r="L172" s="26">
        <v>44655</v>
      </c>
      <c r="M172" s="12"/>
      <c r="N172" s="12" t="s">
        <v>4427</v>
      </c>
      <c r="O172" s="12"/>
      <c r="P172" s="12" t="s">
        <v>3790</v>
      </c>
      <c r="Q172" s="12"/>
      <c r="R172" s="12"/>
      <c r="S172" s="12"/>
      <c r="T172" s="13" t="s">
        <v>1547</v>
      </c>
      <c r="U172" s="12" t="str">
        <f t="shared" si="8"/>
        <v>NFF</v>
      </c>
      <c r="V172" s="12" t="str">
        <f t="shared" si="9"/>
        <v>GUAN Jialin</v>
      </c>
      <c r="W172" s="13">
        <f t="shared" si="10"/>
        <v>44655</v>
      </c>
    </row>
    <row r="173" spans="1:23" ht="14.4" customHeight="1" x14ac:dyDescent="0.3">
      <c r="A173" s="13">
        <v>44647</v>
      </c>
      <c r="B173" s="12" t="s">
        <v>3557</v>
      </c>
      <c r="C173" s="12" t="s">
        <v>1690</v>
      </c>
      <c r="D173" s="5"/>
      <c r="E173" s="12">
        <v>515</v>
      </c>
      <c r="F173" s="11" t="s">
        <v>3558</v>
      </c>
      <c r="G173" s="12" t="s">
        <v>7</v>
      </c>
      <c r="H173" s="12" t="s">
        <v>19</v>
      </c>
      <c r="I173" s="14" t="s">
        <v>3670</v>
      </c>
      <c r="J173" s="12" t="s">
        <v>1574</v>
      </c>
      <c r="K173" s="12" t="str">
        <f t="shared" si="11"/>
        <v>Closed</v>
      </c>
      <c r="L173" s="26">
        <v>44655</v>
      </c>
      <c r="M173" s="12"/>
      <c r="N173" s="12" t="s">
        <v>4430</v>
      </c>
      <c r="O173" s="12"/>
      <c r="P173" s="12" t="s">
        <v>3790</v>
      </c>
      <c r="Q173" s="12"/>
      <c r="R173" s="12"/>
      <c r="S173" s="12"/>
      <c r="T173" s="13" t="s">
        <v>1547</v>
      </c>
      <c r="U173" s="12" t="str">
        <f t="shared" si="8"/>
        <v>NFF</v>
      </c>
      <c r="V173" s="12" t="str">
        <f t="shared" si="9"/>
        <v>DAOUDI Mohamed</v>
      </c>
      <c r="W173" s="13">
        <f t="shared" si="10"/>
        <v>44655</v>
      </c>
    </row>
    <row r="174" spans="1:23" ht="14.4" customHeight="1" x14ac:dyDescent="0.3">
      <c r="A174" s="13">
        <v>44650</v>
      </c>
      <c r="B174" s="12" t="s">
        <v>3611</v>
      </c>
      <c r="C174" s="12" t="s">
        <v>1542</v>
      </c>
      <c r="D174" s="5"/>
      <c r="E174" s="12">
        <v>502</v>
      </c>
      <c r="F174" s="11" t="s">
        <v>3658</v>
      </c>
      <c r="G174" s="12" t="s">
        <v>7</v>
      </c>
      <c r="H174" s="12" t="s">
        <v>14</v>
      </c>
      <c r="I174" s="14" t="s">
        <v>3779</v>
      </c>
      <c r="J174" s="12" t="s">
        <v>1609</v>
      </c>
      <c r="K174" s="12" t="str">
        <f t="shared" si="11"/>
        <v>Open</v>
      </c>
      <c r="L174" s="26">
        <v>44662</v>
      </c>
      <c r="M174" s="12"/>
      <c r="N174" s="12" t="s">
        <v>4427</v>
      </c>
      <c r="O174" s="12" t="s">
        <v>2546</v>
      </c>
      <c r="P174" s="12" t="s">
        <v>3790</v>
      </c>
      <c r="Q174" s="12"/>
      <c r="R174" s="12" t="s">
        <v>1545</v>
      </c>
      <c r="S174" s="12" t="s">
        <v>6</v>
      </c>
      <c r="T174" s="13">
        <v>44654</v>
      </c>
      <c r="U174" s="12" t="str">
        <f t="shared" si="8"/>
        <v>Corrected</v>
      </c>
      <c r="V174" s="12" t="str">
        <f t="shared" si="9"/>
        <v>MUHAMMAD ALIF BIN ALI</v>
      </c>
      <c r="W174" s="13">
        <f t="shared" si="10"/>
        <v>44654</v>
      </c>
    </row>
    <row r="175" spans="1:23" ht="14.4" customHeight="1" x14ac:dyDescent="0.3">
      <c r="A175" s="13">
        <v>44650</v>
      </c>
      <c r="B175" s="12" t="s">
        <v>3612</v>
      </c>
      <c r="C175" s="12" t="s">
        <v>1542</v>
      </c>
      <c r="D175" s="5"/>
      <c r="E175" s="12">
        <v>502</v>
      </c>
      <c r="F175" s="11" t="s">
        <v>3659</v>
      </c>
      <c r="G175" s="12" t="s">
        <v>7</v>
      </c>
      <c r="H175" s="12" t="s">
        <v>9</v>
      </c>
      <c r="I175" s="14"/>
      <c r="J175" s="12" t="s">
        <v>1582</v>
      </c>
      <c r="K175" s="12" t="str">
        <f t="shared" si="11"/>
        <v>Open</v>
      </c>
      <c r="L175" s="26"/>
      <c r="M175" s="12"/>
      <c r="N175" s="12" t="s">
        <v>2448</v>
      </c>
      <c r="O175" s="12"/>
      <c r="P175" s="12" t="s">
        <v>3790</v>
      </c>
      <c r="Q175" s="12"/>
      <c r="R175" s="12"/>
      <c r="S175" s="12"/>
      <c r="T175" s="13" t="s">
        <v>1547</v>
      </c>
      <c r="U175" s="12" t="str">
        <f t="shared" si="8"/>
        <v>Not Started</v>
      </c>
      <c r="V175" s="12" t="str">
        <f t="shared" si="9"/>
        <v>KHAN Jahan</v>
      </c>
      <c r="W175" s="13" t="str">
        <f t="shared" si="10"/>
        <v/>
      </c>
    </row>
    <row r="176" spans="1:23" ht="14.4" customHeight="1" x14ac:dyDescent="0.3">
      <c r="A176" s="13">
        <v>44650</v>
      </c>
      <c r="B176" s="12" t="s">
        <v>3616</v>
      </c>
      <c r="C176" s="12" t="s">
        <v>1542</v>
      </c>
      <c r="D176" s="5"/>
      <c r="E176" s="12">
        <v>513</v>
      </c>
      <c r="F176" s="11" t="s">
        <v>3683</v>
      </c>
      <c r="G176" s="12" t="s">
        <v>7</v>
      </c>
      <c r="H176" s="12" t="s">
        <v>12</v>
      </c>
      <c r="I176" s="14"/>
      <c r="J176" s="12" t="s">
        <v>1582</v>
      </c>
      <c r="K176" s="12" t="str">
        <f t="shared" si="11"/>
        <v>Open</v>
      </c>
      <c r="L176" s="26"/>
      <c r="M176" s="12"/>
      <c r="N176" s="12" t="s">
        <v>4427</v>
      </c>
      <c r="O176" s="12"/>
      <c r="P176" s="12" t="s">
        <v>3790</v>
      </c>
      <c r="Q176" s="12"/>
      <c r="R176" s="12"/>
      <c r="S176" s="12"/>
      <c r="T176" s="13" t="s">
        <v>1547</v>
      </c>
      <c r="U176" s="12" t="str">
        <f t="shared" si="8"/>
        <v>Not Started</v>
      </c>
      <c r="V176" s="12" t="str">
        <f t="shared" si="9"/>
        <v>ALOWAINI Shawqi</v>
      </c>
      <c r="W176" s="13" t="str">
        <f t="shared" si="10"/>
        <v/>
      </c>
    </row>
    <row r="177" spans="1:23" ht="14.4" customHeight="1" x14ac:dyDescent="0.3">
      <c r="A177" s="13">
        <v>44650</v>
      </c>
      <c r="B177" s="12" t="s">
        <v>3617</v>
      </c>
      <c r="C177" s="12" t="s">
        <v>1542</v>
      </c>
      <c r="D177" s="5"/>
      <c r="E177" s="12">
        <v>513</v>
      </c>
      <c r="F177" s="11" t="s">
        <v>3684</v>
      </c>
      <c r="G177" s="12" t="s">
        <v>7</v>
      </c>
      <c r="H177" s="12" t="s">
        <v>9</v>
      </c>
      <c r="I177" s="14"/>
      <c r="J177" s="12" t="s">
        <v>1582</v>
      </c>
      <c r="K177" s="12" t="str">
        <f t="shared" si="11"/>
        <v>Open</v>
      </c>
      <c r="L177" s="26"/>
      <c r="M177" s="12"/>
      <c r="N177" s="12" t="s">
        <v>2448</v>
      </c>
      <c r="O177" s="12"/>
      <c r="P177" s="12" t="s">
        <v>3790</v>
      </c>
      <c r="Q177" s="12"/>
      <c r="R177" s="12"/>
      <c r="S177" s="12"/>
      <c r="T177" s="13" t="s">
        <v>1547</v>
      </c>
      <c r="U177" s="12" t="str">
        <f t="shared" si="8"/>
        <v>Not Started</v>
      </c>
      <c r="V177" s="12" t="str">
        <f t="shared" si="9"/>
        <v>KHAN Jahan</v>
      </c>
      <c r="W177" s="13" t="str">
        <f t="shared" si="10"/>
        <v/>
      </c>
    </row>
    <row r="178" spans="1:23" ht="14.4" customHeight="1" x14ac:dyDescent="0.3">
      <c r="A178" s="13">
        <v>44655</v>
      </c>
      <c r="B178" s="12" t="s">
        <v>3666</v>
      </c>
      <c r="C178" s="12" t="s">
        <v>1542</v>
      </c>
      <c r="D178" s="5"/>
      <c r="E178" s="12">
        <v>510</v>
      </c>
      <c r="F178" s="11" t="s">
        <v>3667</v>
      </c>
      <c r="G178" s="12" t="s">
        <v>7</v>
      </c>
      <c r="H178" s="12" t="s">
        <v>14</v>
      </c>
      <c r="I178" s="14" t="s">
        <v>3668</v>
      </c>
      <c r="J178" s="12" t="s">
        <v>1545</v>
      </c>
      <c r="K178" s="12" t="str">
        <f t="shared" si="11"/>
        <v>Closed</v>
      </c>
      <c r="L178" s="26">
        <v>44655</v>
      </c>
      <c r="M178" s="12"/>
      <c r="N178" s="12" t="s">
        <v>4427</v>
      </c>
      <c r="O178" s="12" t="s">
        <v>2546</v>
      </c>
      <c r="P178" s="12" t="s">
        <v>3790</v>
      </c>
      <c r="Q178" s="12"/>
      <c r="R178" s="12" t="s">
        <v>1545</v>
      </c>
      <c r="S178" s="12" t="s">
        <v>16</v>
      </c>
      <c r="T178" s="13">
        <v>44655</v>
      </c>
      <c r="U178" s="12" t="str">
        <f t="shared" si="8"/>
        <v>Corrected</v>
      </c>
      <c r="V178" s="12" t="str">
        <f t="shared" si="9"/>
        <v>GUAN Jialin</v>
      </c>
      <c r="W178" s="13">
        <f t="shared" si="10"/>
        <v>44655</v>
      </c>
    </row>
    <row r="179" spans="1:23" ht="14.4" customHeight="1" x14ac:dyDescent="0.3">
      <c r="A179" s="13">
        <v>44655</v>
      </c>
      <c r="B179" s="12" t="s">
        <v>3673</v>
      </c>
      <c r="C179" s="12" t="s">
        <v>1542</v>
      </c>
      <c r="D179" s="5"/>
      <c r="E179" s="12">
        <v>508</v>
      </c>
      <c r="F179" s="11" t="s">
        <v>3686</v>
      </c>
      <c r="G179" s="12" t="s">
        <v>7</v>
      </c>
      <c r="H179" s="12" t="s">
        <v>9</v>
      </c>
      <c r="I179" s="14"/>
      <c r="J179" s="12" t="s">
        <v>1582</v>
      </c>
      <c r="K179" s="12" t="str">
        <f t="shared" si="11"/>
        <v>Open</v>
      </c>
      <c r="L179" s="26"/>
      <c r="M179" s="12"/>
      <c r="N179" s="12" t="s">
        <v>2492</v>
      </c>
      <c r="O179" s="12"/>
      <c r="P179" s="12" t="s">
        <v>3790</v>
      </c>
      <c r="Q179" s="12"/>
      <c r="R179" s="12"/>
      <c r="S179" s="12"/>
      <c r="T179" s="13" t="s">
        <v>1547</v>
      </c>
      <c r="U179" s="12" t="str">
        <f t="shared" si="8"/>
        <v>Not Started</v>
      </c>
      <c r="V179" s="12" t="str">
        <f t="shared" si="9"/>
        <v>KHAN Jahan</v>
      </c>
      <c r="W179" s="13" t="str">
        <f t="shared" si="10"/>
        <v/>
      </c>
    </row>
    <row r="180" spans="1:23" ht="14.4" customHeight="1" x14ac:dyDescent="0.3">
      <c r="A180" s="13">
        <v>44656</v>
      </c>
      <c r="B180" s="12" t="s">
        <v>3695</v>
      </c>
      <c r="C180" s="12" t="s">
        <v>1542</v>
      </c>
      <c r="D180" s="5"/>
      <c r="E180" s="12">
        <v>505</v>
      </c>
      <c r="F180" s="11" t="s">
        <v>3696</v>
      </c>
      <c r="G180" s="12" t="s">
        <v>7</v>
      </c>
      <c r="H180" s="12" t="s">
        <v>9</v>
      </c>
      <c r="I180" s="14"/>
      <c r="J180" s="12" t="s">
        <v>1582</v>
      </c>
      <c r="K180" s="12" t="str">
        <f t="shared" si="11"/>
        <v>Open</v>
      </c>
      <c r="L180" s="26"/>
      <c r="M180" s="12"/>
      <c r="N180" s="12" t="s">
        <v>3465</v>
      </c>
      <c r="O180" s="12"/>
      <c r="P180" s="12" t="s">
        <v>3790</v>
      </c>
      <c r="Q180" s="12"/>
      <c r="R180" s="12"/>
      <c r="S180" s="12"/>
      <c r="T180" s="13" t="s">
        <v>1547</v>
      </c>
      <c r="U180" s="12" t="str">
        <f t="shared" si="8"/>
        <v>Not Started</v>
      </c>
      <c r="V180" s="12" t="str">
        <f t="shared" si="9"/>
        <v>KHAN Jahan</v>
      </c>
      <c r="W180" s="13" t="str">
        <f t="shared" si="10"/>
        <v/>
      </c>
    </row>
    <row r="181" spans="1:23" ht="14.4" customHeight="1" x14ac:dyDescent="0.3">
      <c r="A181" s="13">
        <v>44656</v>
      </c>
      <c r="B181" s="12" t="s">
        <v>3697</v>
      </c>
      <c r="C181" s="12" t="s">
        <v>1542</v>
      </c>
      <c r="D181" s="5"/>
      <c r="E181" s="12">
        <v>510</v>
      </c>
      <c r="F181" s="11" t="s">
        <v>3698</v>
      </c>
      <c r="G181" s="12" t="s">
        <v>7</v>
      </c>
      <c r="H181" s="12" t="s">
        <v>12</v>
      </c>
      <c r="I181" s="14"/>
      <c r="J181" s="12" t="s">
        <v>1582</v>
      </c>
      <c r="K181" s="12" t="str">
        <f t="shared" si="11"/>
        <v>Open</v>
      </c>
      <c r="L181" s="26"/>
      <c r="M181" s="12"/>
      <c r="N181" s="12" t="s">
        <v>4427</v>
      </c>
      <c r="O181" s="12"/>
      <c r="P181" s="12" t="s">
        <v>3790</v>
      </c>
      <c r="Q181" s="12"/>
      <c r="R181" s="12"/>
      <c r="S181" s="12"/>
      <c r="T181" s="13" t="s">
        <v>1547</v>
      </c>
      <c r="U181" s="12" t="str">
        <f t="shared" si="8"/>
        <v>Not Started</v>
      </c>
      <c r="V181" s="12" t="str">
        <f t="shared" si="9"/>
        <v>ALOWAINI Shawqi</v>
      </c>
      <c r="W181" s="13" t="str">
        <f t="shared" si="10"/>
        <v/>
      </c>
    </row>
    <row r="182" spans="1:23" ht="14.4" customHeight="1" x14ac:dyDescent="0.3">
      <c r="A182" s="13">
        <v>44657</v>
      </c>
      <c r="B182" s="12" t="s">
        <v>3699</v>
      </c>
      <c r="C182" s="12" t="s">
        <v>1542</v>
      </c>
      <c r="D182" s="5"/>
      <c r="E182" s="12">
        <v>507</v>
      </c>
      <c r="F182" s="11" t="s">
        <v>3686</v>
      </c>
      <c r="G182" s="12" t="s">
        <v>7</v>
      </c>
      <c r="H182" s="12" t="s">
        <v>11</v>
      </c>
      <c r="I182" s="14" t="s">
        <v>3791</v>
      </c>
      <c r="J182" s="12" t="s">
        <v>1574</v>
      </c>
      <c r="K182" s="12" t="str">
        <f t="shared" si="11"/>
        <v>Closed</v>
      </c>
      <c r="L182" s="26">
        <v>44663</v>
      </c>
      <c r="M182" s="12"/>
      <c r="N182" s="12" t="s">
        <v>2492</v>
      </c>
      <c r="O182" s="12"/>
      <c r="P182" s="12" t="s">
        <v>3790</v>
      </c>
      <c r="Q182" s="12"/>
      <c r="R182" s="12"/>
      <c r="S182" s="12"/>
      <c r="T182" s="13" t="s">
        <v>1547</v>
      </c>
      <c r="U182" s="12" t="str">
        <f t="shared" si="8"/>
        <v>NFF</v>
      </c>
      <c r="V182" s="12" t="str">
        <f t="shared" si="9"/>
        <v>FIRDUS Ahmad</v>
      </c>
      <c r="W182" s="13">
        <f t="shared" si="10"/>
        <v>44663</v>
      </c>
    </row>
    <row r="183" spans="1:23" ht="14.4" customHeight="1" x14ac:dyDescent="0.3">
      <c r="A183" s="13">
        <v>44657</v>
      </c>
      <c r="B183" s="12" t="s">
        <v>3707</v>
      </c>
      <c r="C183" s="12" t="s">
        <v>1542</v>
      </c>
      <c r="D183" s="5"/>
      <c r="E183" s="12">
        <v>504</v>
      </c>
      <c r="F183" s="11" t="s">
        <v>3909</v>
      </c>
      <c r="G183" s="12" t="s">
        <v>7</v>
      </c>
      <c r="H183" s="12" t="s">
        <v>12</v>
      </c>
      <c r="I183" s="14"/>
      <c r="J183" s="12" t="s">
        <v>1582</v>
      </c>
      <c r="K183" s="12" t="str">
        <f t="shared" si="11"/>
        <v>Open</v>
      </c>
      <c r="L183" s="26"/>
      <c r="M183" s="12"/>
      <c r="N183" s="12" t="s">
        <v>4427</v>
      </c>
      <c r="O183" s="12"/>
      <c r="P183" s="12" t="s">
        <v>3790</v>
      </c>
      <c r="Q183" s="12"/>
      <c r="R183" s="12"/>
      <c r="S183" s="12"/>
      <c r="T183" s="13" t="s">
        <v>1547</v>
      </c>
      <c r="U183" s="12" t="str">
        <f t="shared" si="8"/>
        <v>Not Started</v>
      </c>
      <c r="V183" s="12" t="str">
        <f t="shared" si="9"/>
        <v>ALOWAINI Shawqi</v>
      </c>
      <c r="W183" s="13" t="str">
        <f t="shared" si="10"/>
        <v/>
      </c>
    </row>
    <row r="184" spans="1:23" ht="14.4" customHeight="1" x14ac:dyDescent="0.3">
      <c r="A184" s="13">
        <v>44657</v>
      </c>
      <c r="B184" s="12" t="s">
        <v>3738</v>
      </c>
      <c r="C184" s="12" t="s">
        <v>1542</v>
      </c>
      <c r="D184" s="5"/>
      <c r="E184" s="12">
        <v>519</v>
      </c>
      <c r="F184" s="11" t="s">
        <v>3690</v>
      </c>
      <c r="G184" s="12" t="s">
        <v>7</v>
      </c>
      <c r="H184" s="12" t="s">
        <v>9</v>
      </c>
      <c r="I184" s="14"/>
      <c r="J184" s="12" t="s">
        <v>1582</v>
      </c>
      <c r="K184" s="12" t="str">
        <f t="shared" si="11"/>
        <v>Open</v>
      </c>
      <c r="L184" s="26"/>
      <c r="M184" s="12"/>
      <c r="N184" s="12" t="s">
        <v>2482</v>
      </c>
      <c r="O184" s="12"/>
      <c r="P184" s="12" t="s">
        <v>3790</v>
      </c>
      <c r="Q184" s="12"/>
      <c r="R184" s="12"/>
      <c r="S184" s="12"/>
      <c r="T184" s="13" t="s">
        <v>1547</v>
      </c>
      <c r="U184" s="12" t="str">
        <f t="shared" si="8"/>
        <v>Not Started</v>
      </c>
      <c r="V184" s="12" t="str">
        <f t="shared" si="9"/>
        <v>KHAN Jahan</v>
      </c>
      <c r="W184" s="13" t="str">
        <f t="shared" si="10"/>
        <v/>
      </c>
    </row>
    <row r="185" spans="1:23" ht="14.4" customHeight="1" x14ac:dyDescent="0.3">
      <c r="A185" s="13">
        <v>44657</v>
      </c>
      <c r="B185" s="12" t="s">
        <v>3739</v>
      </c>
      <c r="C185" s="12" t="s">
        <v>1542</v>
      </c>
      <c r="D185" s="5"/>
      <c r="E185" s="12">
        <v>519</v>
      </c>
      <c r="F185" s="11" t="s">
        <v>3740</v>
      </c>
      <c r="G185" s="12" t="s">
        <v>7</v>
      </c>
      <c r="H185" s="12" t="s">
        <v>12</v>
      </c>
      <c r="I185" s="14"/>
      <c r="J185" s="12" t="s">
        <v>1582</v>
      </c>
      <c r="K185" s="12" t="str">
        <f t="shared" si="11"/>
        <v>Open</v>
      </c>
      <c r="L185" s="26"/>
      <c r="M185" s="12"/>
      <c r="N185" s="12" t="s">
        <v>4427</v>
      </c>
      <c r="O185" s="12"/>
      <c r="P185" s="12" t="s">
        <v>3790</v>
      </c>
      <c r="Q185" s="12"/>
      <c r="R185" s="12"/>
      <c r="S185" s="12"/>
      <c r="T185" s="13" t="s">
        <v>1547</v>
      </c>
      <c r="U185" s="12" t="str">
        <f t="shared" si="8"/>
        <v>Not Started</v>
      </c>
      <c r="V185" s="12" t="str">
        <f t="shared" si="9"/>
        <v>ALOWAINI Shawqi</v>
      </c>
      <c r="W185" s="13" t="str">
        <f t="shared" si="10"/>
        <v/>
      </c>
    </row>
    <row r="186" spans="1:23" ht="14.4" customHeight="1" x14ac:dyDescent="0.3">
      <c r="A186" s="13">
        <v>44658</v>
      </c>
      <c r="B186" s="12" t="s">
        <v>3758</v>
      </c>
      <c r="C186" s="12" t="s">
        <v>1542</v>
      </c>
      <c r="D186" s="5"/>
      <c r="E186" s="12">
        <v>501</v>
      </c>
      <c r="F186" s="11" t="s">
        <v>3823</v>
      </c>
      <c r="G186" s="12" t="s">
        <v>7</v>
      </c>
      <c r="H186" s="12" t="s">
        <v>9</v>
      </c>
      <c r="I186" s="14"/>
      <c r="J186" s="12" t="s">
        <v>1582</v>
      </c>
      <c r="K186" s="12" t="str">
        <f t="shared" si="11"/>
        <v>Open</v>
      </c>
      <c r="L186" s="26"/>
      <c r="M186" s="12"/>
      <c r="N186" s="12" t="s">
        <v>2492</v>
      </c>
      <c r="O186" s="12"/>
      <c r="P186" s="12" t="s">
        <v>3790</v>
      </c>
      <c r="Q186" s="12"/>
      <c r="R186" s="12"/>
      <c r="S186" s="12"/>
      <c r="T186" s="13" t="s">
        <v>1547</v>
      </c>
      <c r="U186" s="12" t="str">
        <f t="shared" si="8"/>
        <v>Not Started</v>
      </c>
      <c r="V186" s="12" t="str">
        <f t="shared" si="9"/>
        <v>KHAN Jahan</v>
      </c>
      <c r="W186" s="13" t="str">
        <f t="shared" si="10"/>
        <v/>
      </c>
    </row>
    <row r="187" spans="1:23" ht="14.4" customHeight="1" x14ac:dyDescent="0.3">
      <c r="A187" s="13">
        <v>44658</v>
      </c>
      <c r="B187" s="12" t="s">
        <v>3759</v>
      </c>
      <c r="C187" s="12" t="s">
        <v>1542</v>
      </c>
      <c r="D187" s="5"/>
      <c r="E187" s="12">
        <v>501</v>
      </c>
      <c r="F187" s="11" t="s">
        <v>3824</v>
      </c>
      <c r="G187" s="12" t="s">
        <v>7</v>
      </c>
      <c r="H187" s="12" t="s">
        <v>9</v>
      </c>
      <c r="I187" s="14"/>
      <c r="J187" s="12" t="s">
        <v>1582</v>
      </c>
      <c r="K187" s="12" t="str">
        <f t="shared" si="11"/>
        <v>Open</v>
      </c>
      <c r="L187" s="26"/>
      <c r="M187" s="12"/>
      <c r="N187" s="12" t="s">
        <v>2448</v>
      </c>
      <c r="O187" s="12"/>
      <c r="P187" s="12" t="s">
        <v>3790</v>
      </c>
      <c r="Q187" s="12"/>
      <c r="R187" s="12"/>
      <c r="S187" s="12"/>
      <c r="T187" s="13" t="s">
        <v>1547</v>
      </c>
      <c r="U187" s="12" t="str">
        <f t="shared" si="8"/>
        <v>Not Started</v>
      </c>
      <c r="V187" s="12" t="str">
        <f t="shared" si="9"/>
        <v>KHAN Jahan</v>
      </c>
      <c r="W187" s="13" t="str">
        <f t="shared" si="10"/>
        <v/>
      </c>
    </row>
    <row r="188" spans="1:23" ht="14.4" customHeight="1" x14ac:dyDescent="0.3">
      <c r="A188" s="13">
        <v>44658</v>
      </c>
      <c r="B188" s="12" t="s">
        <v>3760</v>
      </c>
      <c r="C188" s="12" t="s">
        <v>1542</v>
      </c>
      <c r="D188" s="5"/>
      <c r="E188" s="12">
        <v>506</v>
      </c>
      <c r="F188" s="11" t="s">
        <v>3823</v>
      </c>
      <c r="G188" s="12" t="s">
        <v>7</v>
      </c>
      <c r="H188" s="12" t="s">
        <v>9</v>
      </c>
      <c r="I188" s="14"/>
      <c r="J188" s="12" t="s">
        <v>1582</v>
      </c>
      <c r="K188" s="12" t="str">
        <f t="shared" si="11"/>
        <v>Open</v>
      </c>
      <c r="L188" s="26"/>
      <c r="M188" s="12"/>
      <c r="N188" s="12" t="s">
        <v>2492</v>
      </c>
      <c r="O188" s="12"/>
      <c r="P188" s="12" t="s">
        <v>3790</v>
      </c>
      <c r="Q188" s="12"/>
      <c r="R188" s="12"/>
      <c r="S188" s="12"/>
      <c r="T188" s="13" t="s">
        <v>1547</v>
      </c>
      <c r="U188" s="12" t="str">
        <f t="shared" si="8"/>
        <v>Not Started</v>
      </c>
      <c r="V188" s="12" t="str">
        <f t="shared" si="9"/>
        <v>KHAN Jahan</v>
      </c>
      <c r="W188" s="13" t="str">
        <f t="shared" si="10"/>
        <v/>
      </c>
    </row>
    <row r="189" spans="1:23" ht="14.4" customHeight="1" x14ac:dyDescent="0.3">
      <c r="A189" s="13">
        <v>44661</v>
      </c>
      <c r="B189" s="12" t="s">
        <v>3769</v>
      </c>
      <c r="C189" s="12" t="s">
        <v>1542</v>
      </c>
      <c r="D189" s="5"/>
      <c r="E189" s="12">
        <v>518</v>
      </c>
      <c r="F189" s="11" t="s">
        <v>3799</v>
      </c>
      <c r="G189" s="12" t="s">
        <v>7</v>
      </c>
      <c r="H189" s="12" t="s">
        <v>18</v>
      </c>
      <c r="I189" s="11" t="s">
        <v>3777</v>
      </c>
      <c r="J189" s="12" t="s">
        <v>1545</v>
      </c>
      <c r="K189" s="12" t="str">
        <f t="shared" si="11"/>
        <v>Closed</v>
      </c>
      <c r="L189" s="26">
        <v>44662</v>
      </c>
      <c r="M189" s="12"/>
      <c r="N189" s="12" t="s">
        <v>2448</v>
      </c>
      <c r="O189" s="12" t="s">
        <v>1675</v>
      </c>
      <c r="P189" s="12" t="s">
        <v>3790</v>
      </c>
      <c r="Q189" s="12"/>
      <c r="R189" s="12"/>
      <c r="S189" s="12"/>
      <c r="T189" s="13" t="s">
        <v>1547</v>
      </c>
      <c r="U189" s="12" t="str">
        <f t="shared" si="8"/>
        <v>Corrected</v>
      </c>
      <c r="V189" s="12" t="str">
        <f t="shared" si="9"/>
        <v>BENAYED Elie</v>
      </c>
      <c r="W189" s="13">
        <f t="shared" si="10"/>
        <v>44662</v>
      </c>
    </row>
    <row r="190" spans="1:23" ht="14.4" customHeight="1" x14ac:dyDescent="0.3">
      <c r="A190" s="13">
        <v>44661</v>
      </c>
      <c r="B190" s="12" t="s">
        <v>3770</v>
      </c>
      <c r="C190" s="12" t="s">
        <v>1542</v>
      </c>
      <c r="D190" s="5"/>
      <c r="E190" s="12">
        <v>511</v>
      </c>
      <c r="F190" s="11" t="s">
        <v>3825</v>
      </c>
      <c r="G190" s="12" t="s">
        <v>7</v>
      </c>
      <c r="H190" s="12" t="s">
        <v>12</v>
      </c>
      <c r="I190" s="11"/>
      <c r="J190" s="12" t="s">
        <v>1582</v>
      </c>
      <c r="K190" s="12" t="str">
        <f t="shared" si="11"/>
        <v>Open</v>
      </c>
      <c r="L190" s="26"/>
      <c r="M190" s="12"/>
      <c r="N190" s="12" t="s">
        <v>4427</v>
      </c>
      <c r="O190" s="12"/>
      <c r="P190" s="12" t="s">
        <v>3790</v>
      </c>
      <c r="Q190" s="12"/>
      <c r="R190" s="12"/>
      <c r="S190" s="12"/>
      <c r="T190" s="13" t="s">
        <v>1547</v>
      </c>
      <c r="U190" s="12" t="str">
        <f t="shared" si="8"/>
        <v>Not Started</v>
      </c>
      <c r="V190" s="12" t="str">
        <f t="shared" si="9"/>
        <v>ALOWAINI Shawqi</v>
      </c>
      <c r="W190" s="13" t="str">
        <f t="shared" si="10"/>
        <v/>
      </c>
    </row>
    <row r="191" spans="1:23" ht="14.4" customHeight="1" x14ac:dyDescent="0.3">
      <c r="A191" s="13">
        <v>44663</v>
      </c>
      <c r="B191" s="12" t="s">
        <v>3793</v>
      </c>
      <c r="C191" s="12" t="s">
        <v>1542</v>
      </c>
      <c r="D191" s="5"/>
      <c r="E191" s="12">
        <v>503</v>
      </c>
      <c r="F191" s="11" t="s">
        <v>3427</v>
      </c>
      <c r="G191" s="12" t="s">
        <v>7</v>
      </c>
      <c r="H191" s="12" t="s">
        <v>14</v>
      </c>
      <c r="I191" s="11" t="s">
        <v>3794</v>
      </c>
      <c r="J191" s="12" t="s">
        <v>1609</v>
      </c>
      <c r="K191" s="12" t="str">
        <f t="shared" si="11"/>
        <v>Open</v>
      </c>
      <c r="L191" s="26"/>
      <c r="M191" s="12"/>
      <c r="N191" s="12" t="s">
        <v>4427</v>
      </c>
      <c r="O191" s="12"/>
      <c r="P191" s="12" t="s">
        <v>3790</v>
      </c>
      <c r="Q191" s="12"/>
      <c r="R191" s="12" t="s">
        <v>3566</v>
      </c>
      <c r="S191" s="12" t="s">
        <v>3</v>
      </c>
      <c r="T191" s="13" t="s">
        <v>1547</v>
      </c>
      <c r="U191" s="12" t="str">
        <f t="shared" si="8"/>
        <v>CM Open</v>
      </c>
      <c r="V191" s="12" t="str">
        <f t="shared" si="9"/>
        <v>SUKIMAN Zamhuri</v>
      </c>
      <c r="W191" s="13" t="str">
        <f t="shared" si="10"/>
        <v/>
      </c>
    </row>
    <row r="192" spans="1:23" ht="14.4" customHeight="1" x14ac:dyDescent="0.3">
      <c r="A192" s="13">
        <v>44663</v>
      </c>
      <c r="B192" s="12" t="s">
        <v>3795</v>
      </c>
      <c r="C192" s="12" t="s">
        <v>1542</v>
      </c>
      <c r="D192" s="5"/>
      <c r="E192" s="12">
        <v>503</v>
      </c>
      <c r="F192" s="11" t="s">
        <v>3796</v>
      </c>
      <c r="G192" s="12" t="s">
        <v>7</v>
      </c>
      <c r="H192" s="12" t="s">
        <v>14</v>
      </c>
      <c r="I192" s="11" t="s">
        <v>3794</v>
      </c>
      <c r="J192" s="12" t="s">
        <v>1609</v>
      </c>
      <c r="K192" s="12" t="str">
        <f t="shared" si="11"/>
        <v>Open</v>
      </c>
      <c r="L192" s="26"/>
      <c r="M192" s="12"/>
      <c r="N192" s="12" t="s">
        <v>4427</v>
      </c>
      <c r="O192" s="12"/>
      <c r="P192" s="12" t="s">
        <v>3790</v>
      </c>
      <c r="Q192" s="12"/>
      <c r="R192" s="12" t="s">
        <v>3566</v>
      </c>
      <c r="S192" s="12" t="s">
        <v>3</v>
      </c>
      <c r="T192" s="13" t="s">
        <v>1547</v>
      </c>
      <c r="U192" s="12" t="str">
        <f t="shared" si="8"/>
        <v>CM Open</v>
      </c>
      <c r="V192" s="12" t="str">
        <f t="shared" si="9"/>
        <v>SUKIMAN Zamhuri</v>
      </c>
      <c r="W192" s="13" t="str">
        <f t="shared" si="10"/>
        <v/>
      </c>
    </row>
    <row r="193" spans="1:23" ht="14.4" customHeight="1" x14ac:dyDescent="0.3">
      <c r="A193" s="13">
        <v>44664</v>
      </c>
      <c r="B193" s="12" t="s">
        <v>3802</v>
      </c>
      <c r="C193" s="12" t="s">
        <v>1542</v>
      </c>
      <c r="D193" s="5"/>
      <c r="E193" s="12">
        <v>510</v>
      </c>
      <c r="F193" s="11" t="s">
        <v>3803</v>
      </c>
      <c r="G193" s="12" t="s">
        <v>7</v>
      </c>
      <c r="H193" s="12" t="s">
        <v>293</v>
      </c>
      <c r="I193" s="11"/>
      <c r="J193" s="12" t="s">
        <v>1582</v>
      </c>
      <c r="K193" s="12" t="str">
        <f t="shared" si="11"/>
        <v>Open</v>
      </c>
      <c r="L193" s="26"/>
      <c r="M193" s="12"/>
      <c r="N193" s="12" t="s">
        <v>1652</v>
      </c>
      <c r="O193" s="12"/>
      <c r="P193" s="12" t="s">
        <v>3790</v>
      </c>
      <c r="Q193" s="12"/>
      <c r="R193" s="12"/>
      <c r="S193" s="12"/>
      <c r="T193" s="13" t="s">
        <v>1547</v>
      </c>
      <c r="U193" s="12" t="str">
        <f t="shared" si="8"/>
        <v>Not Started</v>
      </c>
      <c r="V193" s="12" t="str">
        <f t="shared" si="9"/>
        <v>RASHEED Imran</v>
      </c>
      <c r="W193" s="13" t="str">
        <f t="shared" si="10"/>
        <v/>
      </c>
    </row>
    <row r="194" spans="1:23" ht="14.4" customHeight="1" x14ac:dyDescent="0.3">
      <c r="A194" s="13">
        <v>44664</v>
      </c>
      <c r="B194" s="12" t="s">
        <v>3804</v>
      </c>
      <c r="C194" s="12" t="s">
        <v>1542</v>
      </c>
      <c r="D194" s="5"/>
      <c r="E194" s="12">
        <v>505</v>
      </c>
      <c r="F194" s="11" t="s">
        <v>3805</v>
      </c>
      <c r="G194" s="12" t="s">
        <v>7</v>
      </c>
      <c r="H194" s="12" t="s">
        <v>12</v>
      </c>
      <c r="I194" s="11"/>
      <c r="J194" s="12" t="s">
        <v>1582</v>
      </c>
      <c r="K194" s="12" t="str">
        <f t="shared" si="11"/>
        <v>Open</v>
      </c>
      <c r="L194" s="26"/>
      <c r="M194" s="12"/>
      <c r="N194" s="12" t="s">
        <v>4427</v>
      </c>
      <c r="O194" s="12"/>
      <c r="P194" s="12" t="s">
        <v>3790</v>
      </c>
      <c r="Q194" s="12"/>
      <c r="R194" s="12"/>
      <c r="S194" s="12"/>
      <c r="T194" s="13" t="s">
        <v>1547</v>
      </c>
      <c r="U194" s="12" t="str">
        <f t="shared" si="8"/>
        <v>Not Started</v>
      </c>
      <c r="V194" s="12" t="str">
        <f t="shared" si="9"/>
        <v>ALOWAINI Shawqi</v>
      </c>
      <c r="W194" s="13" t="str">
        <f t="shared" si="10"/>
        <v/>
      </c>
    </row>
    <row r="195" spans="1:23" ht="14.4" customHeight="1" x14ac:dyDescent="0.3">
      <c r="A195" s="13">
        <v>44664</v>
      </c>
      <c r="B195" s="12" t="s">
        <v>3806</v>
      </c>
      <c r="C195" s="12" t="s">
        <v>1542</v>
      </c>
      <c r="D195" s="5"/>
      <c r="E195" s="12">
        <v>509</v>
      </c>
      <c r="F195" s="11" t="s">
        <v>3807</v>
      </c>
      <c r="G195" s="12" t="s">
        <v>7</v>
      </c>
      <c r="H195" s="12" t="s">
        <v>12</v>
      </c>
      <c r="I195" s="11"/>
      <c r="J195" s="12" t="s">
        <v>1582</v>
      </c>
      <c r="K195" s="12" t="str">
        <f t="shared" si="11"/>
        <v>Open</v>
      </c>
      <c r="L195" s="26"/>
      <c r="M195" s="12"/>
      <c r="N195" s="12" t="s">
        <v>2517</v>
      </c>
      <c r="O195" s="12"/>
      <c r="P195" s="12" t="s">
        <v>3790</v>
      </c>
      <c r="Q195" s="12"/>
      <c r="R195" s="12"/>
      <c r="S195" s="12"/>
      <c r="T195" s="13" t="s">
        <v>1547</v>
      </c>
      <c r="U195" s="12" t="str">
        <f t="shared" ref="U195:U258" si="12">IF(AND(J195="Corrective Action Required",R195="Corrected"),"Corrected", IF(AND(J195="Corrective Action Required",R195&lt;&gt;"Corrected"),R195,J195))</f>
        <v>Not Started</v>
      </c>
      <c r="V195" s="12" t="str">
        <f t="shared" ref="V195:V228" si="13">IF(AND(J195="Corrective Action Required",R195="Corrected"),S195, IF(AND(J195="Corrective Action Required",R195&lt;&gt;"Corrected"),S195,H195))</f>
        <v>ALOWAINI Shawqi</v>
      </c>
      <c r="W195" s="13" t="str">
        <f t="shared" ref="W195:W228" si="14">IF(OR(J195="Corrected",J195="NFF"),L195, IF(AND(J195="Corrective Action Required",R195="Corrected"),T195,""))</f>
        <v/>
      </c>
    </row>
    <row r="196" spans="1:23" ht="14.4" customHeight="1" x14ac:dyDescent="0.3">
      <c r="A196" s="13">
        <v>44664</v>
      </c>
      <c r="B196" s="12" t="s">
        <v>3810</v>
      </c>
      <c r="C196" s="12" t="s">
        <v>1542</v>
      </c>
      <c r="D196" s="5"/>
      <c r="E196" s="12">
        <v>509</v>
      </c>
      <c r="F196" s="11" t="s">
        <v>3811</v>
      </c>
      <c r="G196" s="12" t="s">
        <v>7</v>
      </c>
      <c r="H196" s="12" t="s">
        <v>293</v>
      </c>
      <c r="I196" s="11"/>
      <c r="J196" s="12" t="s">
        <v>1582</v>
      </c>
      <c r="K196" s="12" t="str">
        <f t="shared" ref="K196:K240" si="15">IF(J196="Corrected","Closed",IF(J196="NFF","Closed","Open"))</f>
        <v>Open</v>
      </c>
      <c r="L196" s="26"/>
      <c r="M196" s="12"/>
      <c r="N196" s="12" t="s">
        <v>1652</v>
      </c>
      <c r="O196" s="12"/>
      <c r="P196" s="12" t="s">
        <v>3790</v>
      </c>
      <c r="Q196" s="12"/>
      <c r="R196" s="12"/>
      <c r="S196" s="12"/>
      <c r="T196" s="13" t="s">
        <v>1547</v>
      </c>
      <c r="U196" s="12" t="str">
        <f t="shared" si="12"/>
        <v>Not Started</v>
      </c>
      <c r="V196" s="12" t="str">
        <f t="shared" si="13"/>
        <v>RASHEED Imran</v>
      </c>
      <c r="W196" s="13" t="str">
        <f t="shared" si="14"/>
        <v/>
      </c>
    </row>
    <row r="197" spans="1:23" ht="14.4" customHeight="1" x14ac:dyDescent="0.3">
      <c r="A197" s="13">
        <v>44664</v>
      </c>
      <c r="B197" s="12" t="s">
        <v>3842</v>
      </c>
      <c r="C197" s="12" t="s">
        <v>1542</v>
      </c>
      <c r="D197" s="5"/>
      <c r="E197" s="12">
        <v>513</v>
      </c>
      <c r="F197" s="11" t="s">
        <v>3843</v>
      </c>
      <c r="G197" s="12" t="s">
        <v>4</v>
      </c>
      <c r="H197" s="12" t="s">
        <v>12</v>
      </c>
      <c r="I197" s="11"/>
      <c r="J197" s="12" t="s">
        <v>1582</v>
      </c>
      <c r="K197" s="12" t="str">
        <f t="shared" si="15"/>
        <v>Open</v>
      </c>
      <c r="L197" s="26"/>
      <c r="M197" s="12"/>
      <c r="N197" s="12" t="s">
        <v>4449</v>
      </c>
      <c r="O197" s="12"/>
      <c r="P197" s="12" t="s">
        <v>3790</v>
      </c>
      <c r="Q197" s="12"/>
      <c r="R197" s="12"/>
      <c r="S197" s="12"/>
      <c r="T197" s="13" t="s">
        <v>1547</v>
      </c>
      <c r="U197" s="12" t="str">
        <f t="shared" si="12"/>
        <v>Not Started</v>
      </c>
      <c r="V197" s="12" t="str">
        <f t="shared" si="13"/>
        <v>ALOWAINI Shawqi</v>
      </c>
      <c r="W197" s="13" t="str">
        <f t="shared" si="14"/>
        <v/>
      </c>
    </row>
    <row r="198" spans="1:23" ht="14.4" customHeight="1" x14ac:dyDescent="0.3">
      <c r="A198" s="13">
        <v>44664</v>
      </c>
      <c r="B198" s="12" t="s">
        <v>3844</v>
      </c>
      <c r="C198" s="12" t="s">
        <v>1542</v>
      </c>
      <c r="D198" s="5"/>
      <c r="E198" s="12">
        <v>513</v>
      </c>
      <c r="F198" s="11" t="s">
        <v>3690</v>
      </c>
      <c r="G198" s="12" t="s">
        <v>4</v>
      </c>
      <c r="H198" s="12" t="s">
        <v>9</v>
      </c>
      <c r="I198" s="11"/>
      <c r="J198" s="12" t="s">
        <v>1582</v>
      </c>
      <c r="K198" s="12" t="str">
        <f t="shared" si="15"/>
        <v>Open</v>
      </c>
      <c r="L198" s="26"/>
      <c r="M198" s="12"/>
      <c r="N198" s="12" t="s">
        <v>4429</v>
      </c>
      <c r="O198" s="12"/>
      <c r="P198" s="12" t="s">
        <v>3790</v>
      </c>
      <c r="Q198" s="12"/>
      <c r="R198" s="12"/>
      <c r="S198" s="12"/>
      <c r="T198" s="13" t="s">
        <v>1547</v>
      </c>
      <c r="U198" s="12" t="str">
        <f t="shared" si="12"/>
        <v>Not Started</v>
      </c>
      <c r="V198" s="12" t="str">
        <f t="shared" si="13"/>
        <v>KHAN Jahan</v>
      </c>
      <c r="W198" s="13" t="str">
        <f t="shared" si="14"/>
        <v/>
      </c>
    </row>
    <row r="199" spans="1:23" ht="14.4" customHeight="1" x14ac:dyDescent="0.3">
      <c r="A199" s="13">
        <v>44665</v>
      </c>
      <c r="B199" s="12" t="s">
        <v>3881</v>
      </c>
      <c r="C199" s="12" t="s">
        <v>1542</v>
      </c>
      <c r="D199" s="5"/>
      <c r="E199" s="12">
        <v>504</v>
      </c>
      <c r="F199" s="11" t="s">
        <v>3886</v>
      </c>
      <c r="G199" s="12" t="s">
        <v>7</v>
      </c>
      <c r="H199" s="12" t="s">
        <v>9</v>
      </c>
      <c r="I199" s="11"/>
      <c r="J199" s="12" t="s">
        <v>1582</v>
      </c>
      <c r="K199" s="12" t="str">
        <f t="shared" si="15"/>
        <v>Open</v>
      </c>
      <c r="L199" s="26"/>
      <c r="M199" s="12"/>
      <c r="N199" s="12" t="s">
        <v>2638</v>
      </c>
      <c r="O199" s="12"/>
      <c r="P199" s="12" t="s">
        <v>3790</v>
      </c>
      <c r="Q199" s="12"/>
      <c r="R199" s="12"/>
      <c r="S199" s="12"/>
      <c r="T199" s="13" t="s">
        <v>1547</v>
      </c>
      <c r="U199" s="12" t="str">
        <f t="shared" si="12"/>
        <v>Not Started</v>
      </c>
      <c r="V199" s="12" t="str">
        <f t="shared" si="13"/>
        <v>KHAN Jahan</v>
      </c>
      <c r="W199" s="13" t="str">
        <f t="shared" si="14"/>
        <v/>
      </c>
    </row>
    <row r="200" spans="1:23" ht="14.4" customHeight="1" x14ac:dyDescent="0.3">
      <c r="A200" s="13">
        <v>44665</v>
      </c>
      <c r="B200" s="12" t="s">
        <v>3884</v>
      </c>
      <c r="C200" s="12" t="s">
        <v>1542</v>
      </c>
      <c r="D200" s="5"/>
      <c r="E200" s="12">
        <v>516</v>
      </c>
      <c r="F200" s="11" t="s">
        <v>3888</v>
      </c>
      <c r="G200" s="12" t="s">
        <v>7</v>
      </c>
      <c r="H200" s="12" t="s">
        <v>9</v>
      </c>
      <c r="I200" s="11"/>
      <c r="J200" s="12" t="s">
        <v>1582</v>
      </c>
      <c r="K200" s="12" t="str">
        <f t="shared" si="15"/>
        <v>Open</v>
      </c>
      <c r="L200" s="26"/>
      <c r="M200" s="12"/>
      <c r="N200" s="12" t="s">
        <v>2448</v>
      </c>
      <c r="O200" s="12"/>
      <c r="P200" s="12" t="s">
        <v>3790</v>
      </c>
      <c r="Q200" s="12"/>
      <c r="R200" s="12"/>
      <c r="S200" s="12"/>
      <c r="T200" s="13" t="s">
        <v>1547</v>
      </c>
      <c r="U200" s="12" t="str">
        <f t="shared" si="12"/>
        <v>Not Started</v>
      </c>
      <c r="V200" s="12" t="str">
        <f t="shared" si="13"/>
        <v>KHAN Jahan</v>
      </c>
      <c r="W200" s="13" t="str">
        <f t="shared" si="14"/>
        <v/>
      </c>
    </row>
    <row r="201" spans="1:23" ht="14.4" customHeight="1" x14ac:dyDescent="0.3">
      <c r="A201" s="13">
        <v>44665</v>
      </c>
      <c r="B201" s="12" t="s">
        <v>3892</v>
      </c>
      <c r="C201" s="12" t="s">
        <v>1542</v>
      </c>
      <c r="D201" s="5"/>
      <c r="E201" s="12">
        <v>517</v>
      </c>
      <c r="F201" s="11" t="s">
        <v>3893</v>
      </c>
      <c r="G201" s="12" t="s">
        <v>7</v>
      </c>
      <c r="H201" s="12" t="s">
        <v>12</v>
      </c>
      <c r="I201" s="11"/>
      <c r="J201" s="12" t="s">
        <v>1582</v>
      </c>
      <c r="K201" s="12" t="str">
        <f t="shared" si="15"/>
        <v>Open</v>
      </c>
      <c r="L201" s="26"/>
      <c r="M201" s="12"/>
      <c r="N201" s="12" t="s">
        <v>4427</v>
      </c>
      <c r="O201" s="12"/>
      <c r="P201" s="12" t="s">
        <v>3790</v>
      </c>
      <c r="Q201" s="12"/>
      <c r="R201" s="12"/>
      <c r="S201" s="12"/>
      <c r="T201" s="13" t="s">
        <v>1547</v>
      </c>
      <c r="U201" s="12" t="str">
        <f t="shared" si="12"/>
        <v>Not Started</v>
      </c>
      <c r="V201" s="12" t="str">
        <f t="shared" si="13"/>
        <v>ALOWAINI Shawqi</v>
      </c>
      <c r="W201" s="13" t="str">
        <f t="shared" si="14"/>
        <v/>
      </c>
    </row>
    <row r="202" spans="1:23" ht="14.4" customHeight="1" x14ac:dyDescent="0.3">
      <c r="A202" s="13">
        <v>44665</v>
      </c>
      <c r="B202" s="12" t="s">
        <v>3894</v>
      </c>
      <c r="C202" s="12" t="s">
        <v>1542</v>
      </c>
      <c r="D202" s="5"/>
      <c r="E202" s="12">
        <v>517</v>
      </c>
      <c r="F202" s="11" t="s">
        <v>3895</v>
      </c>
      <c r="G202" s="12" t="s">
        <v>7</v>
      </c>
      <c r="H202" s="12" t="s">
        <v>9</v>
      </c>
      <c r="I202" s="11"/>
      <c r="J202" s="12" t="s">
        <v>1582</v>
      </c>
      <c r="K202" s="12" t="str">
        <f t="shared" si="15"/>
        <v>Open</v>
      </c>
      <c r="L202" s="26"/>
      <c r="M202" s="12"/>
      <c r="N202" s="12" t="s">
        <v>3465</v>
      </c>
      <c r="O202" s="12"/>
      <c r="P202" s="12" t="s">
        <v>3790</v>
      </c>
      <c r="Q202" s="12"/>
      <c r="R202" s="12"/>
      <c r="S202" s="12"/>
      <c r="T202" s="13" t="s">
        <v>1547</v>
      </c>
      <c r="U202" s="12" t="str">
        <f t="shared" si="12"/>
        <v>Not Started</v>
      </c>
      <c r="V202" s="12" t="str">
        <f t="shared" si="13"/>
        <v>KHAN Jahan</v>
      </c>
      <c r="W202" s="13" t="str">
        <f t="shared" si="14"/>
        <v/>
      </c>
    </row>
    <row r="203" spans="1:23" ht="14.4" customHeight="1" x14ac:dyDescent="0.3">
      <c r="A203" s="13">
        <v>44665</v>
      </c>
      <c r="B203" s="12" t="s">
        <v>3896</v>
      </c>
      <c r="C203" s="12" t="s">
        <v>1542</v>
      </c>
      <c r="D203" s="5"/>
      <c r="E203" s="12">
        <v>518</v>
      </c>
      <c r="F203" s="11" t="s">
        <v>3897</v>
      </c>
      <c r="G203" s="12" t="s">
        <v>7</v>
      </c>
      <c r="H203" s="12" t="s">
        <v>12</v>
      </c>
      <c r="I203" s="11"/>
      <c r="J203" s="12" t="s">
        <v>1582</v>
      </c>
      <c r="K203" s="12" t="str">
        <f t="shared" si="15"/>
        <v>Open</v>
      </c>
      <c r="L203" s="26"/>
      <c r="M203" s="12"/>
      <c r="N203" s="12" t="s">
        <v>4427</v>
      </c>
      <c r="O203" s="12"/>
      <c r="P203" s="12" t="s">
        <v>3790</v>
      </c>
      <c r="Q203" s="12"/>
      <c r="R203" s="12"/>
      <c r="S203" s="12"/>
      <c r="T203" s="13" t="s">
        <v>1547</v>
      </c>
      <c r="U203" s="12" t="str">
        <f t="shared" si="12"/>
        <v>Not Started</v>
      </c>
      <c r="V203" s="12" t="str">
        <f t="shared" si="13"/>
        <v>ALOWAINI Shawqi</v>
      </c>
      <c r="W203" s="13" t="str">
        <f t="shared" si="14"/>
        <v/>
      </c>
    </row>
    <row r="204" spans="1:23" ht="14.4" customHeight="1" x14ac:dyDescent="0.3">
      <c r="A204" s="13">
        <v>44665</v>
      </c>
      <c r="B204" s="12" t="s">
        <v>3898</v>
      </c>
      <c r="C204" s="12" t="s">
        <v>1542</v>
      </c>
      <c r="D204" s="5"/>
      <c r="E204" s="12">
        <v>518</v>
      </c>
      <c r="F204" s="11" t="s">
        <v>3899</v>
      </c>
      <c r="G204" s="12" t="s">
        <v>7</v>
      </c>
      <c r="H204" s="12" t="s">
        <v>12</v>
      </c>
      <c r="I204" s="11"/>
      <c r="J204" s="12" t="s">
        <v>1582</v>
      </c>
      <c r="K204" s="12" t="str">
        <f t="shared" si="15"/>
        <v>Open</v>
      </c>
      <c r="L204" s="26"/>
      <c r="M204" s="12"/>
      <c r="N204" s="12" t="s">
        <v>2517</v>
      </c>
      <c r="O204" s="12"/>
      <c r="P204" s="12" t="s">
        <v>3790</v>
      </c>
      <c r="Q204" s="12"/>
      <c r="R204" s="12"/>
      <c r="S204" s="12"/>
      <c r="T204" s="13" t="s">
        <v>1547</v>
      </c>
      <c r="U204" s="12" t="str">
        <f t="shared" si="12"/>
        <v>Not Started</v>
      </c>
      <c r="V204" s="12" t="str">
        <f t="shared" si="13"/>
        <v>ALOWAINI Shawqi</v>
      </c>
      <c r="W204" s="13" t="str">
        <f t="shared" si="14"/>
        <v/>
      </c>
    </row>
    <row r="205" spans="1:23" ht="14.4" customHeight="1" x14ac:dyDescent="0.3">
      <c r="A205" s="13">
        <v>44668</v>
      </c>
      <c r="B205" s="12" t="s">
        <v>3915</v>
      </c>
      <c r="C205" s="12" t="s">
        <v>1542</v>
      </c>
      <c r="D205" s="5"/>
      <c r="E205" s="12">
        <v>504</v>
      </c>
      <c r="F205" s="11" t="s">
        <v>3909</v>
      </c>
      <c r="G205" s="12" t="s">
        <v>7</v>
      </c>
      <c r="H205" s="12" t="s">
        <v>12</v>
      </c>
      <c r="I205" s="11"/>
      <c r="J205" s="12" t="s">
        <v>1582</v>
      </c>
      <c r="K205" s="12" t="str">
        <f t="shared" si="15"/>
        <v>Open</v>
      </c>
      <c r="L205" s="26"/>
      <c r="M205" s="12"/>
      <c r="N205" s="12" t="s">
        <v>4427</v>
      </c>
      <c r="O205" s="12"/>
      <c r="P205" s="12" t="s">
        <v>3790</v>
      </c>
      <c r="Q205" s="12"/>
      <c r="R205" s="12"/>
      <c r="S205" s="12"/>
      <c r="T205" s="13" t="s">
        <v>1547</v>
      </c>
      <c r="U205" s="12" t="str">
        <f t="shared" si="12"/>
        <v>Not Started</v>
      </c>
      <c r="V205" s="12" t="str">
        <f t="shared" si="13"/>
        <v>ALOWAINI Shawqi</v>
      </c>
      <c r="W205" s="13" t="str">
        <f t="shared" si="14"/>
        <v/>
      </c>
    </row>
    <row r="206" spans="1:23" ht="14.4" customHeight="1" x14ac:dyDescent="0.3">
      <c r="A206" s="13">
        <v>44670</v>
      </c>
      <c r="B206" s="12" t="s">
        <v>3948</v>
      </c>
      <c r="C206" s="12" t="s">
        <v>1542</v>
      </c>
      <c r="D206" s="5"/>
      <c r="E206" s="12">
        <v>510</v>
      </c>
      <c r="F206" s="11" t="s">
        <v>3949</v>
      </c>
      <c r="G206" s="12" t="s">
        <v>7</v>
      </c>
      <c r="H206" s="12" t="s">
        <v>9</v>
      </c>
      <c r="I206" s="11"/>
      <c r="J206" s="12" t="s">
        <v>1582</v>
      </c>
      <c r="K206" s="12" t="str">
        <f t="shared" si="15"/>
        <v>Open</v>
      </c>
      <c r="L206" s="26"/>
      <c r="M206" s="12"/>
      <c r="N206" s="12" t="s">
        <v>3465</v>
      </c>
      <c r="O206" s="12"/>
      <c r="P206" s="12" t="s">
        <v>3790</v>
      </c>
      <c r="Q206" s="12"/>
      <c r="R206" s="12"/>
      <c r="S206" s="12"/>
      <c r="T206" s="13" t="s">
        <v>1547</v>
      </c>
      <c r="U206" s="12" t="str">
        <f t="shared" si="12"/>
        <v>Not Started</v>
      </c>
      <c r="V206" s="12" t="str">
        <f t="shared" si="13"/>
        <v>KHAN Jahan</v>
      </c>
      <c r="W206" s="13" t="str">
        <f t="shared" si="14"/>
        <v/>
      </c>
    </row>
    <row r="207" spans="1:23" ht="14.4" customHeight="1" x14ac:dyDescent="0.3">
      <c r="A207" s="13">
        <v>44671</v>
      </c>
      <c r="B207" s="12" t="s">
        <v>3953</v>
      </c>
      <c r="C207" s="12" t="s">
        <v>1542</v>
      </c>
      <c r="D207" s="5"/>
      <c r="E207" s="12">
        <v>509</v>
      </c>
      <c r="F207" s="11" t="s">
        <v>3954</v>
      </c>
      <c r="G207" s="12" t="s">
        <v>7</v>
      </c>
      <c r="H207" s="12" t="s">
        <v>12</v>
      </c>
      <c r="I207" s="11"/>
      <c r="J207" s="12" t="s">
        <v>1582</v>
      </c>
      <c r="K207" s="12" t="str">
        <f t="shared" si="15"/>
        <v>Open</v>
      </c>
      <c r="L207" s="26"/>
      <c r="M207" s="12"/>
      <c r="N207" s="12" t="s">
        <v>2517</v>
      </c>
      <c r="O207" s="12"/>
      <c r="P207" s="12" t="s">
        <v>3790</v>
      </c>
      <c r="Q207" s="12"/>
      <c r="R207" s="12"/>
      <c r="S207" s="12"/>
      <c r="T207" s="13" t="s">
        <v>1547</v>
      </c>
      <c r="U207" s="12" t="str">
        <f t="shared" si="12"/>
        <v>Not Started</v>
      </c>
      <c r="V207" s="12" t="str">
        <f t="shared" si="13"/>
        <v>ALOWAINI Shawqi</v>
      </c>
      <c r="W207" s="13" t="str">
        <f t="shared" si="14"/>
        <v/>
      </c>
    </row>
    <row r="208" spans="1:23" ht="14.4" customHeight="1" x14ac:dyDescent="0.3">
      <c r="A208" s="13">
        <v>44671</v>
      </c>
      <c r="B208" s="12" t="s">
        <v>3955</v>
      </c>
      <c r="C208" s="12" t="s">
        <v>1542</v>
      </c>
      <c r="D208" s="5"/>
      <c r="E208" s="12">
        <v>519</v>
      </c>
      <c r="F208" s="11" t="s">
        <v>3956</v>
      </c>
      <c r="G208" s="12" t="s">
        <v>7</v>
      </c>
      <c r="H208" s="12" t="s">
        <v>9</v>
      </c>
      <c r="I208" s="11"/>
      <c r="J208" s="12" t="s">
        <v>1582</v>
      </c>
      <c r="K208" s="12" t="str">
        <f t="shared" si="15"/>
        <v>Open</v>
      </c>
      <c r="L208" s="26"/>
      <c r="M208" s="12"/>
      <c r="N208" s="12" t="s">
        <v>3465</v>
      </c>
      <c r="O208" s="12"/>
      <c r="P208" s="12" t="s">
        <v>3790</v>
      </c>
      <c r="Q208" s="12"/>
      <c r="R208" s="12"/>
      <c r="S208" s="12"/>
      <c r="T208" s="13" t="s">
        <v>1547</v>
      </c>
      <c r="U208" s="12" t="str">
        <f t="shared" si="12"/>
        <v>Not Started</v>
      </c>
      <c r="V208" s="12" t="str">
        <f t="shared" si="13"/>
        <v>KHAN Jahan</v>
      </c>
      <c r="W208" s="13" t="str">
        <f t="shared" si="14"/>
        <v/>
      </c>
    </row>
    <row r="209" spans="1:23" ht="14.4" customHeight="1" x14ac:dyDescent="0.3">
      <c r="A209" s="13">
        <v>44672</v>
      </c>
      <c r="B209" s="12" t="s">
        <v>3961</v>
      </c>
      <c r="C209" s="12" t="s">
        <v>1542</v>
      </c>
      <c r="D209" s="5"/>
      <c r="E209" s="12">
        <v>501</v>
      </c>
      <c r="F209" s="11" t="s">
        <v>3962</v>
      </c>
      <c r="G209" s="12" t="s">
        <v>7</v>
      </c>
      <c r="H209" s="12" t="s">
        <v>9</v>
      </c>
      <c r="I209" s="11"/>
      <c r="J209" s="12" t="s">
        <v>1582</v>
      </c>
      <c r="K209" s="12" t="str">
        <f t="shared" si="15"/>
        <v>Open</v>
      </c>
      <c r="L209" s="26"/>
      <c r="M209" s="12"/>
      <c r="N209" s="12" t="s">
        <v>2683</v>
      </c>
      <c r="O209" s="12"/>
      <c r="P209" s="12" t="s">
        <v>3790</v>
      </c>
      <c r="Q209" s="12"/>
      <c r="R209" s="12"/>
      <c r="S209" s="12"/>
      <c r="T209" s="13" t="s">
        <v>1547</v>
      </c>
      <c r="U209" s="12" t="str">
        <f t="shared" si="12"/>
        <v>Not Started</v>
      </c>
      <c r="V209" s="12" t="str">
        <f t="shared" si="13"/>
        <v>KHAN Jahan</v>
      </c>
      <c r="W209" s="13" t="str">
        <f t="shared" si="14"/>
        <v/>
      </c>
    </row>
    <row r="210" spans="1:23" ht="14.4" customHeight="1" x14ac:dyDescent="0.3">
      <c r="A210" s="13">
        <v>44672</v>
      </c>
      <c r="B210" s="12" t="s">
        <v>3963</v>
      </c>
      <c r="C210" s="12" t="s">
        <v>1542</v>
      </c>
      <c r="D210" s="5"/>
      <c r="E210" s="12">
        <v>501</v>
      </c>
      <c r="F210" s="11" t="s">
        <v>3964</v>
      </c>
      <c r="G210" s="12" t="s">
        <v>7</v>
      </c>
      <c r="H210" s="12" t="s">
        <v>12</v>
      </c>
      <c r="I210" s="11"/>
      <c r="J210" s="12" t="s">
        <v>1582</v>
      </c>
      <c r="K210" s="12" t="str">
        <f t="shared" si="15"/>
        <v>Open</v>
      </c>
      <c r="L210" s="26"/>
      <c r="M210" s="12"/>
      <c r="N210" s="12" t="s">
        <v>4427</v>
      </c>
      <c r="O210" s="12"/>
      <c r="P210" s="12" t="s">
        <v>3790</v>
      </c>
      <c r="Q210" s="12"/>
      <c r="R210" s="12"/>
      <c r="S210" s="12"/>
      <c r="T210" s="13" t="s">
        <v>1547</v>
      </c>
      <c r="U210" s="12" t="str">
        <f t="shared" si="12"/>
        <v>Not Started</v>
      </c>
      <c r="V210" s="12" t="str">
        <f t="shared" si="13"/>
        <v>ALOWAINI Shawqi</v>
      </c>
      <c r="W210" s="13" t="str">
        <f t="shared" si="14"/>
        <v/>
      </c>
    </row>
    <row r="211" spans="1:23" ht="14.4" customHeight="1" x14ac:dyDescent="0.3">
      <c r="A211" s="13">
        <v>44672</v>
      </c>
      <c r="B211" s="12" t="s">
        <v>3965</v>
      </c>
      <c r="C211" s="12" t="s">
        <v>1542</v>
      </c>
      <c r="D211" s="5"/>
      <c r="E211" s="12">
        <v>501</v>
      </c>
      <c r="F211" s="11" t="s">
        <v>3966</v>
      </c>
      <c r="G211" s="12" t="s">
        <v>7</v>
      </c>
      <c r="H211" s="12" t="s">
        <v>9</v>
      </c>
      <c r="I211" s="11"/>
      <c r="J211" s="12" t="s">
        <v>1582</v>
      </c>
      <c r="K211" s="12" t="str">
        <f t="shared" si="15"/>
        <v>Open</v>
      </c>
      <c r="L211" s="26"/>
      <c r="M211" s="12"/>
      <c r="N211" s="12" t="s">
        <v>3465</v>
      </c>
      <c r="O211" s="12"/>
      <c r="P211" s="12" t="s">
        <v>3790</v>
      </c>
      <c r="Q211" s="12"/>
      <c r="R211" s="12"/>
      <c r="S211" s="12"/>
      <c r="T211" s="13" t="s">
        <v>1547</v>
      </c>
      <c r="U211" s="12" t="str">
        <f t="shared" si="12"/>
        <v>Not Started</v>
      </c>
      <c r="V211" s="12" t="str">
        <f t="shared" si="13"/>
        <v>KHAN Jahan</v>
      </c>
      <c r="W211" s="13" t="str">
        <f t="shared" si="14"/>
        <v/>
      </c>
    </row>
    <row r="212" spans="1:23" ht="14.4" customHeight="1" x14ac:dyDescent="0.3">
      <c r="A212" s="13">
        <v>44672</v>
      </c>
      <c r="B212" s="12" t="s">
        <v>3967</v>
      </c>
      <c r="C212" s="12" t="s">
        <v>1542</v>
      </c>
      <c r="D212" s="5"/>
      <c r="E212" s="12">
        <v>519</v>
      </c>
      <c r="F212" s="11" t="s">
        <v>3968</v>
      </c>
      <c r="G212" s="12" t="s">
        <v>7</v>
      </c>
      <c r="H212" s="12" t="s">
        <v>9</v>
      </c>
      <c r="I212" s="11"/>
      <c r="J212" s="12" t="s">
        <v>1582</v>
      </c>
      <c r="K212" s="12" t="str">
        <f t="shared" si="15"/>
        <v>Open</v>
      </c>
      <c r="L212" s="26"/>
      <c r="M212" s="12"/>
      <c r="N212" s="12" t="s">
        <v>2707</v>
      </c>
      <c r="O212" s="12"/>
      <c r="P212" s="12" t="s">
        <v>3790</v>
      </c>
      <c r="Q212" s="12"/>
      <c r="R212" s="12"/>
      <c r="S212" s="12"/>
      <c r="T212" s="13" t="s">
        <v>1547</v>
      </c>
      <c r="U212" s="12" t="str">
        <f t="shared" si="12"/>
        <v>Not Started</v>
      </c>
      <c r="V212" s="12" t="str">
        <f t="shared" si="13"/>
        <v>KHAN Jahan</v>
      </c>
      <c r="W212" s="13" t="str">
        <f t="shared" si="14"/>
        <v/>
      </c>
    </row>
    <row r="213" spans="1:23" ht="14.4" customHeight="1" x14ac:dyDescent="0.3">
      <c r="A213" s="13">
        <v>44677</v>
      </c>
      <c r="B213" s="12" t="s">
        <v>4006</v>
      </c>
      <c r="C213" s="12" t="s">
        <v>1542</v>
      </c>
      <c r="D213" s="5"/>
      <c r="E213" s="12">
        <v>502</v>
      </c>
      <c r="F213" s="11" t="s">
        <v>4007</v>
      </c>
      <c r="G213" s="12" t="s">
        <v>7</v>
      </c>
      <c r="H213" s="12" t="s">
        <v>12</v>
      </c>
      <c r="I213" s="11"/>
      <c r="J213" s="12" t="s">
        <v>1582</v>
      </c>
      <c r="K213" s="12" t="str">
        <f t="shared" si="15"/>
        <v>Open</v>
      </c>
      <c r="L213" s="26"/>
      <c r="M213" s="12"/>
      <c r="N213" s="12" t="s">
        <v>4427</v>
      </c>
      <c r="O213" s="12"/>
      <c r="P213" s="12" t="s">
        <v>3790</v>
      </c>
      <c r="Q213" s="12"/>
      <c r="R213" s="12"/>
      <c r="S213" s="12"/>
      <c r="T213" s="13" t="s">
        <v>1547</v>
      </c>
      <c r="U213" s="12" t="str">
        <f t="shared" si="12"/>
        <v>Not Started</v>
      </c>
      <c r="V213" s="12" t="str">
        <f t="shared" si="13"/>
        <v>ALOWAINI Shawqi</v>
      </c>
      <c r="W213" s="13" t="str">
        <f t="shared" si="14"/>
        <v/>
      </c>
    </row>
    <row r="214" spans="1:23" ht="14.4" customHeight="1" x14ac:dyDescent="0.3">
      <c r="A214" s="13">
        <v>44679</v>
      </c>
      <c r="B214" s="12" t="s">
        <v>4044</v>
      </c>
      <c r="C214" s="12" t="s">
        <v>1542</v>
      </c>
      <c r="D214" s="5"/>
      <c r="E214" s="12">
        <v>517</v>
      </c>
      <c r="F214" s="11" t="s">
        <v>3359</v>
      </c>
      <c r="G214" s="12" t="s">
        <v>7</v>
      </c>
      <c r="H214" s="12" t="s">
        <v>12</v>
      </c>
      <c r="I214" s="11"/>
      <c r="J214" s="12" t="s">
        <v>1582</v>
      </c>
      <c r="K214" s="12" t="str">
        <f t="shared" si="15"/>
        <v>Open</v>
      </c>
      <c r="L214" s="26"/>
      <c r="M214" s="12"/>
      <c r="N214" s="12" t="s">
        <v>4427</v>
      </c>
      <c r="O214" s="12"/>
      <c r="P214" s="12" t="s">
        <v>3790</v>
      </c>
      <c r="Q214" s="12"/>
      <c r="R214" s="12"/>
      <c r="S214" s="12"/>
      <c r="T214" s="13" t="s">
        <v>1547</v>
      </c>
      <c r="U214" s="12" t="str">
        <f t="shared" si="12"/>
        <v>Not Started</v>
      </c>
      <c r="V214" s="12" t="str">
        <f t="shared" si="13"/>
        <v>ALOWAINI Shawqi</v>
      </c>
      <c r="W214" s="13" t="str">
        <f t="shared" si="14"/>
        <v/>
      </c>
    </row>
    <row r="215" spans="1:23" ht="14.4" customHeight="1" x14ac:dyDescent="0.3">
      <c r="A215" s="13">
        <v>44689</v>
      </c>
      <c r="B215" s="12" t="s">
        <v>4047</v>
      </c>
      <c r="C215" s="12" t="s">
        <v>1542</v>
      </c>
      <c r="D215" s="5"/>
      <c r="E215" s="12">
        <v>504</v>
      </c>
      <c r="F215" s="11" t="s">
        <v>4048</v>
      </c>
      <c r="G215" s="12" t="s">
        <v>7</v>
      </c>
      <c r="H215" s="12" t="s">
        <v>9</v>
      </c>
      <c r="I215" s="11"/>
      <c r="J215" s="12" t="s">
        <v>1582</v>
      </c>
      <c r="K215" s="12" t="str">
        <f t="shared" si="15"/>
        <v>Open</v>
      </c>
      <c r="L215" s="26"/>
      <c r="M215" s="12"/>
      <c r="N215" s="12" t="s">
        <v>2683</v>
      </c>
      <c r="O215" s="12"/>
      <c r="P215" s="12" t="s">
        <v>3790</v>
      </c>
      <c r="Q215" s="12"/>
      <c r="R215" s="12"/>
      <c r="S215" s="12"/>
      <c r="T215" s="13" t="s">
        <v>1547</v>
      </c>
      <c r="U215" s="12" t="str">
        <f t="shared" si="12"/>
        <v>Not Started</v>
      </c>
      <c r="V215" s="12" t="str">
        <f t="shared" si="13"/>
        <v>KHAN Jahan</v>
      </c>
      <c r="W215" s="13" t="str">
        <f t="shared" si="14"/>
        <v/>
      </c>
    </row>
    <row r="216" spans="1:23" ht="14.4" customHeight="1" x14ac:dyDescent="0.3">
      <c r="A216" s="13">
        <v>44690</v>
      </c>
      <c r="B216" s="12" t="s">
        <v>4071</v>
      </c>
      <c r="C216" s="12" t="s">
        <v>1542</v>
      </c>
      <c r="D216" s="5"/>
      <c r="E216" s="12">
        <v>515</v>
      </c>
      <c r="F216" s="11" t="s">
        <v>4072</v>
      </c>
      <c r="G216" s="12" t="s">
        <v>7</v>
      </c>
      <c r="H216" s="12" t="s">
        <v>293</v>
      </c>
      <c r="I216" s="11"/>
      <c r="J216" s="12" t="s">
        <v>1582</v>
      </c>
      <c r="K216" s="12" t="str">
        <f t="shared" si="15"/>
        <v>Open</v>
      </c>
      <c r="L216" s="26"/>
      <c r="M216" s="12"/>
      <c r="N216" s="12" t="s">
        <v>2707</v>
      </c>
      <c r="O216" s="12"/>
      <c r="P216" s="12" t="s">
        <v>3790</v>
      </c>
      <c r="Q216" s="12"/>
      <c r="R216" s="12"/>
      <c r="S216" s="12"/>
      <c r="T216" s="13" t="s">
        <v>1547</v>
      </c>
      <c r="U216" s="12" t="str">
        <f t="shared" si="12"/>
        <v>Not Started</v>
      </c>
      <c r="V216" s="12" t="str">
        <f t="shared" si="13"/>
        <v>RASHEED Imran</v>
      </c>
      <c r="W216" s="13" t="str">
        <f t="shared" si="14"/>
        <v/>
      </c>
    </row>
    <row r="217" spans="1:23" ht="14.4" customHeight="1" x14ac:dyDescent="0.3">
      <c r="A217" s="13">
        <v>44690</v>
      </c>
      <c r="B217" s="12" t="s">
        <v>4073</v>
      </c>
      <c r="C217" s="12" t="s">
        <v>1542</v>
      </c>
      <c r="D217" s="5"/>
      <c r="E217" s="12">
        <v>515</v>
      </c>
      <c r="F217" s="11" t="s">
        <v>4074</v>
      </c>
      <c r="G217" s="12" t="s">
        <v>7</v>
      </c>
      <c r="H217" s="12" t="s">
        <v>12</v>
      </c>
      <c r="I217" s="11"/>
      <c r="J217" s="12" t="s">
        <v>1582</v>
      </c>
      <c r="K217" s="12" t="str">
        <f t="shared" si="15"/>
        <v>Open</v>
      </c>
      <c r="L217" s="26"/>
      <c r="M217" s="12"/>
      <c r="N217" s="12" t="s">
        <v>4427</v>
      </c>
      <c r="O217" s="12"/>
      <c r="P217" s="12" t="s">
        <v>3790</v>
      </c>
      <c r="Q217" s="12"/>
      <c r="R217" s="12"/>
      <c r="S217" s="12"/>
      <c r="T217" s="13" t="s">
        <v>1547</v>
      </c>
      <c r="U217" s="12" t="str">
        <f t="shared" si="12"/>
        <v>Not Started</v>
      </c>
      <c r="V217" s="12" t="str">
        <f t="shared" si="13"/>
        <v>ALOWAINI Shawqi</v>
      </c>
      <c r="W217" s="13" t="str">
        <f t="shared" si="14"/>
        <v/>
      </c>
    </row>
    <row r="218" spans="1:23" ht="14.4" customHeight="1" x14ac:dyDescent="0.3">
      <c r="A218" s="13">
        <v>44690</v>
      </c>
      <c r="B218" s="12" t="s">
        <v>4075</v>
      </c>
      <c r="C218" s="12" t="s">
        <v>1542</v>
      </c>
      <c r="D218" s="5"/>
      <c r="E218" s="12">
        <v>515</v>
      </c>
      <c r="F218" s="11" t="s">
        <v>4076</v>
      </c>
      <c r="G218" s="12" t="s">
        <v>7</v>
      </c>
      <c r="H218" s="12" t="s">
        <v>9</v>
      </c>
      <c r="I218" s="11"/>
      <c r="J218" s="12" t="s">
        <v>1582</v>
      </c>
      <c r="K218" s="12" t="str">
        <f t="shared" si="15"/>
        <v>Open</v>
      </c>
      <c r="L218" s="26"/>
      <c r="M218" s="12"/>
      <c r="N218" s="12" t="s">
        <v>2448</v>
      </c>
      <c r="O218" s="12"/>
      <c r="P218" s="12" t="s">
        <v>3790</v>
      </c>
      <c r="Q218" s="12"/>
      <c r="R218" s="12"/>
      <c r="S218" s="12"/>
      <c r="T218" s="13" t="s">
        <v>1547</v>
      </c>
      <c r="U218" s="12" t="str">
        <f t="shared" si="12"/>
        <v>Not Started</v>
      </c>
      <c r="V218" s="12" t="str">
        <f t="shared" si="13"/>
        <v>KHAN Jahan</v>
      </c>
      <c r="W218" s="13" t="str">
        <f t="shared" si="14"/>
        <v/>
      </c>
    </row>
    <row r="219" spans="1:23" ht="14.4" customHeight="1" x14ac:dyDescent="0.3">
      <c r="A219" s="13">
        <v>44691</v>
      </c>
      <c r="B219" s="12" t="s">
        <v>4089</v>
      </c>
      <c r="C219" s="12" t="s">
        <v>1542</v>
      </c>
      <c r="D219" s="5"/>
      <c r="E219" s="12">
        <v>505</v>
      </c>
      <c r="F219" s="11" t="s">
        <v>4099</v>
      </c>
      <c r="G219" s="12" t="s">
        <v>7</v>
      </c>
      <c r="H219" s="12" t="s">
        <v>12</v>
      </c>
      <c r="I219" s="11"/>
      <c r="J219" s="12" t="s">
        <v>1582</v>
      </c>
      <c r="K219" s="12" t="str">
        <f t="shared" si="15"/>
        <v>Open</v>
      </c>
      <c r="L219" s="26"/>
      <c r="M219" s="12"/>
      <c r="N219" s="12" t="s">
        <v>2448</v>
      </c>
      <c r="O219" s="12"/>
      <c r="P219" s="12" t="s">
        <v>3790</v>
      </c>
      <c r="Q219" s="12"/>
      <c r="R219" s="12"/>
      <c r="S219" s="12"/>
      <c r="T219" s="13" t="s">
        <v>1547</v>
      </c>
      <c r="U219" s="12" t="str">
        <f t="shared" si="12"/>
        <v>Not Started</v>
      </c>
      <c r="V219" s="12" t="str">
        <f t="shared" si="13"/>
        <v>ALOWAINI Shawqi</v>
      </c>
      <c r="W219" s="13" t="str">
        <f t="shared" si="14"/>
        <v/>
      </c>
    </row>
    <row r="220" spans="1:23" ht="14.4" customHeight="1" x14ac:dyDescent="0.3">
      <c r="A220" s="13">
        <v>44691</v>
      </c>
      <c r="B220" s="12" t="s">
        <v>4090</v>
      </c>
      <c r="C220" s="12" t="s">
        <v>1542</v>
      </c>
      <c r="D220" s="5"/>
      <c r="E220" s="12">
        <v>505</v>
      </c>
      <c r="F220" s="11" t="s">
        <v>4100</v>
      </c>
      <c r="G220" s="12" t="s">
        <v>7</v>
      </c>
      <c r="H220" s="12" t="s">
        <v>293</v>
      </c>
      <c r="I220" s="11"/>
      <c r="J220" s="12" t="s">
        <v>1582</v>
      </c>
      <c r="K220" s="12" t="str">
        <f t="shared" si="15"/>
        <v>Open</v>
      </c>
      <c r="L220" s="26"/>
      <c r="M220" s="12"/>
      <c r="N220" s="12" t="s">
        <v>2638</v>
      </c>
      <c r="O220" s="12"/>
      <c r="P220" s="12" t="s">
        <v>3790</v>
      </c>
      <c r="Q220" s="12"/>
      <c r="R220" s="12"/>
      <c r="S220" s="12"/>
      <c r="T220" s="13" t="s">
        <v>1547</v>
      </c>
      <c r="U220" s="12" t="str">
        <f t="shared" si="12"/>
        <v>Not Started</v>
      </c>
      <c r="V220" s="12" t="str">
        <f t="shared" si="13"/>
        <v>RASHEED Imran</v>
      </c>
      <c r="W220" s="13" t="str">
        <f t="shared" si="14"/>
        <v/>
      </c>
    </row>
    <row r="221" spans="1:23" ht="14.4" customHeight="1" x14ac:dyDescent="0.3">
      <c r="A221" s="13">
        <v>44691</v>
      </c>
      <c r="B221" s="12" t="s">
        <v>4091</v>
      </c>
      <c r="C221" s="12" t="s">
        <v>1542</v>
      </c>
      <c r="D221" s="5"/>
      <c r="E221" s="12">
        <v>510</v>
      </c>
      <c r="F221" s="11" t="s">
        <v>4101</v>
      </c>
      <c r="G221" s="12" t="s">
        <v>7</v>
      </c>
      <c r="H221" s="12" t="s">
        <v>293</v>
      </c>
      <c r="I221" s="11"/>
      <c r="J221" s="12" t="s">
        <v>1582</v>
      </c>
      <c r="K221" s="12" t="str">
        <f t="shared" si="15"/>
        <v>Open</v>
      </c>
      <c r="L221" s="26"/>
      <c r="M221" s="12"/>
      <c r="N221" s="12" t="s">
        <v>4428</v>
      </c>
      <c r="O221" s="12"/>
      <c r="P221" s="12" t="s">
        <v>3790</v>
      </c>
      <c r="Q221" s="12"/>
      <c r="R221" s="12"/>
      <c r="S221" s="12"/>
      <c r="T221" s="13" t="s">
        <v>1547</v>
      </c>
      <c r="U221" s="12" t="str">
        <f t="shared" si="12"/>
        <v>Not Started</v>
      </c>
      <c r="V221" s="12" t="str">
        <f t="shared" si="13"/>
        <v>RASHEED Imran</v>
      </c>
      <c r="W221" s="13" t="str">
        <f t="shared" si="14"/>
        <v/>
      </c>
    </row>
    <row r="222" spans="1:23" ht="14.4" customHeight="1" x14ac:dyDescent="0.3">
      <c r="A222" s="13">
        <v>44691</v>
      </c>
      <c r="B222" s="12" t="s">
        <v>4092</v>
      </c>
      <c r="C222" s="12" t="s">
        <v>1542</v>
      </c>
      <c r="D222" s="5"/>
      <c r="E222" s="12">
        <v>510</v>
      </c>
      <c r="F222" s="11" t="s">
        <v>4102</v>
      </c>
      <c r="G222" s="12" t="s">
        <v>7</v>
      </c>
      <c r="H222" s="12" t="s">
        <v>9</v>
      </c>
      <c r="I222" s="11"/>
      <c r="J222" s="12" t="s">
        <v>1582</v>
      </c>
      <c r="K222" s="12" t="str">
        <f t="shared" si="15"/>
        <v>Open</v>
      </c>
      <c r="L222" s="26"/>
      <c r="M222" s="12"/>
      <c r="N222" s="12" t="s">
        <v>3216</v>
      </c>
      <c r="O222" s="12"/>
      <c r="P222" s="12" t="s">
        <v>3790</v>
      </c>
      <c r="Q222" s="12"/>
      <c r="R222" s="12"/>
      <c r="S222" s="12"/>
      <c r="T222" s="13" t="s">
        <v>1547</v>
      </c>
      <c r="U222" s="12" t="str">
        <f t="shared" si="12"/>
        <v>Not Started</v>
      </c>
      <c r="V222" s="12" t="str">
        <f t="shared" si="13"/>
        <v>KHAN Jahan</v>
      </c>
      <c r="W222" s="13" t="str">
        <f t="shared" si="14"/>
        <v/>
      </c>
    </row>
    <row r="223" spans="1:23" ht="14.4" customHeight="1" x14ac:dyDescent="0.3">
      <c r="A223" s="13">
        <v>44693</v>
      </c>
      <c r="B223" s="12" t="s">
        <v>4122</v>
      </c>
      <c r="C223" s="12" t="s">
        <v>1687</v>
      </c>
      <c r="D223" s="5"/>
      <c r="E223" s="12">
        <v>509</v>
      </c>
      <c r="F223" s="11" t="s">
        <v>4123</v>
      </c>
      <c r="G223" s="12" t="s">
        <v>7</v>
      </c>
      <c r="H223" s="12" t="s">
        <v>11</v>
      </c>
      <c r="I223" s="11"/>
      <c r="J223" s="12" t="s">
        <v>1582</v>
      </c>
      <c r="K223" s="12" t="str">
        <f t="shared" si="15"/>
        <v>Open</v>
      </c>
      <c r="L223" s="26"/>
      <c r="M223" s="12"/>
      <c r="N223" s="12" t="s">
        <v>2683</v>
      </c>
      <c r="O223" s="12"/>
      <c r="P223" s="12" t="s">
        <v>3790</v>
      </c>
      <c r="Q223" s="12"/>
      <c r="R223" s="12"/>
      <c r="S223" s="12"/>
      <c r="T223" s="13" t="s">
        <v>1547</v>
      </c>
      <c r="U223" s="12" t="str">
        <f t="shared" si="12"/>
        <v>Not Started</v>
      </c>
      <c r="V223" s="12" t="str">
        <f t="shared" si="13"/>
        <v>FIRDUS Ahmad</v>
      </c>
      <c r="W223" s="13" t="str">
        <f t="shared" si="14"/>
        <v/>
      </c>
    </row>
    <row r="224" spans="1:23" ht="14.4" customHeight="1" x14ac:dyDescent="0.3">
      <c r="A224" s="13">
        <v>44696</v>
      </c>
      <c r="B224" s="12" t="s">
        <v>4372</v>
      </c>
      <c r="C224" s="12" t="s">
        <v>1542</v>
      </c>
      <c r="D224" s="5"/>
      <c r="E224" s="12">
        <v>511</v>
      </c>
      <c r="F224" s="11" t="s">
        <v>4373</v>
      </c>
      <c r="G224" s="12" t="s">
        <v>7</v>
      </c>
      <c r="H224" s="12" t="s">
        <v>9</v>
      </c>
      <c r="I224" s="11"/>
      <c r="J224" s="12" t="s">
        <v>1582</v>
      </c>
      <c r="K224" s="12" t="str">
        <f t="shared" si="15"/>
        <v>Open</v>
      </c>
      <c r="L224" s="26"/>
      <c r="M224" s="12"/>
      <c r="N224" s="12" t="s">
        <v>3464</v>
      </c>
      <c r="O224" s="12"/>
      <c r="P224" s="12" t="s">
        <v>3790</v>
      </c>
      <c r="Q224" s="12"/>
      <c r="R224" s="12"/>
      <c r="S224" s="12"/>
      <c r="T224" s="12"/>
      <c r="U224" s="12" t="str">
        <f t="shared" si="12"/>
        <v>Not Started</v>
      </c>
      <c r="V224" s="12" t="str">
        <f t="shared" si="13"/>
        <v>KHAN Jahan</v>
      </c>
      <c r="W224" s="13" t="str">
        <f t="shared" si="14"/>
        <v/>
      </c>
    </row>
    <row r="225" spans="1:23" ht="14.4" customHeight="1" x14ac:dyDescent="0.3">
      <c r="A225" s="13">
        <v>44696</v>
      </c>
      <c r="B225" s="12" t="s">
        <v>4374</v>
      </c>
      <c r="C225" s="12" t="s">
        <v>1542</v>
      </c>
      <c r="D225" s="5"/>
      <c r="E225" s="12">
        <v>506</v>
      </c>
      <c r="F225" s="11" t="s">
        <v>3267</v>
      </c>
      <c r="G225" s="12" t="s">
        <v>1</v>
      </c>
      <c r="H225" s="12" t="s">
        <v>9</v>
      </c>
      <c r="I225" s="11"/>
      <c r="J225" s="12" t="s">
        <v>1582</v>
      </c>
      <c r="K225" s="12" t="str">
        <f t="shared" si="15"/>
        <v>Open</v>
      </c>
      <c r="L225" s="26"/>
      <c r="M225" s="12"/>
      <c r="N225" s="12" t="s">
        <v>2603</v>
      </c>
      <c r="O225" s="12"/>
      <c r="P225" s="12" t="s">
        <v>3790</v>
      </c>
      <c r="Q225" s="12"/>
      <c r="R225" s="12"/>
      <c r="S225" s="12"/>
      <c r="T225" s="12"/>
      <c r="U225" s="12" t="str">
        <f t="shared" si="12"/>
        <v>Not Started</v>
      </c>
      <c r="V225" s="12" t="str">
        <f t="shared" si="13"/>
        <v>KHAN Jahan</v>
      </c>
      <c r="W225" s="13" t="str">
        <f t="shared" si="14"/>
        <v/>
      </c>
    </row>
    <row r="226" spans="1:23" ht="14.4" customHeight="1" x14ac:dyDescent="0.3">
      <c r="A226" s="13">
        <v>44696</v>
      </c>
      <c r="B226" s="12" t="s">
        <v>4375</v>
      </c>
      <c r="C226" s="12" t="s">
        <v>1542</v>
      </c>
      <c r="D226" s="5"/>
      <c r="E226" s="12">
        <v>509</v>
      </c>
      <c r="F226" s="14" t="s">
        <v>4376</v>
      </c>
      <c r="G226" s="12" t="s">
        <v>7</v>
      </c>
      <c r="H226" s="12" t="s">
        <v>12</v>
      </c>
      <c r="I226" s="11"/>
      <c r="J226" s="12" t="s">
        <v>1582</v>
      </c>
      <c r="K226" s="12" t="str">
        <f t="shared" si="15"/>
        <v>Open</v>
      </c>
      <c r="L226" s="26"/>
      <c r="M226" s="12"/>
      <c r="N226" s="12" t="s">
        <v>4427</v>
      </c>
      <c r="O226" s="12"/>
      <c r="P226" s="12" t="s">
        <v>3790</v>
      </c>
      <c r="Q226" s="12"/>
      <c r="R226" s="12"/>
      <c r="S226" s="12"/>
      <c r="T226" s="12"/>
      <c r="U226" s="12" t="str">
        <f t="shared" si="12"/>
        <v>Not Started</v>
      </c>
      <c r="V226" s="12" t="str">
        <f t="shared" si="13"/>
        <v>ALOWAINI Shawqi</v>
      </c>
      <c r="W226" s="13" t="str">
        <f t="shared" si="14"/>
        <v/>
      </c>
    </row>
    <row r="227" spans="1:23" ht="14.4" customHeight="1" x14ac:dyDescent="0.3">
      <c r="A227" s="13">
        <v>44696</v>
      </c>
      <c r="B227" s="12" t="s">
        <v>4377</v>
      </c>
      <c r="C227" s="12" t="s">
        <v>1542</v>
      </c>
      <c r="D227" s="5"/>
      <c r="E227" s="12">
        <v>509</v>
      </c>
      <c r="F227" s="11" t="s">
        <v>4378</v>
      </c>
      <c r="G227" s="12" t="s">
        <v>7</v>
      </c>
      <c r="H227" s="12" t="s">
        <v>293</v>
      </c>
      <c r="I227" s="11"/>
      <c r="J227" s="12" t="s">
        <v>1582</v>
      </c>
      <c r="K227" s="12" t="str">
        <f t="shared" si="15"/>
        <v>Open</v>
      </c>
      <c r="L227" s="26"/>
      <c r="M227" s="12"/>
      <c r="N227" s="12" t="s">
        <v>4428</v>
      </c>
      <c r="O227" s="12"/>
      <c r="P227" s="12" t="s">
        <v>3790</v>
      </c>
      <c r="Q227" s="12"/>
      <c r="R227" s="12"/>
      <c r="S227" s="12"/>
      <c r="T227" s="12"/>
      <c r="U227" s="12" t="str">
        <f t="shared" si="12"/>
        <v>Not Started</v>
      </c>
      <c r="V227" s="12" t="str">
        <f t="shared" si="13"/>
        <v>RASHEED Imran</v>
      </c>
      <c r="W227" s="13" t="str">
        <f t="shared" si="14"/>
        <v/>
      </c>
    </row>
    <row r="228" spans="1:23" ht="14.4" customHeight="1" x14ac:dyDescent="0.3">
      <c r="A228" s="13">
        <v>44696</v>
      </c>
      <c r="B228" s="12" t="s">
        <v>4379</v>
      </c>
      <c r="C228" s="12" t="s">
        <v>1542</v>
      </c>
      <c r="D228" s="5"/>
      <c r="E228" s="12">
        <v>519</v>
      </c>
      <c r="F228" s="14" t="s">
        <v>4380</v>
      </c>
      <c r="G228" s="12" t="s">
        <v>1</v>
      </c>
      <c r="H228" s="12" t="s">
        <v>293</v>
      </c>
      <c r="I228" s="11"/>
      <c r="J228" s="12" t="s">
        <v>1582</v>
      </c>
      <c r="K228" s="12" t="str">
        <f t="shared" si="15"/>
        <v>Open</v>
      </c>
      <c r="L228" s="26"/>
      <c r="M228" s="12"/>
      <c r="N228" s="12" t="s">
        <v>4428</v>
      </c>
      <c r="O228" s="12"/>
      <c r="P228" s="12" t="s">
        <v>3790</v>
      </c>
      <c r="Q228" s="12"/>
      <c r="R228" s="12"/>
      <c r="S228" s="12"/>
      <c r="T228" s="13"/>
      <c r="U228" s="12" t="str">
        <f t="shared" si="12"/>
        <v>Not Started</v>
      </c>
      <c r="V228" s="12" t="str">
        <f t="shared" si="13"/>
        <v>RASHEED Imran</v>
      </c>
      <c r="W228" s="13" t="str">
        <f t="shared" si="14"/>
        <v/>
      </c>
    </row>
    <row r="229" spans="1:23" ht="14.4" customHeight="1" x14ac:dyDescent="0.3">
      <c r="A229" s="13">
        <v>44698</v>
      </c>
      <c r="B229" s="12" t="s">
        <v>4404</v>
      </c>
      <c r="C229" s="12" t="s">
        <v>1542</v>
      </c>
      <c r="D229" s="5"/>
      <c r="E229" s="12">
        <v>502</v>
      </c>
      <c r="F229" s="11" t="s">
        <v>4405</v>
      </c>
      <c r="G229" s="12" t="s">
        <v>7</v>
      </c>
      <c r="H229" s="12" t="s">
        <v>12</v>
      </c>
      <c r="I229" s="11"/>
      <c r="J229" s="12" t="s">
        <v>1582</v>
      </c>
      <c r="K229" s="12" t="str">
        <f t="shared" si="15"/>
        <v>Open</v>
      </c>
      <c r="L229" s="26"/>
      <c r="M229" s="12"/>
      <c r="N229" s="12" t="s">
        <v>4427</v>
      </c>
      <c r="O229" s="12"/>
      <c r="P229" s="12" t="s">
        <v>3790</v>
      </c>
      <c r="Q229" s="12"/>
      <c r="R229" s="12"/>
      <c r="S229" s="12"/>
      <c r="T229" s="13"/>
      <c r="U229" s="12" t="str">
        <f t="shared" si="12"/>
        <v>Not Started</v>
      </c>
      <c r="V229" s="12"/>
      <c r="W229" s="13"/>
    </row>
    <row r="230" spans="1:23" ht="14.4" customHeight="1" x14ac:dyDescent="0.3">
      <c r="A230" s="13">
        <v>44698</v>
      </c>
      <c r="B230" s="12" t="s">
        <v>4406</v>
      </c>
      <c r="C230" s="12" t="s">
        <v>1542</v>
      </c>
      <c r="D230" s="5"/>
      <c r="E230" s="12">
        <v>502</v>
      </c>
      <c r="F230" s="11" t="s">
        <v>4407</v>
      </c>
      <c r="G230" s="12" t="s">
        <v>7</v>
      </c>
      <c r="H230" s="12" t="s">
        <v>293</v>
      </c>
      <c r="I230" s="11"/>
      <c r="J230" s="12" t="s">
        <v>1582</v>
      </c>
      <c r="K230" s="12" t="str">
        <f t="shared" si="15"/>
        <v>Open</v>
      </c>
      <c r="L230" s="26"/>
      <c r="M230" s="12"/>
      <c r="N230" s="12" t="s">
        <v>3216</v>
      </c>
      <c r="O230" s="12"/>
      <c r="P230" s="12" t="s">
        <v>3790</v>
      </c>
      <c r="Q230" s="12"/>
      <c r="R230" s="12"/>
      <c r="S230" s="12"/>
      <c r="T230" s="12"/>
      <c r="U230" s="12" t="str">
        <f t="shared" si="12"/>
        <v>Not Started</v>
      </c>
      <c r="V230" s="12"/>
      <c r="W230" s="13"/>
    </row>
    <row r="231" spans="1:23" ht="14.4" customHeight="1" x14ac:dyDescent="0.3">
      <c r="A231" s="13">
        <v>44698</v>
      </c>
      <c r="B231" s="12" t="s">
        <v>4408</v>
      </c>
      <c r="C231" s="12" t="s">
        <v>1542</v>
      </c>
      <c r="D231" s="5"/>
      <c r="E231" s="12">
        <v>512</v>
      </c>
      <c r="F231" s="11" t="s">
        <v>4409</v>
      </c>
      <c r="G231" s="12" t="s">
        <v>7</v>
      </c>
      <c r="H231" s="12" t="s">
        <v>9</v>
      </c>
      <c r="I231" s="11"/>
      <c r="J231" s="12" t="s">
        <v>1582</v>
      </c>
      <c r="K231" s="12" t="str">
        <f t="shared" si="15"/>
        <v>Open</v>
      </c>
      <c r="L231" s="26"/>
      <c r="M231" s="12"/>
      <c r="N231" s="12" t="s">
        <v>1652</v>
      </c>
      <c r="O231" s="12"/>
      <c r="P231" s="12" t="s">
        <v>3790</v>
      </c>
      <c r="Q231" s="12"/>
      <c r="R231" s="12"/>
      <c r="S231" s="12"/>
      <c r="T231" s="12"/>
      <c r="U231" s="12" t="str">
        <f t="shared" si="12"/>
        <v>Not Started</v>
      </c>
      <c r="V231" s="12"/>
      <c r="W231" s="13"/>
    </row>
    <row r="232" spans="1:23" ht="14.4" customHeight="1" x14ac:dyDescent="0.3">
      <c r="A232" s="13">
        <v>44699</v>
      </c>
      <c r="B232" s="12" t="s">
        <v>4450</v>
      </c>
      <c r="C232" s="12" t="s">
        <v>1542</v>
      </c>
      <c r="D232" s="5"/>
      <c r="E232" s="12">
        <v>513</v>
      </c>
      <c r="F232" s="14" t="s">
        <v>4451</v>
      </c>
      <c r="G232" s="12" t="s">
        <v>7</v>
      </c>
      <c r="H232" s="12" t="s">
        <v>9</v>
      </c>
      <c r="I232" s="11"/>
      <c r="J232" s="12" t="s">
        <v>1582</v>
      </c>
      <c r="K232" s="12" t="str">
        <f t="shared" si="15"/>
        <v>Open</v>
      </c>
      <c r="L232" s="26"/>
      <c r="M232" s="12"/>
      <c r="N232" s="12" t="s">
        <v>4429</v>
      </c>
      <c r="O232" s="12"/>
      <c r="P232" s="12" t="s">
        <v>3790</v>
      </c>
      <c r="Q232" s="12"/>
      <c r="R232" s="12"/>
      <c r="S232" s="12"/>
      <c r="T232" s="13"/>
      <c r="U232" s="12" t="str">
        <f t="shared" si="12"/>
        <v>Not Started</v>
      </c>
      <c r="V232" s="12"/>
      <c r="W232" s="13"/>
    </row>
    <row r="233" spans="1:23" ht="14.4" customHeight="1" x14ac:dyDescent="0.3">
      <c r="A233" s="13">
        <v>44699</v>
      </c>
      <c r="B233" s="12" t="s">
        <v>4452</v>
      </c>
      <c r="C233" s="12" t="s">
        <v>1542</v>
      </c>
      <c r="D233" s="5"/>
      <c r="E233" s="12">
        <v>513</v>
      </c>
      <c r="F233" s="11" t="s">
        <v>4453</v>
      </c>
      <c r="G233" s="12" t="s">
        <v>7</v>
      </c>
      <c r="H233" s="12" t="s">
        <v>9</v>
      </c>
      <c r="I233" s="11"/>
      <c r="J233" s="12" t="s">
        <v>1582</v>
      </c>
      <c r="K233" s="12" t="str">
        <f t="shared" si="15"/>
        <v>Open</v>
      </c>
      <c r="L233" s="26"/>
      <c r="M233" s="12"/>
      <c r="N233" s="12" t="s">
        <v>4429</v>
      </c>
      <c r="O233" s="12"/>
      <c r="P233" s="12" t="s">
        <v>3790</v>
      </c>
      <c r="Q233" s="12"/>
      <c r="R233" s="12"/>
      <c r="S233" s="12"/>
      <c r="T233" s="12"/>
      <c r="U233" s="12" t="str">
        <f t="shared" si="12"/>
        <v>Not Started</v>
      </c>
      <c r="V233" s="12"/>
      <c r="W233" s="13"/>
    </row>
    <row r="234" spans="1:23" ht="14.4" customHeight="1" x14ac:dyDescent="0.3">
      <c r="A234" s="13">
        <v>44699</v>
      </c>
      <c r="B234" s="12" t="s">
        <v>4454</v>
      </c>
      <c r="C234" s="12" t="s">
        <v>1542</v>
      </c>
      <c r="D234" s="5"/>
      <c r="E234" s="12">
        <v>513</v>
      </c>
      <c r="F234" s="11" t="s">
        <v>4455</v>
      </c>
      <c r="G234" s="12" t="s">
        <v>7</v>
      </c>
      <c r="H234" s="12" t="s">
        <v>9</v>
      </c>
      <c r="I234" s="11"/>
      <c r="J234" s="12" t="s">
        <v>1582</v>
      </c>
      <c r="K234" s="12" t="str">
        <f t="shared" si="15"/>
        <v>Open</v>
      </c>
      <c r="L234" s="26"/>
      <c r="M234" s="12"/>
      <c r="N234" s="12" t="s">
        <v>4429</v>
      </c>
      <c r="O234" s="12"/>
      <c r="P234" s="12" t="s">
        <v>3790</v>
      </c>
      <c r="Q234" s="12"/>
      <c r="R234" s="12"/>
      <c r="S234" s="12"/>
      <c r="T234" s="12"/>
      <c r="U234" s="12" t="str">
        <f t="shared" si="12"/>
        <v>Not Started</v>
      </c>
      <c r="V234" s="12"/>
      <c r="W234" s="13"/>
    </row>
    <row r="235" spans="1:23" ht="14.4" customHeight="1" x14ac:dyDescent="0.3">
      <c r="A235" s="13">
        <v>44699</v>
      </c>
      <c r="B235" s="12" t="s">
        <v>4456</v>
      </c>
      <c r="C235" s="12" t="s">
        <v>1542</v>
      </c>
      <c r="D235" s="5"/>
      <c r="E235" s="12">
        <v>513</v>
      </c>
      <c r="F235" s="11" t="s">
        <v>4457</v>
      </c>
      <c r="G235" s="12" t="s">
        <v>7</v>
      </c>
      <c r="H235" s="12" t="s">
        <v>12</v>
      </c>
      <c r="I235" s="11"/>
      <c r="J235" s="12" t="s">
        <v>1582</v>
      </c>
      <c r="K235" s="12" t="str">
        <f t="shared" si="15"/>
        <v>Open</v>
      </c>
      <c r="L235" s="26"/>
      <c r="M235" s="12"/>
      <c r="N235" s="12" t="s">
        <v>4427</v>
      </c>
      <c r="O235" s="12"/>
      <c r="P235" s="12" t="s">
        <v>3790</v>
      </c>
      <c r="Q235" s="12"/>
      <c r="R235" s="12"/>
      <c r="S235" s="12"/>
      <c r="T235" s="12"/>
      <c r="U235" s="12" t="str">
        <f t="shared" si="12"/>
        <v>Not Started</v>
      </c>
      <c r="V235" s="12"/>
      <c r="W235" s="13"/>
    </row>
    <row r="236" spans="1:23" ht="14.4" customHeight="1" x14ac:dyDescent="0.3">
      <c r="A236" s="13">
        <v>44700</v>
      </c>
      <c r="B236" s="12" t="s">
        <v>4458</v>
      </c>
      <c r="C236" s="12" t="s">
        <v>1542</v>
      </c>
      <c r="D236" s="5"/>
      <c r="E236" s="12">
        <v>518</v>
      </c>
      <c r="F236" s="11" t="s">
        <v>4459</v>
      </c>
      <c r="G236" s="12" t="s">
        <v>7</v>
      </c>
      <c r="H236" s="12" t="s">
        <v>12</v>
      </c>
      <c r="I236" s="11"/>
      <c r="J236" s="12" t="s">
        <v>1582</v>
      </c>
      <c r="K236" s="12" t="str">
        <f t="shared" si="15"/>
        <v>Open</v>
      </c>
      <c r="L236" s="26"/>
      <c r="M236" s="12"/>
      <c r="N236" s="12" t="s">
        <v>4427</v>
      </c>
      <c r="O236" s="12"/>
      <c r="P236" s="12" t="s">
        <v>3790</v>
      </c>
      <c r="Q236" s="12"/>
      <c r="R236" s="12"/>
      <c r="S236" s="12"/>
      <c r="T236" s="12"/>
      <c r="U236" s="12" t="str">
        <f t="shared" si="12"/>
        <v>Not Started</v>
      </c>
      <c r="V236" s="12"/>
      <c r="W236" s="13"/>
    </row>
    <row r="237" spans="1:23" ht="14.4" customHeight="1" x14ac:dyDescent="0.3">
      <c r="A237" s="13">
        <v>44700</v>
      </c>
      <c r="B237" s="12" t="s">
        <v>4460</v>
      </c>
      <c r="C237" s="12" t="s">
        <v>1542</v>
      </c>
      <c r="D237" s="5"/>
      <c r="E237" s="12">
        <v>517</v>
      </c>
      <c r="F237" s="11" t="s">
        <v>4461</v>
      </c>
      <c r="G237" s="12" t="s">
        <v>7</v>
      </c>
      <c r="H237" s="12" t="s">
        <v>12</v>
      </c>
      <c r="I237" s="11"/>
      <c r="J237" s="12" t="s">
        <v>1582</v>
      </c>
      <c r="K237" s="12" t="str">
        <f t="shared" si="15"/>
        <v>Open</v>
      </c>
      <c r="L237" s="26"/>
      <c r="M237" s="12"/>
      <c r="N237" s="12" t="s">
        <v>4427</v>
      </c>
      <c r="O237" s="12"/>
      <c r="P237" s="12" t="s">
        <v>3790</v>
      </c>
      <c r="Q237" s="12"/>
      <c r="R237" s="12"/>
      <c r="S237" s="12"/>
      <c r="T237" s="12"/>
      <c r="U237" s="12" t="str">
        <f t="shared" si="12"/>
        <v>Not Started</v>
      </c>
      <c r="V237" s="12"/>
      <c r="W237" s="13"/>
    </row>
    <row r="238" spans="1:23" ht="14.4" customHeight="1" x14ac:dyDescent="0.3">
      <c r="A238" s="13">
        <v>44703</v>
      </c>
      <c r="B238" s="12" t="s">
        <v>4462</v>
      </c>
      <c r="C238" s="12" t="s">
        <v>1542</v>
      </c>
      <c r="D238" s="5"/>
      <c r="E238" s="12">
        <v>517</v>
      </c>
      <c r="F238" s="11" t="s">
        <v>4463</v>
      </c>
      <c r="G238" s="12" t="s">
        <v>7</v>
      </c>
      <c r="H238" s="12" t="s">
        <v>293</v>
      </c>
      <c r="I238" s="11"/>
      <c r="J238" s="12" t="s">
        <v>1582</v>
      </c>
      <c r="K238" s="12" t="str">
        <f t="shared" si="15"/>
        <v>Open</v>
      </c>
      <c r="L238" s="26"/>
      <c r="M238" s="12"/>
      <c r="N238" s="12" t="s">
        <v>1652</v>
      </c>
      <c r="O238" s="12"/>
      <c r="P238" s="12" t="s">
        <v>3790</v>
      </c>
      <c r="Q238" s="12"/>
      <c r="R238" s="12"/>
      <c r="S238" s="12"/>
      <c r="T238" s="12"/>
      <c r="U238" s="12" t="str">
        <f t="shared" si="12"/>
        <v>Not Started</v>
      </c>
      <c r="V238" s="12"/>
      <c r="W238" s="13"/>
    </row>
    <row r="239" spans="1:23" ht="14.4" customHeight="1" x14ac:dyDescent="0.3">
      <c r="A239" s="13">
        <v>44703</v>
      </c>
      <c r="B239" s="12" t="s">
        <v>4464</v>
      </c>
      <c r="C239" s="12" t="s">
        <v>1542</v>
      </c>
      <c r="D239" s="5"/>
      <c r="E239" s="12">
        <v>517</v>
      </c>
      <c r="F239" s="11" t="s">
        <v>4465</v>
      </c>
      <c r="G239" s="12" t="s">
        <v>7</v>
      </c>
      <c r="H239" s="12" t="s">
        <v>293</v>
      </c>
      <c r="I239" s="11"/>
      <c r="J239" s="12" t="s">
        <v>1582</v>
      </c>
      <c r="K239" s="12" t="str">
        <f t="shared" si="15"/>
        <v>Open</v>
      </c>
      <c r="L239" s="26"/>
      <c r="M239" s="12"/>
      <c r="N239" s="12" t="s">
        <v>1652</v>
      </c>
      <c r="O239" s="12"/>
      <c r="P239" s="12" t="s">
        <v>3790</v>
      </c>
      <c r="Q239" s="12"/>
      <c r="R239" s="12"/>
      <c r="S239" s="12"/>
      <c r="T239" s="13"/>
      <c r="U239" s="12" t="str">
        <f t="shared" si="12"/>
        <v>Not Started</v>
      </c>
      <c r="V239" s="12"/>
      <c r="W239" s="13"/>
    </row>
    <row r="240" spans="1:23" ht="14.4" customHeight="1" x14ac:dyDescent="0.3">
      <c r="A240" s="13">
        <v>44703</v>
      </c>
      <c r="B240" s="37" t="s">
        <v>4466</v>
      </c>
      <c r="C240" s="37" t="s">
        <v>1542</v>
      </c>
      <c r="D240" s="38"/>
      <c r="E240" s="37">
        <v>518</v>
      </c>
      <c r="F240" s="39" t="s">
        <v>4467</v>
      </c>
      <c r="G240" s="37" t="s">
        <v>7</v>
      </c>
      <c r="H240" s="37" t="s">
        <v>293</v>
      </c>
      <c r="I240" s="39"/>
      <c r="J240" s="37" t="s">
        <v>1582</v>
      </c>
      <c r="K240" s="37" t="str">
        <f t="shared" si="15"/>
        <v>Open</v>
      </c>
      <c r="L240" s="40"/>
      <c r="M240" s="37"/>
      <c r="N240" s="37" t="s">
        <v>4428</v>
      </c>
      <c r="O240" s="37"/>
      <c r="P240" s="12" t="s">
        <v>3790</v>
      </c>
      <c r="Q240" s="37"/>
      <c r="R240" s="37"/>
      <c r="S240" s="37"/>
      <c r="T240" s="37"/>
      <c r="U240" s="12" t="str">
        <f t="shared" si="12"/>
        <v>Not Started</v>
      </c>
      <c r="V240" s="37"/>
      <c r="W240" s="41"/>
    </row>
    <row r="241" spans="1:23" ht="14.4" customHeight="1" x14ac:dyDescent="0.3">
      <c r="A241" s="13">
        <v>44703</v>
      </c>
      <c r="B241" s="42" t="s">
        <v>4502</v>
      </c>
      <c r="C241" s="42" t="s">
        <v>1542</v>
      </c>
      <c r="D241" s="43"/>
      <c r="E241" s="42">
        <v>504</v>
      </c>
      <c r="F241" s="44" t="s">
        <v>4503</v>
      </c>
      <c r="G241" s="42" t="s">
        <v>7</v>
      </c>
      <c r="H241" s="42" t="s">
        <v>293</v>
      </c>
      <c r="I241" s="44"/>
      <c r="J241" s="42" t="s">
        <v>1582</v>
      </c>
      <c r="K241" s="42" t="s">
        <v>2</v>
      </c>
      <c r="L241" s="45"/>
      <c r="M241" s="42"/>
      <c r="N241" s="42" t="s">
        <v>1652</v>
      </c>
      <c r="O241" s="42"/>
      <c r="P241" s="12" t="s">
        <v>3790</v>
      </c>
      <c r="Q241" s="42"/>
      <c r="R241" s="42"/>
      <c r="S241" s="42"/>
      <c r="T241" s="42"/>
      <c r="U241" s="12" t="str">
        <f t="shared" si="12"/>
        <v>Not Started</v>
      </c>
      <c r="V241" s="42"/>
      <c r="W241" s="46"/>
    </row>
    <row r="242" spans="1:23" ht="14.4" customHeight="1" x14ac:dyDescent="0.3">
      <c r="A242" s="13">
        <v>44704</v>
      </c>
      <c r="B242" s="42" t="s">
        <v>4504</v>
      </c>
      <c r="C242" s="47" t="s">
        <v>3882</v>
      </c>
      <c r="D242" s="48"/>
      <c r="E242" s="47">
        <v>516</v>
      </c>
      <c r="F242" s="49" t="s">
        <v>4507</v>
      </c>
      <c r="G242" s="47" t="s">
        <v>7</v>
      </c>
      <c r="H242" s="47" t="s">
        <v>9</v>
      </c>
      <c r="I242" s="50"/>
      <c r="J242" s="47" t="s">
        <v>1582</v>
      </c>
      <c r="K242" s="47" t="s">
        <v>2</v>
      </c>
      <c r="L242" s="51"/>
      <c r="M242" s="47"/>
      <c r="N242" s="47" t="s">
        <v>2448</v>
      </c>
      <c r="O242" s="47"/>
      <c r="P242" s="12" t="s">
        <v>3790</v>
      </c>
      <c r="Q242" s="47"/>
      <c r="R242" s="47"/>
      <c r="S242" s="47"/>
      <c r="T242" s="47"/>
      <c r="U242" s="12" t="str">
        <f t="shared" si="12"/>
        <v>Not Started</v>
      </c>
      <c r="V242" s="47"/>
      <c r="W242" s="52"/>
    </row>
    <row r="243" spans="1:23" ht="14.4" customHeight="1" x14ac:dyDescent="0.3">
      <c r="A243" s="13">
        <v>44704</v>
      </c>
      <c r="B243" s="42" t="s">
        <v>4505</v>
      </c>
      <c r="C243" s="12" t="s">
        <v>1542</v>
      </c>
      <c r="D243" s="5"/>
      <c r="E243" s="12">
        <v>515</v>
      </c>
      <c r="F243" s="14" t="s">
        <v>4506</v>
      </c>
      <c r="G243" s="12" t="s">
        <v>7</v>
      </c>
      <c r="H243" s="12" t="s">
        <v>12</v>
      </c>
      <c r="I243" s="11"/>
      <c r="J243" s="12" t="s">
        <v>1582</v>
      </c>
      <c r="K243" s="12" t="s">
        <v>2</v>
      </c>
      <c r="L243" s="26"/>
      <c r="M243" s="12"/>
      <c r="N243" s="12" t="s">
        <v>4427</v>
      </c>
      <c r="O243" s="12"/>
      <c r="P243" s="12" t="s">
        <v>3790</v>
      </c>
      <c r="Q243" s="12"/>
      <c r="R243" s="12"/>
      <c r="S243" s="12"/>
      <c r="T243" s="12"/>
      <c r="U243" s="12" t="str">
        <f t="shared" si="12"/>
        <v>Not Started</v>
      </c>
      <c r="V243" s="12"/>
      <c r="W243" s="13"/>
    </row>
    <row r="244" spans="1:23" ht="14.4" customHeight="1" x14ac:dyDescent="0.3">
      <c r="A244" s="13">
        <v>44705</v>
      </c>
      <c r="B244" s="12" t="s">
        <v>4516</v>
      </c>
      <c r="C244" s="12" t="s">
        <v>1542</v>
      </c>
      <c r="D244" s="5"/>
      <c r="E244" s="12">
        <v>505</v>
      </c>
      <c r="F244" s="11" t="s">
        <v>4517</v>
      </c>
      <c r="G244" s="12" t="s">
        <v>7</v>
      </c>
      <c r="H244" s="12" t="s">
        <v>9</v>
      </c>
      <c r="I244" s="11"/>
      <c r="J244" s="12" t="s">
        <v>1582</v>
      </c>
      <c r="K244" s="12" t="s">
        <v>2</v>
      </c>
      <c r="L244" s="26"/>
      <c r="M244" s="12"/>
      <c r="N244" s="12" t="s">
        <v>2638</v>
      </c>
      <c r="O244" s="12" t="s">
        <v>4518</v>
      </c>
      <c r="P244" s="12"/>
      <c r="Q244" s="12"/>
      <c r="R244" s="12"/>
      <c r="S244" s="12"/>
      <c r="T244" s="12"/>
      <c r="U244" s="12" t="str">
        <f t="shared" si="12"/>
        <v>Not Started</v>
      </c>
      <c r="V244" s="12"/>
      <c r="W244" s="13"/>
    </row>
    <row r="245" spans="1:23" ht="14.4" customHeight="1" x14ac:dyDescent="0.3">
      <c r="A245" s="13">
        <v>44705</v>
      </c>
      <c r="B245" s="12" t="s">
        <v>4519</v>
      </c>
      <c r="C245" s="12" t="s">
        <v>1542</v>
      </c>
      <c r="D245" s="5"/>
      <c r="E245" s="12">
        <v>509</v>
      </c>
      <c r="F245" s="11" t="s">
        <v>4520</v>
      </c>
      <c r="G245" s="12" t="s">
        <v>7</v>
      </c>
      <c r="H245" s="12" t="s">
        <v>293</v>
      </c>
      <c r="I245" s="11"/>
      <c r="J245" s="12" t="s">
        <v>1582</v>
      </c>
      <c r="K245" s="12" t="s">
        <v>2</v>
      </c>
      <c r="L245" s="26"/>
      <c r="M245" s="12"/>
      <c r="N245" s="12" t="s">
        <v>1652</v>
      </c>
      <c r="O245" s="12"/>
      <c r="P245" s="12"/>
      <c r="Q245" s="12"/>
      <c r="R245" s="12"/>
      <c r="S245" s="12"/>
      <c r="T245" s="13"/>
      <c r="U245" s="12" t="str">
        <f t="shared" si="12"/>
        <v>Not Started</v>
      </c>
      <c r="V245" s="12"/>
      <c r="W245" s="13"/>
    </row>
    <row r="246" spans="1:23" ht="14.4" customHeight="1" x14ac:dyDescent="0.3">
      <c r="A246" s="13">
        <v>44705</v>
      </c>
      <c r="B246" s="12" t="s">
        <v>4521</v>
      </c>
      <c r="C246" s="12" t="s">
        <v>1542</v>
      </c>
      <c r="D246" s="5"/>
      <c r="E246" s="12">
        <v>519</v>
      </c>
      <c r="F246" s="11" t="s">
        <v>4522</v>
      </c>
      <c r="G246" s="12" t="s">
        <v>7</v>
      </c>
      <c r="H246" s="12" t="s">
        <v>293</v>
      </c>
      <c r="I246" s="11"/>
      <c r="J246" s="12" t="s">
        <v>1582</v>
      </c>
      <c r="K246" s="12" t="s">
        <v>2</v>
      </c>
      <c r="L246" s="26"/>
      <c r="M246" s="12"/>
      <c r="N246" s="12" t="s">
        <v>1652</v>
      </c>
      <c r="O246" s="12"/>
      <c r="P246" s="12"/>
      <c r="Q246" s="12"/>
      <c r="R246" s="12"/>
      <c r="S246" s="12"/>
      <c r="T246" s="12"/>
      <c r="U246" s="12" t="str">
        <f t="shared" si="12"/>
        <v>Not Started</v>
      </c>
      <c r="V246" s="12"/>
      <c r="W246" s="13"/>
    </row>
    <row r="247" spans="1:23" ht="14.4" customHeight="1" x14ac:dyDescent="0.3">
      <c r="A247" s="13">
        <v>44705</v>
      </c>
      <c r="B247" s="12" t="s">
        <v>4523</v>
      </c>
      <c r="C247" s="12" t="s">
        <v>1542</v>
      </c>
      <c r="D247" s="5"/>
      <c r="E247" s="12">
        <v>519</v>
      </c>
      <c r="F247" s="11" t="s">
        <v>4524</v>
      </c>
      <c r="G247" s="12" t="s">
        <v>7</v>
      </c>
      <c r="H247" s="12" t="s">
        <v>9</v>
      </c>
      <c r="I247" s="11"/>
      <c r="J247" s="12" t="s">
        <v>1582</v>
      </c>
      <c r="K247" s="12" t="s">
        <v>2</v>
      </c>
      <c r="L247" s="26"/>
      <c r="M247" s="12"/>
      <c r="N247" s="12" t="s">
        <v>2448</v>
      </c>
      <c r="O247" s="12"/>
      <c r="P247" s="12"/>
      <c r="Q247" s="12"/>
      <c r="R247" s="12"/>
      <c r="S247" s="12"/>
      <c r="T247" s="13"/>
      <c r="U247" s="12" t="str">
        <f t="shared" si="12"/>
        <v>Not Started</v>
      </c>
      <c r="V247" s="12"/>
      <c r="W247" s="13"/>
    </row>
    <row r="248" spans="1:23" ht="14.4" customHeight="1" x14ac:dyDescent="0.3">
      <c r="A248" s="13">
        <v>44705</v>
      </c>
      <c r="B248" s="12" t="s">
        <v>4525</v>
      </c>
      <c r="C248" s="12" t="s">
        <v>1542</v>
      </c>
      <c r="D248" s="5"/>
      <c r="E248" s="12">
        <v>507</v>
      </c>
      <c r="F248" s="11" t="s">
        <v>4526</v>
      </c>
      <c r="G248" s="12" t="s">
        <v>7</v>
      </c>
      <c r="H248" s="12" t="s">
        <v>12</v>
      </c>
      <c r="I248" s="11"/>
      <c r="J248" s="12" t="s">
        <v>1582</v>
      </c>
      <c r="K248" s="12" t="s">
        <v>2</v>
      </c>
      <c r="L248" s="26"/>
      <c r="M248" s="12"/>
      <c r="N248" s="12"/>
      <c r="O248" s="12"/>
      <c r="P248" s="12"/>
      <c r="Q248" s="12"/>
      <c r="R248" s="12"/>
      <c r="S248" s="12"/>
      <c r="T248" s="12"/>
      <c r="U248" s="12" t="str">
        <f t="shared" si="12"/>
        <v>Not Started</v>
      </c>
      <c r="V248" s="12"/>
      <c r="W248" s="13"/>
    </row>
    <row r="249" spans="1:23" ht="14.4" customHeight="1" x14ac:dyDescent="0.3">
      <c r="A249" s="13">
        <v>44705</v>
      </c>
      <c r="B249" s="12" t="s">
        <v>4527</v>
      </c>
      <c r="C249" s="12" t="s">
        <v>1542</v>
      </c>
      <c r="D249" s="5"/>
      <c r="E249" s="12">
        <v>508</v>
      </c>
      <c r="F249" s="11" t="s">
        <v>4528</v>
      </c>
      <c r="G249" s="12" t="s">
        <v>7</v>
      </c>
      <c r="H249" s="12" t="s">
        <v>12</v>
      </c>
      <c r="I249" s="11"/>
      <c r="J249" s="12" t="s">
        <v>1582</v>
      </c>
      <c r="K249" s="12" t="s">
        <v>2</v>
      </c>
      <c r="L249" s="26"/>
      <c r="M249" s="12"/>
      <c r="N249" s="12"/>
      <c r="O249" s="12"/>
      <c r="P249" s="12"/>
      <c r="Q249" s="12"/>
      <c r="R249" s="12"/>
      <c r="S249" s="12"/>
      <c r="T249" s="12"/>
      <c r="U249" s="12" t="str">
        <f t="shared" si="12"/>
        <v>Not Started</v>
      </c>
      <c r="V249" s="12"/>
      <c r="W249" s="13"/>
    </row>
    <row r="250" spans="1:23" ht="14.55" customHeight="1" x14ac:dyDescent="0.3">
      <c r="A250" s="13">
        <v>44705</v>
      </c>
      <c r="B250" s="12" t="s">
        <v>4529</v>
      </c>
      <c r="C250" s="12" t="s">
        <v>1542</v>
      </c>
      <c r="D250" s="5"/>
      <c r="E250" s="12">
        <v>512</v>
      </c>
      <c r="F250" s="11" t="s">
        <v>4530</v>
      </c>
      <c r="G250" s="12" t="s">
        <v>7</v>
      </c>
      <c r="H250" s="12" t="s">
        <v>9</v>
      </c>
      <c r="I250" s="11"/>
      <c r="J250" s="12" t="s">
        <v>1582</v>
      </c>
      <c r="K250" s="12" t="s">
        <v>2</v>
      </c>
      <c r="L250" s="26"/>
      <c r="M250" s="12"/>
      <c r="N250" s="12"/>
      <c r="O250" s="12"/>
      <c r="P250" s="12"/>
      <c r="Q250" s="12"/>
      <c r="R250" s="12"/>
      <c r="S250" s="12"/>
      <c r="T250" s="12"/>
      <c r="U250" s="12" t="str">
        <f t="shared" si="12"/>
        <v>Not Started</v>
      </c>
      <c r="V250" s="12"/>
      <c r="W250" s="13"/>
    </row>
    <row r="251" spans="1:23" ht="14.4" customHeight="1" x14ac:dyDescent="0.3">
      <c r="A251" s="13">
        <v>44705</v>
      </c>
      <c r="B251" s="12" t="s">
        <v>4531</v>
      </c>
      <c r="C251" s="12" t="s">
        <v>1542</v>
      </c>
      <c r="D251" s="5"/>
      <c r="E251" s="12">
        <v>501</v>
      </c>
      <c r="F251" s="14" t="s">
        <v>4532</v>
      </c>
      <c r="G251" s="12" t="s">
        <v>7</v>
      </c>
      <c r="H251" s="12" t="s">
        <v>12</v>
      </c>
      <c r="I251" s="11"/>
      <c r="J251" s="12" t="s">
        <v>1582</v>
      </c>
      <c r="K251" s="12" t="s">
        <v>2</v>
      </c>
      <c r="L251" s="26"/>
      <c r="M251" s="12"/>
      <c r="N251" s="12"/>
      <c r="O251" s="12"/>
      <c r="P251" s="12"/>
      <c r="Q251" s="12"/>
      <c r="R251" s="12"/>
      <c r="S251" s="12"/>
      <c r="T251" s="13"/>
      <c r="U251" s="12" t="str">
        <f t="shared" si="12"/>
        <v>Not Started</v>
      </c>
      <c r="V251" s="12"/>
      <c r="W251" s="13"/>
    </row>
    <row r="252" spans="1:23" ht="14.4" customHeight="1" x14ac:dyDescent="0.3">
      <c r="A252" s="13">
        <v>44705</v>
      </c>
      <c r="B252" s="12" t="s">
        <v>4533</v>
      </c>
      <c r="C252" s="12" t="s">
        <v>1542</v>
      </c>
      <c r="D252" s="5"/>
      <c r="E252" s="12">
        <v>519</v>
      </c>
      <c r="F252" s="14" t="s">
        <v>4534</v>
      </c>
      <c r="G252" s="12" t="s">
        <v>7</v>
      </c>
      <c r="H252" s="12" t="s">
        <v>12</v>
      </c>
      <c r="I252" s="11"/>
      <c r="J252" s="12" t="s">
        <v>1582</v>
      </c>
      <c r="K252" s="12" t="s">
        <v>2</v>
      </c>
      <c r="L252" s="26"/>
      <c r="M252" s="12"/>
      <c r="N252" s="12"/>
      <c r="O252" s="12"/>
      <c r="P252" s="12"/>
      <c r="Q252" s="12"/>
      <c r="R252" s="12"/>
      <c r="S252" s="12"/>
      <c r="T252" s="12"/>
      <c r="U252" s="12" t="str">
        <f t="shared" si="12"/>
        <v>Not Started</v>
      </c>
      <c r="V252" s="12"/>
      <c r="W252" s="13"/>
    </row>
    <row r="253" spans="1:23" ht="14.4" customHeight="1" x14ac:dyDescent="0.3">
      <c r="A253" s="13">
        <v>44705</v>
      </c>
      <c r="B253" s="12" t="s">
        <v>4535</v>
      </c>
      <c r="C253" s="12" t="s">
        <v>1542</v>
      </c>
      <c r="D253" s="5"/>
      <c r="E253" s="12">
        <v>519</v>
      </c>
      <c r="F253" s="11" t="s">
        <v>4536</v>
      </c>
      <c r="G253" s="12" t="s">
        <v>7</v>
      </c>
      <c r="H253" s="12" t="s">
        <v>12</v>
      </c>
      <c r="I253" s="11"/>
      <c r="J253" s="12" t="s">
        <v>1582</v>
      </c>
      <c r="K253" s="12" t="s">
        <v>2</v>
      </c>
      <c r="L253" s="26"/>
      <c r="M253" s="12"/>
      <c r="N253" s="12"/>
      <c r="O253" s="12"/>
      <c r="P253" s="12"/>
      <c r="Q253" s="12"/>
      <c r="R253" s="12"/>
      <c r="S253" s="12"/>
      <c r="T253" s="12"/>
      <c r="U253" s="12" t="str">
        <f t="shared" si="12"/>
        <v>Not Started</v>
      </c>
      <c r="V253" s="12"/>
      <c r="W253" s="13"/>
    </row>
    <row r="254" spans="1:23" ht="14.4" customHeight="1" x14ac:dyDescent="0.3">
      <c r="A254" s="13">
        <v>44705</v>
      </c>
      <c r="B254" s="12" t="s">
        <v>4537</v>
      </c>
      <c r="C254" s="12" t="s">
        <v>1542</v>
      </c>
      <c r="D254" s="5"/>
      <c r="E254" s="12">
        <v>515</v>
      </c>
      <c r="F254" s="14" t="s">
        <v>4538</v>
      </c>
      <c r="G254" s="12" t="s">
        <v>7</v>
      </c>
      <c r="H254" s="12" t="s">
        <v>12</v>
      </c>
      <c r="I254" s="11"/>
      <c r="J254" s="12" t="s">
        <v>1582</v>
      </c>
      <c r="K254" s="12" t="s">
        <v>2</v>
      </c>
      <c r="L254" s="26"/>
      <c r="M254" s="12"/>
      <c r="N254" s="12"/>
      <c r="O254" s="12"/>
      <c r="P254" s="12"/>
      <c r="Q254" s="12"/>
      <c r="R254" s="12"/>
      <c r="S254" s="12"/>
      <c r="T254" s="12"/>
      <c r="U254" s="12" t="str">
        <f t="shared" si="12"/>
        <v>Not Started</v>
      </c>
      <c r="V254" s="12"/>
      <c r="W254" s="13"/>
    </row>
    <row r="255" spans="1:23" ht="28.95" customHeight="1" x14ac:dyDescent="0.3">
      <c r="A255" s="35">
        <v>44458</v>
      </c>
      <c r="B255" s="12" t="s">
        <v>1541</v>
      </c>
      <c r="C255" s="12" t="s">
        <v>1542</v>
      </c>
      <c r="D255" s="5" t="s">
        <v>1543</v>
      </c>
      <c r="E255" s="12">
        <v>405</v>
      </c>
      <c r="F255" s="11" t="s">
        <v>1544</v>
      </c>
      <c r="G255" s="12"/>
      <c r="H255" s="12" t="s">
        <v>14</v>
      </c>
      <c r="I255" s="11" t="s">
        <v>1548</v>
      </c>
      <c r="J255" s="12" t="s">
        <v>1545</v>
      </c>
      <c r="K255" s="12" t="str">
        <f>IF(J255="Corrected","Closed",IF(J255="NFF","Closed","Open"))</f>
        <v>Closed</v>
      </c>
      <c r="L255" s="13">
        <v>44564</v>
      </c>
      <c r="M255" s="12" t="s">
        <v>228</v>
      </c>
      <c r="N255" s="12" t="s">
        <v>4427</v>
      </c>
      <c r="O255" s="12" t="s">
        <v>3258</v>
      </c>
      <c r="P255" s="12" t="s">
        <v>3790</v>
      </c>
      <c r="Q255" s="12"/>
      <c r="R255" s="12"/>
      <c r="S255" s="12"/>
      <c r="T255" s="12"/>
      <c r="U255" s="12" t="str">
        <f t="shared" si="12"/>
        <v>Corrected</v>
      </c>
      <c r="V255" s="12" t="str">
        <f t="shared" ref="V255:V318" si="16">IF(AND(J255="Corrective Action Required",R255="Corrected"),S255, IF(AND(J255="Corrective Action Required",R255&lt;&gt;"Corrected"),S255,H255))</f>
        <v>GUAN Jialin</v>
      </c>
      <c r="W255" s="13">
        <f t="shared" ref="W255:W318" si="17">IF(OR(J255="Corrected",J255="NFF"),L255, IF(AND(J255="Corrective Action Required",R255="Corrected"),T255,""))</f>
        <v>44564</v>
      </c>
    </row>
    <row r="256" spans="1:23" ht="14.4" customHeight="1" x14ac:dyDescent="0.3">
      <c r="A256" s="28">
        <v>44458</v>
      </c>
      <c r="B256" s="12" t="s">
        <v>1549</v>
      </c>
      <c r="C256" s="12" t="s">
        <v>1542</v>
      </c>
      <c r="D256" s="5" t="s">
        <v>1550</v>
      </c>
      <c r="E256" s="12">
        <v>414</v>
      </c>
      <c r="F256" s="14" t="s">
        <v>4162</v>
      </c>
      <c r="G256" s="12"/>
      <c r="H256" s="12" t="s">
        <v>14</v>
      </c>
      <c r="I256" s="11" t="s">
        <v>1551</v>
      </c>
      <c r="J256" s="12" t="s">
        <v>1545</v>
      </c>
      <c r="K256" s="12" t="str">
        <f t="shared" ref="K256:K319" si="18">IF(J256="Corrected","Closed",IF(J256="NFF","Closed","Open"))</f>
        <v>Closed</v>
      </c>
      <c r="L256" s="13">
        <v>44552</v>
      </c>
      <c r="M256" s="12"/>
      <c r="N256" s="12"/>
      <c r="O256" s="12"/>
      <c r="P256" s="12" t="s">
        <v>3790</v>
      </c>
      <c r="Q256" s="12"/>
      <c r="R256" s="12"/>
      <c r="S256" s="12"/>
      <c r="T256" s="12"/>
      <c r="U256" s="12" t="str">
        <f t="shared" si="12"/>
        <v>Corrected</v>
      </c>
      <c r="V256" s="12" t="str">
        <f t="shared" si="16"/>
        <v>GUAN Jialin</v>
      </c>
      <c r="W256" s="13">
        <f t="shared" si="17"/>
        <v>44552</v>
      </c>
    </row>
    <row r="257" spans="1:23" ht="28.95" customHeight="1" x14ac:dyDescent="0.3">
      <c r="A257" s="28">
        <v>44458</v>
      </c>
      <c r="B257" s="12" t="s">
        <v>1552</v>
      </c>
      <c r="C257" s="12" t="s">
        <v>1542</v>
      </c>
      <c r="D257" s="5" t="s">
        <v>1550</v>
      </c>
      <c r="E257" s="12">
        <v>414</v>
      </c>
      <c r="F257" s="11" t="s">
        <v>1553</v>
      </c>
      <c r="G257" s="12"/>
      <c r="H257" s="12" t="s">
        <v>9</v>
      </c>
      <c r="I257" s="11" t="s">
        <v>1554</v>
      </c>
      <c r="J257" s="12" t="s">
        <v>1545</v>
      </c>
      <c r="K257" s="12" t="str">
        <f t="shared" si="18"/>
        <v>Closed</v>
      </c>
      <c r="L257" s="13">
        <v>44544</v>
      </c>
      <c r="M257" s="12"/>
      <c r="N257" s="12"/>
      <c r="O257" s="12"/>
      <c r="P257" s="12" t="s">
        <v>3790</v>
      </c>
      <c r="Q257" s="12"/>
      <c r="R257" s="12"/>
      <c r="S257" s="12"/>
      <c r="T257" s="12"/>
      <c r="U257" s="12" t="str">
        <f t="shared" si="12"/>
        <v>Corrected</v>
      </c>
      <c r="V257" s="12" t="str">
        <f t="shared" si="16"/>
        <v>KHAN Jahan</v>
      </c>
      <c r="W257" s="13">
        <f t="shared" si="17"/>
        <v>44544</v>
      </c>
    </row>
    <row r="258" spans="1:23" ht="14.4" customHeight="1" x14ac:dyDescent="0.3">
      <c r="A258" s="28">
        <v>44458</v>
      </c>
      <c r="B258" s="12" t="s">
        <v>1555</v>
      </c>
      <c r="C258" s="12" t="s">
        <v>1542</v>
      </c>
      <c r="D258" s="5" t="s">
        <v>1556</v>
      </c>
      <c r="E258" s="12">
        <v>417</v>
      </c>
      <c r="F258" s="11" t="s">
        <v>1557</v>
      </c>
      <c r="G258" s="12"/>
      <c r="H258" s="12" t="s">
        <v>9</v>
      </c>
      <c r="I258" s="11" t="s">
        <v>1558</v>
      </c>
      <c r="J258" s="12" t="s">
        <v>1545</v>
      </c>
      <c r="K258" s="12" t="str">
        <f t="shared" si="18"/>
        <v>Closed</v>
      </c>
      <c r="L258" s="13">
        <v>44543</v>
      </c>
      <c r="M258" s="12"/>
      <c r="N258" s="12"/>
      <c r="O258" s="12"/>
      <c r="P258" s="12" t="s">
        <v>3790</v>
      </c>
      <c r="Q258" s="12"/>
      <c r="R258" s="12"/>
      <c r="S258" s="12"/>
      <c r="T258" s="12"/>
      <c r="U258" s="12" t="str">
        <f t="shared" si="12"/>
        <v>Corrected</v>
      </c>
      <c r="V258" s="12" t="str">
        <f t="shared" si="16"/>
        <v>KHAN Jahan</v>
      </c>
      <c r="W258" s="13">
        <f t="shared" si="17"/>
        <v>44543</v>
      </c>
    </row>
    <row r="259" spans="1:23" ht="14.4" customHeight="1" x14ac:dyDescent="0.3">
      <c r="A259" s="28">
        <v>44458</v>
      </c>
      <c r="B259" s="12" t="s">
        <v>1559</v>
      </c>
      <c r="C259" s="12" t="s">
        <v>1542</v>
      </c>
      <c r="D259" s="5" t="s">
        <v>1560</v>
      </c>
      <c r="E259" s="12">
        <v>423</v>
      </c>
      <c r="F259" s="11" t="s">
        <v>1561</v>
      </c>
      <c r="G259" s="12"/>
      <c r="H259" s="12" t="s">
        <v>14</v>
      </c>
      <c r="I259" s="11" t="s">
        <v>1551</v>
      </c>
      <c r="J259" s="12" t="s">
        <v>1545</v>
      </c>
      <c r="K259" s="12" t="str">
        <f t="shared" si="18"/>
        <v>Closed</v>
      </c>
      <c r="L259" s="13">
        <v>44550</v>
      </c>
      <c r="M259" s="12"/>
      <c r="N259" s="12"/>
      <c r="O259" s="12"/>
      <c r="P259" s="12" t="s">
        <v>3790</v>
      </c>
      <c r="Q259" s="12"/>
      <c r="R259" s="12"/>
      <c r="S259" s="12"/>
      <c r="T259" s="12"/>
      <c r="U259" s="12" t="str">
        <f t="shared" ref="U259:U322" si="19">IF(AND(J259="Corrective Action Required",R259="Corrected"),"Corrected", IF(AND(J259="Corrective Action Required",R259&lt;&gt;"Corrected"),R259,J259))</f>
        <v>Corrected</v>
      </c>
      <c r="V259" s="12" t="str">
        <f t="shared" si="16"/>
        <v>GUAN Jialin</v>
      </c>
      <c r="W259" s="13">
        <f t="shared" si="17"/>
        <v>44550</v>
      </c>
    </row>
    <row r="260" spans="1:23" ht="14.55" customHeight="1" x14ac:dyDescent="0.3">
      <c r="A260" s="28">
        <v>44458</v>
      </c>
      <c r="B260" s="12" t="s">
        <v>1562</v>
      </c>
      <c r="C260" s="12" t="s">
        <v>1542</v>
      </c>
      <c r="D260" s="5" t="s">
        <v>1563</v>
      </c>
      <c r="E260" s="12">
        <v>619</v>
      </c>
      <c r="F260" s="14" t="s">
        <v>4163</v>
      </c>
      <c r="G260" s="12"/>
      <c r="H260" s="12" t="s">
        <v>14</v>
      </c>
      <c r="I260" s="11" t="s">
        <v>1564</v>
      </c>
      <c r="J260" s="12" t="s">
        <v>1545</v>
      </c>
      <c r="K260" s="12" t="str">
        <f t="shared" si="18"/>
        <v>Closed</v>
      </c>
      <c r="L260" s="13">
        <v>44551</v>
      </c>
      <c r="M260" s="12"/>
      <c r="N260" s="12"/>
      <c r="O260" s="12"/>
      <c r="P260" s="12" t="s">
        <v>3790</v>
      </c>
      <c r="Q260" s="12"/>
      <c r="R260" s="12"/>
      <c r="S260" s="12"/>
      <c r="T260" s="12"/>
      <c r="U260" s="12" t="str">
        <f t="shared" si="19"/>
        <v>Corrected</v>
      </c>
      <c r="V260" s="12" t="str">
        <f t="shared" si="16"/>
        <v>GUAN Jialin</v>
      </c>
      <c r="W260" s="13">
        <f t="shared" si="17"/>
        <v>44551</v>
      </c>
    </row>
    <row r="261" spans="1:23" ht="14.4" customHeight="1" x14ac:dyDescent="0.3">
      <c r="A261" s="28">
        <v>44458</v>
      </c>
      <c r="B261" s="12" t="s">
        <v>1565</v>
      </c>
      <c r="C261" s="12" t="s">
        <v>1542</v>
      </c>
      <c r="D261" s="5" t="s">
        <v>1563</v>
      </c>
      <c r="E261" s="12">
        <v>619</v>
      </c>
      <c r="F261" s="11" t="s">
        <v>1566</v>
      </c>
      <c r="G261" s="12"/>
      <c r="H261" s="12" t="s">
        <v>9</v>
      </c>
      <c r="I261" s="11" t="s">
        <v>1567</v>
      </c>
      <c r="J261" s="12" t="s">
        <v>1545</v>
      </c>
      <c r="K261" s="12" t="str">
        <f t="shared" si="18"/>
        <v>Closed</v>
      </c>
      <c r="L261" s="13">
        <v>44542</v>
      </c>
      <c r="M261" s="12"/>
      <c r="N261" s="12"/>
      <c r="O261" s="12"/>
      <c r="P261" s="12" t="s">
        <v>3790</v>
      </c>
      <c r="Q261" s="12"/>
      <c r="R261" s="12"/>
      <c r="S261" s="12"/>
      <c r="T261" s="12"/>
      <c r="U261" s="12" t="str">
        <f t="shared" si="19"/>
        <v>Corrected</v>
      </c>
      <c r="V261" s="12" t="str">
        <f t="shared" si="16"/>
        <v>KHAN Jahan</v>
      </c>
      <c r="W261" s="13">
        <f t="shared" si="17"/>
        <v>44542</v>
      </c>
    </row>
    <row r="262" spans="1:23" ht="14.4" customHeight="1" x14ac:dyDescent="0.3">
      <c r="A262" s="28">
        <v>44458</v>
      </c>
      <c r="B262" s="12" t="s">
        <v>1568</v>
      </c>
      <c r="C262" s="12" t="s">
        <v>1542</v>
      </c>
      <c r="D262" s="5" t="s">
        <v>1569</v>
      </c>
      <c r="E262" s="12">
        <v>406</v>
      </c>
      <c r="F262" s="14" t="s">
        <v>4164</v>
      </c>
      <c r="G262" s="12" t="s">
        <v>7</v>
      </c>
      <c r="H262" s="12" t="s">
        <v>14</v>
      </c>
      <c r="I262" s="11"/>
      <c r="J262" s="12" t="s">
        <v>1574</v>
      </c>
      <c r="K262" s="12" t="str">
        <f t="shared" si="18"/>
        <v>Closed</v>
      </c>
      <c r="L262" s="13">
        <v>44637</v>
      </c>
      <c r="M262" s="12" t="s">
        <v>234</v>
      </c>
      <c r="N262" s="12"/>
      <c r="O262" s="12"/>
      <c r="P262" s="12" t="s">
        <v>3790</v>
      </c>
      <c r="Q262" s="12"/>
      <c r="R262" s="12"/>
      <c r="S262" s="12"/>
      <c r="T262" s="12"/>
      <c r="U262" s="12" t="str">
        <f t="shared" si="19"/>
        <v>NFF</v>
      </c>
      <c r="V262" s="12" t="str">
        <f t="shared" si="16"/>
        <v>GUAN Jialin</v>
      </c>
      <c r="W262" s="13">
        <f t="shared" si="17"/>
        <v>44637</v>
      </c>
    </row>
    <row r="263" spans="1:23" ht="14.4" customHeight="1" x14ac:dyDescent="0.3">
      <c r="A263" s="28">
        <v>44458</v>
      </c>
      <c r="B263" s="12" t="s">
        <v>1570</v>
      </c>
      <c r="C263" s="12" t="s">
        <v>1542</v>
      </c>
      <c r="D263" s="5" t="s">
        <v>1556</v>
      </c>
      <c r="E263" s="12">
        <v>417</v>
      </c>
      <c r="F263" s="11" t="s">
        <v>1571</v>
      </c>
      <c r="G263" s="12" t="s">
        <v>7</v>
      </c>
      <c r="H263" s="12" t="s">
        <v>9</v>
      </c>
      <c r="I263" s="11"/>
      <c r="J263" s="12" t="s">
        <v>1545</v>
      </c>
      <c r="K263" s="12" t="str">
        <f t="shared" si="18"/>
        <v>Closed</v>
      </c>
      <c r="L263" s="13">
        <v>44551</v>
      </c>
      <c r="M263" s="12" t="s">
        <v>196</v>
      </c>
      <c r="N263" s="12"/>
      <c r="O263" s="12"/>
      <c r="P263" s="12" t="s">
        <v>3790</v>
      </c>
      <c r="Q263" s="12"/>
      <c r="R263" s="12"/>
      <c r="S263" s="12"/>
      <c r="T263" s="12"/>
      <c r="U263" s="12" t="str">
        <f t="shared" si="19"/>
        <v>Corrected</v>
      </c>
      <c r="V263" s="12" t="str">
        <f t="shared" si="16"/>
        <v>KHAN Jahan</v>
      </c>
      <c r="W263" s="13">
        <f t="shared" si="17"/>
        <v>44551</v>
      </c>
    </row>
    <row r="264" spans="1:23" ht="14.4" customHeight="1" x14ac:dyDescent="0.3">
      <c r="A264" s="28">
        <v>44458</v>
      </c>
      <c r="B264" s="12" t="s">
        <v>1572</v>
      </c>
      <c r="C264" s="12" t="s">
        <v>1542</v>
      </c>
      <c r="D264" s="5" t="s">
        <v>1543</v>
      </c>
      <c r="E264" s="12">
        <v>405</v>
      </c>
      <c r="F264" s="11" t="s">
        <v>1573</v>
      </c>
      <c r="G264" s="12"/>
      <c r="H264" s="12" t="s">
        <v>9</v>
      </c>
      <c r="I264" s="14" t="s">
        <v>4165</v>
      </c>
      <c r="J264" s="12" t="s">
        <v>1574</v>
      </c>
      <c r="K264" s="12" t="str">
        <f t="shared" si="18"/>
        <v>Closed</v>
      </c>
      <c r="L264" s="13">
        <v>44459</v>
      </c>
      <c r="M264" s="12"/>
      <c r="N264" s="12" t="s">
        <v>4428</v>
      </c>
      <c r="O264" s="12"/>
      <c r="P264" s="12" t="s">
        <v>3790</v>
      </c>
      <c r="Q264" s="12"/>
      <c r="R264" s="12"/>
      <c r="S264" s="12"/>
      <c r="T264" s="12"/>
      <c r="U264" s="12" t="str">
        <f t="shared" si="19"/>
        <v>NFF</v>
      </c>
      <c r="V264" s="12" t="str">
        <f t="shared" si="16"/>
        <v>KHAN Jahan</v>
      </c>
      <c r="W264" s="13">
        <f t="shared" si="17"/>
        <v>44459</v>
      </c>
    </row>
    <row r="265" spans="1:23" ht="14.4" customHeight="1" x14ac:dyDescent="0.3">
      <c r="A265" s="28">
        <v>44458</v>
      </c>
      <c r="B265" s="12" t="s">
        <v>1576</v>
      </c>
      <c r="C265" s="12" t="s">
        <v>1542</v>
      </c>
      <c r="D265" s="5" t="s">
        <v>1569</v>
      </c>
      <c r="E265" s="12">
        <v>406</v>
      </c>
      <c r="F265" s="11" t="s">
        <v>1577</v>
      </c>
      <c r="G265" s="12"/>
      <c r="H265" s="12" t="s">
        <v>9</v>
      </c>
      <c r="I265" s="11" t="s">
        <v>1578</v>
      </c>
      <c r="J265" s="12" t="s">
        <v>1574</v>
      </c>
      <c r="K265" s="12" t="str">
        <f t="shared" si="18"/>
        <v>Closed</v>
      </c>
      <c r="L265" s="13">
        <v>44551</v>
      </c>
      <c r="M265" s="12"/>
      <c r="N265" s="12"/>
      <c r="O265" s="12"/>
      <c r="P265" s="12" t="s">
        <v>3790</v>
      </c>
      <c r="Q265" s="12"/>
      <c r="R265" s="12"/>
      <c r="S265" s="12"/>
      <c r="T265" s="12"/>
      <c r="U265" s="12" t="str">
        <f t="shared" si="19"/>
        <v>NFF</v>
      </c>
      <c r="V265" s="12" t="str">
        <f t="shared" si="16"/>
        <v>KHAN Jahan</v>
      </c>
      <c r="W265" s="13">
        <f t="shared" si="17"/>
        <v>44551</v>
      </c>
    </row>
    <row r="266" spans="1:23" ht="14.4" customHeight="1" x14ac:dyDescent="0.3">
      <c r="A266" s="28">
        <v>44459</v>
      </c>
      <c r="B266" s="12" t="s">
        <v>1586</v>
      </c>
      <c r="C266" s="12" t="s">
        <v>1542</v>
      </c>
      <c r="D266" s="5" t="s">
        <v>1587</v>
      </c>
      <c r="E266" s="12">
        <v>401</v>
      </c>
      <c r="F266" s="11" t="s">
        <v>1588</v>
      </c>
      <c r="G266" s="12"/>
      <c r="H266" s="12" t="s">
        <v>9</v>
      </c>
      <c r="I266" s="11" t="s">
        <v>1589</v>
      </c>
      <c r="J266" s="12" t="s">
        <v>1545</v>
      </c>
      <c r="K266" s="12" t="str">
        <f t="shared" si="18"/>
        <v>Closed</v>
      </c>
      <c r="L266" s="13">
        <v>44543</v>
      </c>
      <c r="M266" s="12"/>
      <c r="N266" s="12"/>
      <c r="O266" s="12"/>
      <c r="P266" s="12" t="s">
        <v>3790</v>
      </c>
      <c r="Q266" s="12"/>
      <c r="R266" s="12"/>
      <c r="S266" s="12"/>
      <c r="T266" s="12"/>
      <c r="U266" s="12" t="str">
        <f t="shared" si="19"/>
        <v>Corrected</v>
      </c>
      <c r="V266" s="12" t="str">
        <f t="shared" si="16"/>
        <v>KHAN Jahan</v>
      </c>
      <c r="W266" s="13">
        <f t="shared" si="17"/>
        <v>44543</v>
      </c>
    </row>
    <row r="267" spans="1:23" ht="14.55" customHeight="1" x14ac:dyDescent="0.3">
      <c r="A267" s="28">
        <v>44459</v>
      </c>
      <c r="B267" s="12" t="s">
        <v>1590</v>
      </c>
      <c r="C267" s="12" t="s">
        <v>1542</v>
      </c>
      <c r="D267" s="5" t="s">
        <v>1591</v>
      </c>
      <c r="E267" s="12">
        <v>413</v>
      </c>
      <c r="F267" s="11" t="s">
        <v>1592</v>
      </c>
      <c r="G267" s="12"/>
      <c r="H267" s="12" t="s">
        <v>14</v>
      </c>
      <c r="I267" s="11" t="s">
        <v>1593</v>
      </c>
      <c r="J267" s="12" t="s">
        <v>1545</v>
      </c>
      <c r="K267" s="12" t="str">
        <f t="shared" si="18"/>
        <v>Closed</v>
      </c>
      <c r="L267" s="13">
        <v>44545</v>
      </c>
      <c r="M267" s="12"/>
      <c r="N267" s="12"/>
      <c r="O267" s="12"/>
      <c r="P267" s="12" t="s">
        <v>3790</v>
      </c>
      <c r="Q267" s="12"/>
      <c r="R267" s="12"/>
      <c r="S267" s="12"/>
      <c r="T267" s="12"/>
      <c r="U267" s="12" t="str">
        <f t="shared" si="19"/>
        <v>Corrected</v>
      </c>
      <c r="V267" s="12" t="str">
        <f t="shared" si="16"/>
        <v>GUAN Jialin</v>
      </c>
      <c r="W267" s="13">
        <f t="shared" si="17"/>
        <v>44545</v>
      </c>
    </row>
    <row r="268" spans="1:23" ht="14.4" customHeight="1" x14ac:dyDescent="0.3">
      <c r="A268" s="28">
        <v>44459</v>
      </c>
      <c r="B268" s="12" t="s">
        <v>1594</v>
      </c>
      <c r="C268" s="12" t="s">
        <v>1542</v>
      </c>
      <c r="D268" s="5" t="s">
        <v>1591</v>
      </c>
      <c r="E268" s="12">
        <v>413</v>
      </c>
      <c r="F268" s="11" t="s">
        <v>1595</v>
      </c>
      <c r="G268" s="12"/>
      <c r="H268" s="12" t="s">
        <v>9</v>
      </c>
      <c r="I268" s="11" t="s">
        <v>1596</v>
      </c>
      <c r="J268" s="12" t="s">
        <v>1545</v>
      </c>
      <c r="K268" s="12" t="str">
        <f t="shared" si="18"/>
        <v>Closed</v>
      </c>
      <c r="L268" s="13">
        <v>44551</v>
      </c>
      <c r="M268" s="12"/>
      <c r="N268" s="12"/>
      <c r="O268" s="12"/>
      <c r="P268" s="12" t="s">
        <v>3790</v>
      </c>
      <c r="Q268" s="12"/>
      <c r="R268" s="12"/>
      <c r="S268" s="12"/>
      <c r="T268" s="12"/>
      <c r="U268" s="12" t="str">
        <f t="shared" si="19"/>
        <v>Corrected</v>
      </c>
      <c r="V268" s="12" t="str">
        <f t="shared" si="16"/>
        <v>KHAN Jahan</v>
      </c>
      <c r="W268" s="13">
        <f t="shared" si="17"/>
        <v>44551</v>
      </c>
    </row>
    <row r="269" spans="1:23" ht="14.4" customHeight="1" x14ac:dyDescent="0.3">
      <c r="A269" s="28">
        <v>44459</v>
      </c>
      <c r="B269" s="12" t="s">
        <v>1597</v>
      </c>
      <c r="C269" s="12" t="s">
        <v>1542</v>
      </c>
      <c r="D269" s="5" t="s">
        <v>1598</v>
      </c>
      <c r="E269" s="12">
        <v>418</v>
      </c>
      <c r="F269" s="11" t="s">
        <v>1599</v>
      </c>
      <c r="G269" s="12"/>
      <c r="H269" s="12" t="s">
        <v>14</v>
      </c>
      <c r="I269" s="11" t="s">
        <v>1593</v>
      </c>
      <c r="J269" s="12" t="s">
        <v>1545</v>
      </c>
      <c r="K269" s="12" t="str">
        <f t="shared" si="18"/>
        <v>Closed</v>
      </c>
      <c r="L269" s="13">
        <v>44545</v>
      </c>
      <c r="M269" s="12"/>
      <c r="N269" s="12"/>
      <c r="O269" s="12"/>
      <c r="P269" s="12" t="s">
        <v>3790</v>
      </c>
      <c r="Q269" s="12"/>
      <c r="R269" s="12"/>
      <c r="S269" s="12"/>
      <c r="T269" s="12"/>
      <c r="U269" s="12" t="str">
        <f t="shared" si="19"/>
        <v>Corrected</v>
      </c>
      <c r="V269" s="12" t="str">
        <f t="shared" si="16"/>
        <v>GUAN Jialin</v>
      </c>
      <c r="W269" s="13">
        <f t="shared" si="17"/>
        <v>44545</v>
      </c>
    </row>
    <row r="270" spans="1:23" ht="14.4" customHeight="1" x14ac:dyDescent="0.3">
      <c r="A270" s="28">
        <v>44459</v>
      </c>
      <c r="B270" s="12" t="s">
        <v>1600</v>
      </c>
      <c r="C270" s="12" t="s">
        <v>1542</v>
      </c>
      <c r="D270" s="5" t="s">
        <v>1601</v>
      </c>
      <c r="E270" s="12">
        <v>419</v>
      </c>
      <c r="F270" s="11" t="s">
        <v>1602</v>
      </c>
      <c r="G270" s="12"/>
      <c r="H270" s="12" t="s">
        <v>9</v>
      </c>
      <c r="I270" s="11" t="s">
        <v>1603</v>
      </c>
      <c r="J270" s="12" t="s">
        <v>1545</v>
      </c>
      <c r="K270" s="12" t="str">
        <f t="shared" si="18"/>
        <v>Closed</v>
      </c>
      <c r="L270" s="13">
        <v>44560</v>
      </c>
      <c r="M270" s="12"/>
      <c r="N270" s="12"/>
      <c r="O270" s="12"/>
      <c r="P270" s="12" t="s">
        <v>3790</v>
      </c>
      <c r="Q270" s="12"/>
      <c r="R270" s="12"/>
      <c r="S270" s="12"/>
      <c r="T270" s="12"/>
      <c r="U270" s="12" t="str">
        <f t="shared" si="19"/>
        <v>Corrected</v>
      </c>
      <c r="V270" s="12" t="str">
        <f t="shared" si="16"/>
        <v>KHAN Jahan</v>
      </c>
      <c r="W270" s="13">
        <f t="shared" si="17"/>
        <v>44560</v>
      </c>
    </row>
    <row r="271" spans="1:23" ht="14.4" customHeight="1" x14ac:dyDescent="0.3">
      <c r="A271" s="28">
        <v>44459</v>
      </c>
      <c r="B271" s="12" t="s">
        <v>1604</v>
      </c>
      <c r="C271" s="12" t="s">
        <v>1542</v>
      </c>
      <c r="D271" s="5" t="s">
        <v>1601</v>
      </c>
      <c r="E271" s="12">
        <v>419</v>
      </c>
      <c r="F271" s="11" t="s">
        <v>1605</v>
      </c>
      <c r="G271" s="12"/>
      <c r="H271" s="12" t="s">
        <v>14</v>
      </c>
      <c r="I271" s="11" t="s">
        <v>1606</v>
      </c>
      <c r="J271" s="12" t="s">
        <v>1545</v>
      </c>
      <c r="K271" s="12" t="str">
        <f t="shared" si="18"/>
        <v>Closed</v>
      </c>
      <c r="L271" s="13">
        <v>44543</v>
      </c>
      <c r="M271" s="12"/>
      <c r="N271" s="12"/>
      <c r="O271" s="12"/>
      <c r="P271" s="12" t="s">
        <v>3790</v>
      </c>
      <c r="Q271" s="12"/>
      <c r="R271" s="12"/>
      <c r="S271" s="12"/>
      <c r="T271" s="12"/>
      <c r="U271" s="12" t="str">
        <f t="shared" si="19"/>
        <v>Corrected</v>
      </c>
      <c r="V271" s="12" t="str">
        <f t="shared" si="16"/>
        <v>GUAN Jialin</v>
      </c>
      <c r="W271" s="13">
        <f t="shared" si="17"/>
        <v>44543</v>
      </c>
    </row>
    <row r="272" spans="1:23" ht="14.4" customHeight="1" x14ac:dyDescent="0.3">
      <c r="A272" s="28">
        <v>44459</v>
      </c>
      <c r="B272" s="12" t="s">
        <v>1607</v>
      </c>
      <c r="C272" s="12" t="s">
        <v>1542</v>
      </c>
      <c r="D272" s="5" t="s">
        <v>1598</v>
      </c>
      <c r="E272" s="12">
        <v>418</v>
      </c>
      <c r="F272" s="11" t="s">
        <v>1608</v>
      </c>
      <c r="G272" s="12" t="s">
        <v>7</v>
      </c>
      <c r="H272" s="12" t="s">
        <v>9</v>
      </c>
      <c r="I272" s="11"/>
      <c r="J272" s="12" t="s">
        <v>1609</v>
      </c>
      <c r="K272" s="12" t="str">
        <f t="shared" si="18"/>
        <v>Open</v>
      </c>
      <c r="L272" s="13"/>
      <c r="M272" s="12" t="s">
        <v>364</v>
      </c>
      <c r="N272" s="12"/>
      <c r="O272" s="12"/>
      <c r="P272" s="12" t="s">
        <v>3790</v>
      </c>
      <c r="Q272" s="12"/>
      <c r="R272" s="12" t="s">
        <v>3566</v>
      </c>
      <c r="S272" s="12" t="s">
        <v>3</v>
      </c>
      <c r="T272" s="13" t="s">
        <v>1547</v>
      </c>
      <c r="U272" s="12" t="str">
        <f t="shared" si="19"/>
        <v>CM Open</v>
      </c>
      <c r="V272" s="12" t="str">
        <f t="shared" si="16"/>
        <v>SUKIMAN Zamhuri</v>
      </c>
      <c r="W272" s="13" t="str">
        <f t="shared" si="17"/>
        <v/>
      </c>
    </row>
    <row r="273" spans="1:23" ht="14.4" customHeight="1" x14ac:dyDescent="0.3">
      <c r="A273" s="28">
        <v>44459</v>
      </c>
      <c r="B273" s="12" t="s">
        <v>1610</v>
      </c>
      <c r="C273" s="12" t="s">
        <v>1542</v>
      </c>
      <c r="D273" s="5" t="s">
        <v>1598</v>
      </c>
      <c r="E273" s="12">
        <v>418</v>
      </c>
      <c r="F273" s="11" t="s">
        <v>1611</v>
      </c>
      <c r="G273" s="12" t="s">
        <v>7</v>
      </c>
      <c r="H273" s="12" t="s">
        <v>9</v>
      </c>
      <c r="I273" s="11"/>
      <c r="J273" s="12" t="s">
        <v>1574</v>
      </c>
      <c r="K273" s="12" t="str">
        <f t="shared" si="18"/>
        <v>Closed</v>
      </c>
      <c r="L273" s="13">
        <v>44662</v>
      </c>
      <c r="M273" s="12"/>
      <c r="N273" s="12"/>
      <c r="O273" s="12"/>
      <c r="P273" s="12" t="s">
        <v>3790</v>
      </c>
      <c r="Q273" s="12"/>
      <c r="R273" s="12"/>
      <c r="S273" s="12"/>
      <c r="T273" s="13" t="s">
        <v>1547</v>
      </c>
      <c r="U273" s="12" t="str">
        <f t="shared" si="19"/>
        <v>NFF</v>
      </c>
      <c r="V273" s="12" t="str">
        <f t="shared" si="16"/>
        <v>KHAN Jahan</v>
      </c>
      <c r="W273" s="13">
        <f t="shared" si="17"/>
        <v>44662</v>
      </c>
    </row>
    <row r="274" spans="1:23" ht="14.4" customHeight="1" x14ac:dyDescent="0.3">
      <c r="A274" s="28">
        <v>44460</v>
      </c>
      <c r="B274" s="12" t="s">
        <v>1620</v>
      </c>
      <c r="C274" s="12" t="s">
        <v>1542</v>
      </c>
      <c r="D274" s="5" t="s">
        <v>1621</v>
      </c>
      <c r="E274" s="12">
        <v>421</v>
      </c>
      <c r="F274" s="14" t="s">
        <v>4166</v>
      </c>
      <c r="G274" s="12"/>
      <c r="H274" s="12" t="s">
        <v>11</v>
      </c>
      <c r="I274" s="11" t="s">
        <v>1622</v>
      </c>
      <c r="J274" s="12" t="s">
        <v>1545</v>
      </c>
      <c r="K274" s="12" t="str">
        <f t="shared" si="18"/>
        <v>Closed</v>
      </c>
      <c r="L274" s="13">
        <v>44528</v>
      </c>
      <c r="M274" s="12" t="s">
        <v>127</v>
      </c>
      <c r="N274" s="12"/>
      <c r="O274" s="12"/>
      <c r="P274" s="12" t="s">
        <v>3790</v>
      </c>
      <c r="Q274" s="12"/>
      <c r="R274" s="12"/>
      <c r="S274" s="12"/>
      <c r="T274" s="12"/>
      <c r="U274" s="12" t="str">
        <f t="shared" si="19"/>
        <v>Corrected</v>
      </c>
      <c r="V274" s="12" t="str">
        <f t="shared" si="16"/>
        <v>FIRDUS Ahmad</v>
      </c>
      <c r="W274" s="13">
        <f t="shared" si="17"/>
        <v>44528</v>
      </c>
    </row>
    <row r="275" spans="1:23" ht="14.4" customHeight="1" x14ac:dyDescent="0.3">
      <c r="A275" s="28">
        <v>44460</v>
      </c>
      <c r="B275" s="12" t="s">
        <v>1623</v>
      </c>
      <c r="C275" s="12" t="s">
        <v>1542</v>
      </c>
      <c r="D275" s="5" t="s">
        <v>1624</v>
      </c>
      <c r="E275" s="12">
        <v>422</v>
      </c>
      <c r="F275" s="14" t="s">
        <v>4167</v>
      </c>
      <c r="G275" s="12"/>
      <c r="H275" s="12" t="s">
        <v>14</v>
      </c>
      <c r="I275" s="11" t="s">
        <v>1625</v>
      </c>
      <c r="J275" s="12" t="s">
        <v>1545</v>
      </c>
      <c r="K275" s="12" t="str">
        <f t="shared" si="18"/>
        <v>Closed</v>
      </c>
      <c r="L275" s="13">
        <v>44545</v>
      </c>
      <c r="M275" s="12"/>
      <c r="N275" s="12"/>
      <c r="O275" s="12"/>
      <c r="P275" s="12" t="s">
        <v>3790</v>
      </c>
      <c r="Q275" s="12"/>
      <c r="R275" s="12"/>
      <c r="S275" s="12"/>
      <c r="T275" s="12"/>
      <c r="U275" s="12" t="str">
        <f t="shared" si="19"/>
        <v>Corrected</v>
      </c>
      <c r="V275" s="12" t="str">
        <f t="shared" si="16"/>
        <v>GUAN Jialin</v>
      </c>
      <c r="W275" s="13">
        <f t="shared" si="17"/>
        <v>44545</v>
      </c>
    </row>
    <row r="276" spans="1:23" ht="14.4" customHeight="1" x14ac:dyDescent="0.3">
      <c r="A276" s="28">
        <v>44460</v>
      </c>
      <c r="B276" s="12" t="s">
        <v>1626</v>
      </c>
      <c r="C276" s="12" t="s">
        <v>1542</v>
      </c>
      <c r="D276" s="5" t="s">
        <v>1627</v>
      </c>
      <c r="E276" s="12">
        <v>424</v>
      </c>
      <c r="F276" s="14" t="s">
        <v>4168</v>
      </c>
      <c r="G276" s="12"/>
      <c r="H276" s="12" t="s">
        <v>14</v>
      </c>
      <c r="I276" s="11" t="s">
        <v>1593</v>
      </c>
      <c r="J276" s="12" t="s">
        <v>1545</v>
      </c>
      <c r="K276" s="12" t="str">
        <f t="shared" si="18"/>
        <v>Closed</v>
      </c>
      <c r="L276" s="13">
        <v>44551</v>
      </c>
      <c r="M276" s="12"/>
      <c r="N276" s="12"/>
      <c r="O276" s="12"/>
      <c r="P276" s="12" t="s">
        <v>3790</v>
      </c>
      <c r="Q276" s="12"/>
      <c r="R276" s="12"/>
      <c r="S276" s="12"/>
      <c r="T276" s="12"/>
      <c r="U276" s="12" t="str">
        <f t="shared" si="19"/>
        <v>Corrected</v>
      </c>
      <c r="V276" s="12" t="str">
        <f t="shared" si="16"/>
        <v>GUAN Jialin</v>
      </c>
      <c r="W276" s="13">
        <f t="shared" si="17"/>
        <v>44551</v>
      </c>
    </row>
    <row r="277" spans="1:23" ht="14.4" customHeight="1" x14ac:dyDescent="0.3">
      <c r="A277" s="28">
        <v>44460</v>
      </c>
      <c r="B277" s="12" t="s">
        <v>1628</v>
      </c>
      <c r="C277" s="12" t="s">
        <v>1542</v>
      </c>
      <c r="D277" s="5" t="s">
        <v>1629</v>
      </c>
      <c r="E277" s="12">
        <v>607</v>
      </c>
      <c r="F277" s="14" t="s">
        <v>4169</v>
      </c>
      <c r="G277" s="12"/>
      <c r="H277" s="12" t="s">
        <v>14</v>
      </c>
      <c r="I277" s="14" t="s">
        <v>4170</v>
      </c>
      <c r="J277" s="12" t="s">
        <v>1545</v>
      </c>
      <c r="K277" s="12" t="str">
        <f t="shared" si="18"/>
        <v>Closed</v>
      </c>
      <c r="L277" s="13">
        <v>44542</v>
      </c>
      <c r="M277" s="12"/>
      <c r="N277" s="12"/>
      <c r="O277" s="12"/>
      <c r="P277" s="12" t="s">
        <v>3790</v>
      </c>
      <c r="Q277" s="12"/>
      <c r="R277" s="12"/>
      <c r="S277" s="12"/>
      <c r="T277" s="12"/>
      <c r="U277" s="12" t="str">
        <f t="shared" si="19"/>
        <v>Corrected</v>
      </c>
      <c r="V277" s="12" t="str">
        <f t="shared" si="16"/>
        <v>GUAN Jialin</v>
      </c>
      <c r="W277" s="13">
        <f t="shared" si="17"/>
        <v>44542</v>
      </c>
    </row>
    <row r="278" spans="1:23" ht="14.4" customHeight="1" x14ac:dyDescent="0.3">
      <c r="A278" s="28">
        <v>44460</v>
      </c>
      <c r="B278" s="12" t="s">
        <v>1630</v>
      </c>
      <c r="C278" s="12" t="s">
        <v>1542</v>
      </c>
      <c r="D278" s="5" t="s">
        <v>1631</v>
      </c>
      <c r="E278" s="12">
        <v>625</v>
      </c>
      <c r="F278" s="14" t="s">
        <v>4171</v>
      </c>
      <c r="G278" s="12"/>
      <c r="H278" s="12" t="s">
        <v>14</v>
      </c>
      <c r="I278" s="11" t="s">
        <v>1593</v>
      </c>
      <c r="J278" s="12" t="s">
        <v>1545</v>
      </c>
      <c r="K278" s="12" t="str">
        <f t="shared" si="18"/>
        <v>Closed</v>
      </c>
      <c r="L278" s="13">
        <v>44553</v>
      </c>
      <c r="M278" s="12"/>
      <c r="N278" s="12"/>
      <c r="O278" s="12"/>
      <c r="P278" s="12" t="s">
        <v>3790</v>
      </c>
      <c r="Q278" s="12"/>
      <c r="R278" s="12"/>
      <c r="S278" s="12"/>
      <c r="T278" s="12"/>
      <c r="U278" s="12" t="str">
        <f t="shared" si="19"/>
        <v>Corrected</v>
      </c>
      <c r="V278" s="12" t="str">
        <f t="shared" si="16"/>
        <v>GUAN Jialin</v>
      </c>
      <c r="W278" s="13">
        <f t="shared" si="17"/>
        <v>44553</v>
      </c>
    </row>
    <row r="279" spans="1:23" ht="14.4" customHeight="1" x14ac:dyDescent="0.3">
      <c r="A279" s="28">
        <v>44460</v>
      </c>
      <c r="B279" s="12" t="s">
        <v>1632</v>
      </c>
      <c r="C279" s="12" t="s">
        <v>1542</v>
      </c>
      <c r="D279" s="5" t="s">
        <v>1624</v>
      </c>
      <c r="E279" s="12">
        <v>422</v>
      </c>
      <c r="F279" s="11" t="s">
        <v>1633</v>
      </c>
      <c r="G279" s="12" t="s">
        <v>7</v>
      </c>
      <c r="H279" s="12" t="s">
        <v>9</v>
      </c>
      <c r="I279" s="11"/>
      <c r="J279" s="12" t="s">
        <v>1609</v>
      </c>
      <c r="K279" s="12" t="str">
        <f t="shared" si="18"/>
        <v>Open</v>
      </c>
      <c r="L279" s="13"/>
      <c r="M279" s="12" t="s">
        <v>416</v>
      </c>
      <c r="N279" s="12"/>
      <c r="O279" s="12"/>
      <c r="P279" s="12" t="s">
        <v>3790</v>
      </c>
      <c r="Q279" s="12"/>
      <c r="R279" s="12" t="s">
        <v>3566</v>
      </c>
      <c r="S279" s="12" t="s">
        <v>3</v>
      </c>
      <c r="T279" s="13" t="s">
        <v>1547</v>
      </c>
      <c r="U279" s="12" t="str">
        <f t="shared" si="19"/>
        <v>CM Open</v>
      </c>
      <c r="V279" s="12" t="str">
        <f t="shared" si="16"/>
        <v>SUKIMAN Zamhuri</v>
      </c>
      <c r="W279" s="13" t="str">
        <f t="shared" si="17"/>
        <v/>
      </c>
    </row>
    <row r="280" spans="1:23" ht="14.4" customHeight="1" x14ac:dyDescent="0.3">
      <c r="A280" s="28">
        <v>44465</v>
      </c>
      <c r="B280" s="12" t="s">
        <v>1643</v>
      </c>
      <c r="C280" s="12" t="s">
        <v>1542</v>
      </c>
      <c r="D280" s="5" t="s">
        <v>1644</v>
      </c>
      <c r="E280" s="12">
        <v>601</v>
      </c>
      <c r="F280" s="11" t="s">
        <v>1645</v>
      </c>
      <c r="G280" s="12"/>
      <c r="H280" s="12" t="s">
        <v>9</v>
      </c>
      <c r="I280" s="11" t="s">
        <v>1646</v>
      </c>
      <c r="J280" s="12" t="s">
        <v>1545</v>
      </c>
      <c r="K280" s="12" t="str">
        <f t="shared" si="18"/>
        <v>Closed</v>
      </c>
      <c r="L280" s="13">
        <v>44545</v>
      </c>
      <c r="M280" s="12"/>
      <c r="N280" s="12"/>
      <c r="O280" s="12"/>
      <c r="P280" s="12" t="s">
        <v>3790</v>
      </c>
      <c r="Q280" s="12"/>
      <c r="R280" s="12"/>
      <c r="S280" s="12"/>
      <c r="T280" s="12"/>
      <c r="U280" s="12" t="str">
        <f t="shared" si="19"/>
        <v>Corrected</v>
      </c>
      <c r="V280" s="12" t="str">
        <f>IF(AND(J280="Corrective Action Required",R280="Corrected"),S280, IF(AND(J280="Corrective Action Required",R280&lt;&gt;"Corrected"),S280,H280))</f>
        <v>KHAN Jahan</v>
      </c>
      <c r="W280" s="13">
        <f t="shared" si="17"/>
        <v>44545</v>
      </c>
    </row>
    <row r="281" spans="1:23" ht="14.4" customHeight="1" x14ac:dyDescent="0.3">
      <c r="A281" s="28">
        <v>44465</v>
      </c>
      <c r="B281" s="12" t="s">
        <v>1647</v>
      </c>
      <c r="C281" s="12" t="s">
        <v>1542</v>
      </c>
      <c r="D281" s="5" t="s">
        <v>1648</v>
      </c>
      <c r="E281" s="12">
        <v>416</v>
      </c>
      <c r="F281" s="11" t="s">
        <v>1649</v>
      </c>
      <c r="G281" s="12" t="s">
        <v>7</v>
      </c>
      <c r="H281" s="12" t="s">
        <v>9</v>
      </c>
      <c r="I281" s="11"/>
      <c r="J281" s="12" t="s">
        <v>1609</v>
      </c>
      <c r="K281" s="12" t="str">
        <f t="shared" si="18"/>
        <v>Open</v>
      </c>
      <c r="L281" s="13"/>
      <c r="M281" s="12" t="s">
        <v>353</v>
      </c>
      <c r="N281" s="12"/>
      <c r="O281" s="12" t="s">
        <v>1675</v>
      </c>
      <c r="P281" s="12" t="s">
        <v>3790</v>
      </c>
      <c r="Q281" s="12"/>
      <c r="R281" s="12" t="s">
        <v>1545</v>
      </c>
      <c r="S281" s="12" t="s">
        <v>6</v>
      </c>
      <c r="T281" s="13">
        <v>44675</v>
      </c>
      <c r="U281" s="12" t="str">
        <f t="shared" si="19"/>
        <v>Corrected</v>
      </c>
      <c r="V281" s="12" t="str">
        <f t="shared" si="16"/>
        <v>MUHAMMAD ALIF BIN ALI</v>
      </c>
      <c r="W281" s="13">
        <f t="shared" si="17"/>
        <v>44675</v>
      </c>
    </row>
    <row r="282" spans="1:23" ht="14.4" customHeight="1" x14ac:dyDescent="0.3">
      <c r="A282" s="28">
        <v>44465</v>
      </c>
      <c r="B282" s="12" t="s">
        <v>1650</v>
      </c>
      <c r="C282" s="12" t="s">
        <v>1542</v>
      </c>
      <c r="D282" s="5" t="s">
        <v>1644</v>
      </c>
      <c r="E282" s="12">
        <v>601</v>
      </c>
      <c r="F282" s="11" t="s">
        <v>1651</v>
      </c>
      <c r="G282" s="12" t="s">
        <v>1</v>
      </c>
      <c r="H282" s="12" t="s">
        <v>19</v>
      </c>
      <c r="I282" s="14" t="s">
        <v>4172</v>
      </c>
      <c r="J282" s="12" t="s">
        <v>1545</v>
      </c>
      <c r="K282" s="12" t="str">
        <f t="shared" si="18"/>
        <v>Closed</v>
      </c>
      <c r="L282" s="13">
        <v>44630</v>
      </c>
      <c r="M282" s="12" t="s">
        <v>387</v>
      </c>
      <c r="N282" s="12" t="s">
        <v>1652</v>
      </c>
      <c r="O282" s="12" t="s">
        <v>1653</v>
      </c>
      <c r="P282" s="12" t="s">
        <v>3790</v>
      </c>
      <c r="Q282" s="12"/>
      <c r="R282" s="12" t="s">
        <v>1545</v>
      </c>
      <c r="S282" s="12" t="s">
        <v>3</v>
      </c>
      <c r="T282" s="13">
        <v>44630</v>
      </c>
      <c r="U282" s="12" t="str">
        <f t="shared" si="19"/>
        <v>Corrected</v>
      </c>
      <c r="V282" s="12" t="str">
        <f t="shared" si="16"/>
        <v>DAOUDI Mohamed</v>
      </c>
      <c r="W282" s="13">
        <f t="shared" si="17"/>
        <v>44630</v>
      </c>
    </row>
    <row r="283" spans="1:23" ht="14.4" customHeight="1" x14ac:dyDescent="0.3">
      <c r="A283" s="28">
        <v>44465</v>
      </c>
      <c r="B283" s="12" t="s">
        <v>1655</v>
      </c>
      <c r="C283" s="12" t="s">
        <v>1542</v>
      </c>
      <c r="D283" s="5" t="s">
        <v>1644</v>
      </c>
      <c r="E283" s="12">
        <v>601</v>
      </c>
      <c r="F283" s="11" t="s">
        <v>1656</v>
      </c>
      <c r="G283" s="12" t="s">
        <v>7</v>
      </c>
      <c r="H283" s="12" t="s">
        <v>9</v>
      </c>
      <c r="I283" s="11"/>
      <c r="J283" s="12" t="s">
        <v>1609</v>
      </c>
      <c r="K283" s="12" t="str">
        <f t="shared" si="18"/>
        <v>Open</v>
      </c>
      <c r="L283" s="13"/>
      <c r="M283" s="12" t="s">
        <v>419</v>
      </c>
      <c r="N283" s="12"/>
      <c r="O283" s="12"/>
      <c r="P283" s="12" t="s">
        <v>3790</v>
      </c>
      <c r="Q283" s="12"/>
      <c r="R283" s="12" t="s">
        <v>5</v>
      </c>
      <c r="S283" s="12" t="s">
        <v>3</v>
      </c>
      <c r="T283" s="13" t="s">
        <v>1547</v>
      </c>
      <c r="U283" s="12" t="str">
        <f t="shared" si="19"/>
        <v>No Material</v>
      </c>
      <c r="V283" s="12" t="str">
        <f t="shared" si="16"/>
        <v>SUKIMAN Zamhuri</v>
      </c>
      <c r="W283" s="13" t="str">
        <f t="shared" si="17"/>
        <v/>
      </c>
    </row>
    <row r="284" spans="1:23" ht="14.4" customHeight="1" x14ac:dyDescent="0.3">
      <c r="A284" s="28">
        <v>44465</v>
      </c>
      <c r="B284" s="12" t="s">
        <v>1657</v>
      </c>
      <c r="C284" s="12" t="s">
        <v>1542</v>
      </c>
      <c r="D284" s="5" t="s">
        <v>1658</v>
      </c>
      <c r="E284" s="12">
        <v>615</v>
      </c>
      <c r="F284" s="11" t="s">
        <v>1659</v>
      </c>
      <c r="G284" s="12" t="s">
        <v>7</v>
      </c>
      <c r="H284" s="12" t="s">
        <v>9</v>
      </c>
      <c r="I284" s="11" t="s">
        <v>1660</v>
      </c>
      <c r="J284" s="12" t="s">
        <v>1574</v>
      </c>
      <c r="K284" s="12" t="str">
        <f t="shared" si="18"/>
        <v>Closed</v>
      </c>
      <c r="L284" s="13">
        <v>44468</v>
      </c>
      <c r="M284" s="12"/>
      <c r="N284" s="12"/>
      <c r="O284" s="12"/>
      <c r="P284" s="12" t="s">
        <v>3790</v>
      </c>
      <c r="Q284" s="12"/>
      <c r="R284" s="12"/>
      <c r="S284" s="12"/>
      <c r="T284" s="12"/>
      <c r="U284" s="12" t="str">
        <f t="shared" si="19"/>
        <v>NFF</v>
      </c>
      <c r="V284" s="12" t="str">
        <f t="shared" si="16"/>
        <v>KHAN Jahan</v>
      </c>
      <c r="W284" s="13">
        <f t="shared" si="17"/>
        <v>44468</v>
      </c>
    </row>
    <row r="285" spans="1:23" ht="14.4" customHeight="1" x14ac:dyDescent="0.3">
      <c r="A285" s="28">
        <v>44467</v>
      </c>
      <c r="B285" s="12" t="s">
        <v>1673</v>
      </c>
      <c r="C285" s="12" t="s">
        <v>1674</v>
      </c>
      <c r="D285" s="5" t="s">
        <v>1675</v>
      </c>
      <c r="E285" s="12">
        <v>410</v>
      </c>
      <c r="F285" s="11" t="s">
        <v>1676</v>
      </c>
      <c r="G285" s="12"/>
      <c r="H285" s="12" t="s">
        <v>9</v>
      </c>
      <c r="I285" s="11"/>
      <c r="J285" s="12" t="s">
        <v>1545</v>
      </c>
      <c r="K285" s="12" t="str">
        <f t="shared" si="18"/>
        <v>Closed</v>
      </c>
      <c r="L285" s="13">
        <v>44551</v>
      </c>
      <c r="M285" s="12" t="s">
        <v>1677</v>
      </c>
      <c r="N285" s="12"/>
      <c r="O285" s="12"/>
      <c r="P285" s="12" t="s">
        <v>3790</v>
      </c>
      <c r="Q285" s="12"/>
      <c r="R285" s="12"/>
      <c r="S285" s="12"/>
      <c r="T285" s="12"/>
      <c r="U285" s="12" t="str">
        <f t="shared" si="19"/>
        <v>Corrected</v>
      </c>
      <c r="V285" s="12" t="str">
        <f t="shared" si="16"/>
        <v>KHAN Jahan</v>
      </c>
      <c r="W285" s="13">
        <f t="shared" si="17"/>
        <v>44551</v>
      </c>
    </row>
    <row r="286" spans="1:23" ht="28.95" customHeight="1" x14ac:dyDescent="0.3">
      <c r="A286" s="28">
        <v>44467</v>
      </c>
      <c r="B286" s="12" t="s">
        <v>1678</v>
      </c>
      <c r="C286" s="12" t="s">
        <v>1674</v>
      </c>
      <c r="D286" s="5" t="s">
        <v>1675</v>
      </c>
      <c r="E286" s="5" t="s">
        <v>4173</v>
      </c>
      <c r="F286" s="11" t="s">
        <v>1676</v>
      </c>
      <c r="G286" s="12"/>
      <c r="H286" s="12" t="s">
        <v>9</v>
      </c>
      <c r="I286" s="11"/>
      <c r="J286" s="12" t="s">
        <v>1545</v>
      </c>
      <c r="K286" s="12" t="str">
        <f t="shared" si="18"/>
        <v>Closed</v>
      </c>
      <c r="L286" s="13">
        <v>44525</v>
      </c>
      <c r="M286" s="12" t="s">
        <v>1679</v>
      </c>
      <c r="N286" s="12"/>
      <c r="O286" s="12"/>
      <c r="P286" s="12" t="s">
        <v>3790</v>
      </c>
      <c r="Q286" s="12"/>
      <c r="R286" s="12"/>
      <c r="S286" s="12"/>
      <c r="T286" s="12"/>
      <c r="U286" s="12" t="str">
        <f t="shared" si="19"/>
        <v>Corrected</v>
      </c>
      <c r="V286" s="12" t="str">
        <f t="shared" si="16"/>
        <v>KHAN Jahan</v>
      </c>
      <c r="W286" s="13">
        <f t="shared" si="17"/>
        <v>44525</v>
      </c>
    </row>
    <row r="287" spans="1:23" ht="14.4" customHeight="1" x14ac:dyDescent="0.3">
      <c r="A287" s="28">
        <v>44467</v>
      </c>
      <c r="B287" s="12" t="s">
        <v>1680</v>
      </c>
      <c r="C287" s="12" t="s">
        <v>1674</v>
      </c>
      <c r="D287" s="5" t="s">
        <v>1675</v>
      </c>
      <c r="E287" s="5" t="s">
        <v>4174</v>
      </c>
      <c r="F287" s="11" t="s">
        <v>1676</v>
      </c>
      <c r="G287" s="12"/>
      <c r="H287" s="12" t="s">
        <v>9</v>
      </c>
      <c r="I287" s="11"/>
      <c r="J287" s="12" t="s">
        <v>1545</v>
      </c>
      <c r="K287" s="12" t="str">
        <f t="shared" si="18"/>
        <v>Closed</v>
      </c>
      <c r="L287" s="13">
        <v>44525</v>
      </c>
      <c r="M287" s="12" t="s">
        <v>1681</v>
      </c>
      <c r="N287" s="12"/>
      <c r="O287" s="12"/>
      <c r="P287" s="12" t="s">
        <v>3790</v>
      </c>
      <c r="Q287" s="12"/>
      <c r="R287" s="12"/>
      <c r="S287" s="12"/>
      <c r="T287" s="12"/>
      <c r="U287" s="12" t="str">
        <f t="shared" si="19"/>
        <v>Corrected</v>
      </c>
      <c r="V287" s="12" t="str">
        <f t="shared" si="16"/>
        <v>KHAN Jahan</v>
      </c>
      <c r="W287" s="13">
        <f t="shared" si="17"/>
        <v>44525</v>
      </c>
    </row>
    <row r="288" spans="1:23" ht="14.4" customHeight="1" x14ac:dyDescent="0.3">
      <c r="A288" s="28">
        <v>44467</v>
      </c>
      <c r="B288" s="12" t="s">
        <v>1682</v>
      </c>
      <c r="C288" s="12" t="s">
        <v>1674</v>
      </c>
      <c r="D288" s="5" t="s">
        <v>1675</v>
      </c>
      <c r="E288" s="5" t="s">
        <v>4175</v>
      </c>
      <c r="F288" s="11" t="s">
        <v>1676</v>
      </c>
      <c r="G288" s="12"/>
      <c r="H288" s="12" t="s">
        <v>9</v>
      </c>
      <c r="I288" s="11"/>
      <c r="J288" s="12" t="s">
        <v>1545</v>
      </c>
      <c r="K288" s="12" t="str">
        <f t="shared" si="18"/>
        <v>Closed</v>
      </c>
      <c r="L288" s="13">
        <v>44525</v>
      </c>
      <c r="M288" s="12" t="s">
        <v>1683</v>
      </c>
      <c r="N288" s="12"/>
      <c r="O288" s="12"/>
      <c r="P288" s="12" t="s">
        <v>3790</v>
      </c>
      <c r="Q288" s="12"/>
      <c r="R288" s="12"/>
      <c r="S288" s="12"/>
      <c r="T288" s="12"/>
      <c r="U288" s="12" t="str">
        <f t="shared" si="19"/>
        <v>Corrected</v>
      </c>
      <c r="V288" s="12" t="str">
        <f t="shared" si="16"/>
        <v>KHAN Jahan</v>
      </c>
      <c r="W288" s="13">
        <f t="shared" si="17"/>
        <v>44525</v>
      </c>
    </row>
    <row r="289" spans="1:23" ht="14.4" customHeight="1" x14ac:dyDescent="0.3">
      <c r="A289" s="28">
        <v>44497</v>
      </c>
      <c r="B289" s="12" t="s">
        <v>1686</v>
      </c>
      <c r="C289" s="12" t="s">
        <v>1687</v>
      </c>
      <c r="D289" s="5" t="s">
        <v>1675</v>
      </c>
      <c r="E289" s="12">
        <v>605</v>
      </c>
      <c r="F289" s="14" t="s">
        <v>4176</v>
      </c>
      <c r="G289" s="12"/>
      <c r="H289" s="12" t="s">
        <v>11</v>
      </c>
      <c r="I289" s="11"/>
      <c r="J289" s="12" t="s">
        <v>1545</v>
      </c>
      <c r="K289" s="12" t="str">
        <f t="shared" si="18"/>
        <v>Closed</v>
      </c>
      <c r="L289" s="13">
        <v>44551</v>
      </c>
      <c r="M289" s="12" t="s">
        <v>1688</v>
      </c>
      <c r="N289" s="12"/>
      <c r="O289" s="12"/>
      <c r="P289" s="12" t="s">
        <v>3790</v>
      </c>
      <c r="Q289" s="12"/>
      <c r="R289" s="12"/>
      <c r="S289" s="12"/>
      <c r="T289" s="12"/>
      <c r="U289" s="12" t="str">
        <f t="shared" si="19"/>
        <v>Corrected</v>
      </c>
      <c r="V289" s="12" t="str">
        <f t="shared" si="16"/>
        <v>FIRDUS Ahmad</v>
      </c>
      <c r="W289" s="13">
        <f t="shared" si="17"/>
        <v>44551</v>
      </c>
    </row>
    <row r="290" spans="1:23" ht="14.4" customHeight="1" x14ac:dyDescent="0.3">
      <c r="A290" s="28">
        <v>44497</v>
      </c>
      <c r="B290" s="12" t="s">
        <v>1689</v>
      </c>
      <c r="C290" s="12" t="s">
        <v>1690</v>
      </c>
      <c r="D290" s="5" t="s">
        <v>1675</v>
      </c>
      <c r="E290" s="12">
        <v>615</v>
      </c>
      <c r="F290" s="14" t="s">
        <v>4177</v>
      </c>
      <c r="G290" s="12"/>
      <c r="H290" s="12" t="s">
        <v>11</v>
      </c>
      <c r="I290" s="11"/>
      <c r="J290" s="12" t="s">
        <v>1545</v>
      </c>
      <c r="K290" s="12" t="str">
        <f t="shared" si="18"/>
        <v>Closed</v>
      </c>
      <c r="L290" s="13">
        <v>44551</v>
      </c>
      <c r="M290" s="12" t="s">
        <v>1691</v>
      </c>
      <c r="N290" s="12"/>
      <c r="O290" s="12"/>
      <c r="P290" s="12" t="s">
        <v>2788</v>
      </c>
      <c r="Q290" s="12"/>
      <c r="R290" s="12"/>
      <c r="S290" s="12"/>
      <c r="T290" s="12"/>
      <c r="U290" s="12" t="str">
        <f t="shared" si="19"/>
        <v>Corrected</v>
      </c>
      <c r="V290" s="12" t="str">
        <f t="shared" si="16"/>
        <v>FIRDUS Ahmad</v>
      </c>
      <c r="W290" s="13">
        <f t="shared" si="17"/>
        <v>44551</v>
      </c>
    </row>
    <row r="291" spans="1:23" ht="28.95" customHeight="1" x14ac:dyDescent="0.3">
      <c r="A291" s="28">
        <v>44497</v>
      </c>
      <c r="B291" s="12" t="s">
        <v>1697</v>
      </c>
      <c r="C291" s="12" t="s">
        <v>1687</v>
      </c>
      <c r="D291" s="5" t="s">
        <v>1675</v>
      </c>
      <c r="E291" s="12">
        <v>424</v>
      </c>
      <c r="F291" s="11" t="s">
        <v>1698</v>
      </c>
      <c r="G291" s="12" t="s">
        <v>1</v>
      </c>
      <c r="H291" s="12" t="s">
        <v>11</v>
      </c>
      <c r="I291" s="11"/>
      <c r="J291" s="12" t="s">
        <v>1545</v>
      </c>
      <c r="K291" s="12" t="str">
        <f t="shared" si="18"/>
        <v>Closed</v>
      </c>
      <c r="L291" s="13">
        <v>44551</v>
      </c>
      <c r="M291" s="12" t="s">
        <v>1699</v>
      </c>
      <c r="N291" s="12"/>
      <c r="O291" s="12"/>
      <c r="P291" s="12" t="s">
        <v>3790</v>
      </c>
      <c r="Q291" s="12"/>
      <c r="R291" s="12"/>
      <c r="S291" s="12"/>
      <c r="T291" s="12"/>
      <c r="U291" s="12" t="str">
        <f t="shared" si="19"/>
        <v>Corrected</v>
      </c>
      <c r="V291" s="12" t="str">
        <f t="shared" si="16"/>
        <v>FIRDUS Ahmad</v>
      </c>
      <c r="W291" s="13">
        <f t="shared" si="17"/>
        <v>44551</v>
      </c>
    </row>
    <row r="292" spans="1:23" ht="14.4" customHeight="1" x14ac:dyDescent="0.3">
      <c r="A292" s="28">
        <v>44497</v>
      </c>
      <c r="B292" s="12" t="s">
        <v>1700</v>
      </c>
      <c r="C292" s="12" t="s">
        <v>1690</v>
      </c>
      <c r="D292" s="5"/>
      <c r="E292" s="5" t="s">
        <v>4178</v>
      </c>
      <c r="F292" s="11" t="s">
        <v>1701</v>
      </c>
      <c r="G292" s="12"/>
      <c r="H292" s="12" t="s">
        <v>11</v>
      </c>
      <c r="I292" s="14" t="s">
        <v>4179</v>
      </c>
      <c r="J292" s="12" t="s">
        <v>1545</v>
      </c>
      <c r="K292" s="12" t="str">
        <f t="shared" si="18"/>
        <v>Closed</v>
      </c>
      <c r="L292" s="13">
        <v>44504</v>
      </c>
      <c r="M292" s="5" t="s">
        <v>4180</v>
      </c>
      <c r="N292" s="12"/>
      <c r="O292" s="12"/>
      <c r="P292" s="12" t="s">
        <v>2788</v>
      </c>
      <c r="Q292" s="12"/>
      <c r="R292" s="12"/>
      <c r="S292" s="12"/>
      <c r="T292" s="12"/>
      <c r="U292" s="12" t="str">
        <f t="shared" si="19"/>
        <v>Corrected</v>
      </c>
      <c r="V292" s="12" t="str">
        <f t="shared" si="16"/>
        <v>FIRDUS Ahmad</v>
      </c>
      <c r="W292" s="13">
        <f t="shared" si="17"/>
        <v>44504</v>
      </c>
    </row>
    <row r="293" spans="1:23" ht="28.95" customHeight="1" x14ac:dyDescent="0.3">
      <c r="A293" s="28">
        <v>44497</v>
      </c>
      <c r="B293" s="12" t="s">
        <v>1702</v>
      </c>
      <c r="C293" s="12" t="s">
        <v>1703</v>
      </c>
      <c r="D293" s="5" t="s">
        <v>1704</v>
      </c>
      <c r="E293" s="12">
        <v>404</v>
      </c>
      <c r="F293" s="11" t="s">
        <v>1705</v>
      </c>
      <c r="G293" s="12"/>
      <c r="H293" s="12" t="s">
        <v>11</v>
      </c>
      <c r="I293" s="11" t="s">
        <v>3578</v>
      </c>
      <c r="J293" s="12" t="s">
        <v>1574</v>
      </c>
      <c r="K293" s="12" t="str">
        <f t="shared" si="18"/>
        <v>Closed</v>
      </c>
      <c r="L293" s="13">
        <v>44649</v>
      </c>
      <c r="M293" s="12"/>
      <c r="N293" s="12" t="s">
        <v>2528</v>
      </c>
      <c r="O293" s="12"/>
      <c r="P293" s="12" t="s">
        <v>3790</v>
      </c>
      <c r="Q293" s="12"/>
      <c r="R293" s="12"/>
      <c r="S293" s="12"/>
      <c r="T293" s="12"/>
      <c r="U293" s="12" t="str">
        <f t="shared" si="19"/>
        <v>NFF</v>
      </c>
      <c r="V293" s="12" t="str">
        <f t="shared" si="16"/>
        <v>FIRDUS Ahmad</v>
      </c>
      <c r="W293" s="13">
        <f t="shared" si="17"/>
        <v>44649</v>
      </c>
    </row>
    <row r="294" spans="1:23" ht="14.4" customHeight="1" x14ac:dyDescent="0.3">
      <c r="A294" s="28">
        <v>44497</v>
      </c>
      <c r="B294" s="12" t="s">
        <v>1706</v>
      </c>
      <c r="C294" s="12" t="s">
        <v>1690</v>
      </c>
      <c r="D294" s="5" t="s">
        <v>1675</v>
      </c>
      <c r="E294" s="12">
        <v>651</v>
      </c>
      <c r="F294" s="11" t="s">
        <v>1707</v>
      </c>
      <c r="G294" s="12" t="s">
        <v>4</v>
      </c>
      <c r="H294" s="12" t="s">
        <v>9</v>
      </c>
      <c r="I294" s="11"/>
      <c r="J294" s="12" t="s">
        <v>1574</v>
      </c>
      <c r="K294" s="12" t="str">
        <f t="shared" si="18"/>
        <v>Closed</v>
      </c>
      <c r="L294" s="13">
        <v>44529</v>
      </c>
      <c r="M294" s="12"/>
      <c r="N294" s="12"/>
      <c r="O294" s="12"/>
      <c r="P294" s="12" t="s">
        <v>3790</v>
      </c>
      <c r="Q294" s="12"/>
      <c r="R294" s="12"/>
      <c r="S294" s="12"/>
      <c r="T294" s="12"/>
      <c r="U294" s="12" t="str">
        <f t="shared" si="19"/>
        <v>NFF</v>
      </c>
      <c r="V294" s="12" t="str">
        <f t="shared" si="16"/>
        <v>KHAN Jahan</v>
      </c>
      <c r="W294" s="13">
        <f t="shared" si="17"/>
        <v>44529</v>
      </c>
    </row>
    <row r="295" spans="1:23" ht="28.95" customHeight="1" x14ac:dyDescent="0.3">
      <c r="A295" s="28">
        <v>44500</v>
      </c>
      <c r="B295" s="12" t="s">
        <v>1708</v>
      </c>
      <c r="C295" s="12" t="s">
        <v>1687</v>
      </c>
      <c r="D295" s="5" t="s">
        <v>1675</v>
      </c>
      <c r="E295" s="12">
        <v>418</v>
      </c>
      <c r="F295" s="11" t="s">
        <v>4181</v>
      </c>
      <c r="G295" s="12"/>
      <c r="H295" s="12" t="s">
        <v>14</v>
      </c>
      <c r="I295" s="11"/>
      <c r="J295" s="12" t="s">
        <v>1545</v>
      </c>
      <c r="K295" s="12" t="str">
        <f t="shared" si="18"/>
        <v>Closed</v>
      </c>
      <c r="L295" s="13">
        <v>44550</v>
      </c>
      <c r="M295" s="12" t="s">
        <v>1709</v>
      </c>
      <c r="N295" s="12"/>
      <c r="O295" s="12"/>
      <c r="P295" s="12" t="s">
        <v>3790</v>
      </c>
      <c r="Q295" s="12"/>
      <c r="R295" s="12"/>
      <c r="S295" s="12"/>
      <c r="T295" s="12"/>
      <c r="U295" s="12" t="str">
        <f t="shared" si="19"/>
        <v>Corrected</v>
      </c>
      <c r="V295" s="12" t="str">
        <f t="shared" si="16"/>
        <v>GUAN Jialin</v>
      </c>
      <c r="W295" s="13">
        <f t="shared" si="17"/>
        <v>44550</v>
      </c>
    </row>
    <row r="296" spans="1:23" ht="14.4" customHeight="1" x14ac:dyDescent="0.3">
      <c r="A296" s="28">
        <v>44500</v>
      </c>
      <c r="B296" s="12" t="s">
        <v>1710</v>
      </c>
      <c r="C296" s="12" t="s">
        <v>1690</v>
      </c>
      <c r="D296" s="5" t="s">
        <v>1675</v>
      </c>
      <c r="E296" s="12">
        <v>422</v>
      </c>
      <c r="F296" s="11"/>
      <c r="G296" s="12" t="s">
        <v>7</v>
      </c>
      <c r="H296" s="12" t="s">
        <v>11</v>
      </c>
      <c r="I296" s="11"/>
      <c r="J296" s="12" t="s">
        <v>1545</v>
      </c>
      <c r="K296" s="12" t="str">
        <f t="shared" si="18"/>
        <v>Closed</v>
      </c>
      <c r="L296" s="13">
        <v>44551</v>
      </c>
      <c r="M296" s="12" t="s">
        <v>97</v>
      </c>
      <c r="N296" s="12"/>
      <c r="O296" s="12"/>
      <c r="P296" s="12" t="s">
        <v>3790</v>
      </c>
      <c r="Q296" s="12"/>
      <c r="R296" s="12"/>
      <c r="S296" s="12"/>
      <c r="T296" s="12"/>
      <c r="U296" s="12" t="str">
        <f t="shared" si="19"/>
        <v>Corrected</v>
      </c>
      <c r="V296" s="12" t="str">
        <f t="shared" si="16"/>
        <v>FIRDUS Ahmad</v>
      </c>
      <c r="W296" s="13">
        <f t="shared" si="17"/>
        <v>44551</v>
      </c>
    </row>
    <row r="297" spans="1:23" ht="14.4" customHeight="1" x14ac:dyDescent="0.3">
      <c r="A297" s="28">
        <v>44500</v>
      </c>
      <c r="B297" s="12" t="s">
        <v>1711</v>
      </c>
      <c r="C297" s="12" t="s">
        <v>1542</v>
      </c>
      <c r="D297" s="5" t="s">
        <v>1712</v>
      </c>
      <c r="E297" s="12">
        <v>407</v>
      </c>
      <c r="F297" s="14" t="s">
        <v>4182</v>
      </c>
      <c r="G297" s="12" t="s">
        <v>1</v>
      </c>
      <c r="H297" s="12" t="s">
        <v>11</v>
      </c>
      <c r="I297" s="11"/>
      <c r="J297" s="12" t="s">
        <v>1545</v>
      </c>
      <c r="K297" s="12" t="str">
        <f t="shared" si="18"/>
        <v>Closed</v>
      </c>
      <c r="L297" s="13">
        <v>44551</v>
      </c>
      <c r="M297" s="12" t="s">
        <v>100</v>
      </c>
      <c r="N297" s="12"/>
      <c r="O297" s="12"/>
      <c r="P297" s="12" t="s">
        <v>3790</v>
      </c>
      <c r="Q297" s="12"/>
      <c r="R297" s="12"/>
      <c r="S297" s="12"/>
      <c r="T297" s="12"/>
      <c r="U297" s="12" t="str">
        <f t="shared" si="19"/>
        <v>Corrected</v>
      </c>
      <c r="V297" s="12" t="str">
        <f t="shared" si="16"/>
        <v>FIRDUS Ahmad</v>
      </c>
      <c r="W297" s="13">
        <f t="shared" si="17"/>
        <v>44551</v>
      </c>
    </row>
    <row r="298" spans="1:23" ht="14.4" customHeight="1" x14ac:dyDescent="0.3">
      <c r="A298" s="28">
        <v>44500</v>
      </c>
      <c r="B298" s="12" t="s">
        <v>1713</v>
      </c>
      <c r="C298" s="12" t="s">
        <v>1690</v>
      </c>
      <c r="D298" s="5" t="s">
        <v>1675</v>
      </c>
      <c r="E298" s="12">
        <v>417</v>
      </c>
      <c r="F298" s="11" t="s">
        <v>1714</v>
      </c>
      <c r="G298" s="12"/>
      <c r="H298" s="12" t="s">
        <v>11</v>
      </c>
      <c r="I298" s="11"/>
      <c r="J298" s="12" t="s">
        <v>1574</v>
      </c>
      <c r="K298" s="12" t="str">
        <f t="shared" si="18"/>
        <v>Closed</v>
      </c>
      <c r="L298" s="13">
        <v>44523</v>
      </c>
      <c r="M298" s="12"/>
      <c r="N298" s="12" t="s">
        <v>2528</v>
      </c>
      <c r="O298" s="12"/>
      <c r="P298" s="12" t="s">
        <v>2788</v>
      </c>
      <c r="Q298" s="12"/>
      <c r="R298" s="12"/>
      <c r="S298" s="12"/>
      <c r="T298" s="12"/>
      <c r="U298" s="12" t="str">
        <f t="shared" si="19"/>
        <v>NFF</v>
      </c>
      <c r="V298" s="12" t="str">
        <f t="shared" si="16"/>
        <v>FIRDUS Ahmad</v>
      </c>
      <c r="W298" s="13">
        <f t="shared" si="17"/>
        <v>44523</v>
      </c>
    </row>
    <row r="299" spans="1:23" ht="14.4" customHeight="1" x14ac:dyDescent="0.3">
      <c r="A299" s="28">
        <v>44500</v>
      </c>
      <c r="B299" s="12" t="s">
        <v>1715</v>
      </c>
      <c r="C299" s="12" t="s">
        <v>1716</v>
      </c>
      <c r="D299" s="5" t="s">
        <v>1675</v>
      </c>
      <c r="E299" s="12" t="s">
        <v>1717</v>
      </c>
      <c r="F299" s="11" t="s">
        <v>1718</v>
      </c>
      <c r="G299" s="12" t="s">
        <v>7</v>
      </c>
      <c r="H299" s="12" t="s">
        <v>17</v>
      </c>
      <c r="I299" s="11" t="s">
        <v>3676</v>
      </c>
      <c r="J299" s="12" t="s">
        <v>1574</v>
      </c>
      <c r="K299" s="12" t="str">
        <f t="shared" si="18"/>
        <v>Closed</v>
      </c>
      <c r="L299" s="13">
        <v>44657</v>
      </c>
      <c r="M299" s="12"/>
      <c r="N299" s="12"/>
      <c r="O299" s="12"/>
      <c r="P299" s="12" t="s">
        <v>3790</v>
      </c>
      <c r="Q299" s="12"/>
      <c r="R299" s="12"/>
      <c r="S299" s="12"/>
      <c r="T299" s="13" t="s">
        <v>1547</v>
      </c>
      <c r="U299" s="12" t="str">
        <f t="shared" si="19"/>
        <v>NFF</v>
      </c>
      <c r="V299" s="12" t="str">
        <f t="shared" si="16"/>
        <v>FATHI Charafeddine</v>
      </c>
      <c r="W299" s="13">
        <f t="shared" si="17"/>
        <v>44657</v>
      </c>
    </row>
    <row r="300" spans="1:23" ht="14.4" customHeight="1" x14ac:dyDescent="0.3">
      <c r="A300" s="28">
        <v>44503</v>
      </c>
      <c r="B300" s="12" t="s">
        <v>1719</v>
      </c>
      <c r="C300" s="12" t="s">
        <v>1690</v>
      </c>
      <c r="D300" s="5" t="s">
        <v>1675</v>
      </c>
      <c r="E300" s="5" t="s">
        <v>4183</v>
      </c>
      <c r="F300" s="11" t="s">
        <v>1720</v>
      </c>
      <c r="G300" s="12"/>
      <c r="H300" s="12" t="s">
        <v>11</v>
      </c>
      <c r="I300" s="14" t="s">
        <v>4184</v>
      </c>
      <c r="J300" s="12" t="s">
        <v>1545</v>
      </c>
      <c r="K300" s="12" t="str">
        <f t="shared" si="18"/>
        <v>Closed</v>
      </c>
      <c r="L300" s="13">
        <v>44503</v>
      </c>
      <c r="M300" s="12"/>
      <c r="N300" s="12"/>
      <c r="O300" s="12"/>
      <c r="P300" s="12" t="s">
        <v>2788</v>
      </c>
      <c r="Q300" s="12"/>
      <c r="R300" s="12"/>
      <c r="S300" s="12"/>
      <c r="T300" s="12"/>
      <c r="U300" s="12" t="str">
        <f t="shared" si="19"/>
        <v>Corrected</v>
      </c>
      <c r="V300" s="12" t="str">
        <f t="shared" si="16"/>
        <v>FIRDUS Ahmad</v>
      </c>
      <c r="W300" s="13">
        <f t="shared" si="17"/>
        <v>44503</v>
      </c>
    </row>
    <row r="301" spans="1:23" ht="28.95" customHeight="1" x14ac:dyDescent="0.3">
      <c r="A301" s="28">
        <v>44513</v>
      </c>
      <c r="B301" s="12" t="s">
        <v>1721</v>
      </c>
      <c r="C301" s="12" t="s">
        <v>1690</v>
      </c>
      <c r="D301" s="5" t="s">
        <v>1722</v>
      </c>
      <c r="E301" s="12">
        <v>406</v>
      </c>
      <c r="F301" s="14" t="s">
        <v>4185</v>
      </c>
      <c r="G301" s="12"/>
      <c r="H301" s="12" t="s">
        <v>14</v>
      </c>
      <c r="I301" s="14" t="s">
        <v>4186</v>
      </c>
      <c r="J301" s="12" t="s">
        <v>1545</v>
      </c>
      <c r="K301" s="12" t="str">
        <f t="shared" si="18"/>
        <v>Closed</v>
      </c>
      <c r="L301" s="13">
        <v>44513</v>
      </c>
      <c r="M301" s="12" t="s">
        <v>1723</v>
      </c>
      <c r="N301" s="12"/>
      <c r="O301" s="12"/>
      <c r="P301" s="12" t="s">
        <v>3790</v>
      </c>
      <c r="Q301" s="12"/>
      <c r="R301" s="12"/>
      <c r="S301" s="12"/>
      <c r="T301" s="12"/>
      <c r="U301" s="12" t="str">
        <f t="shared" si="19"/>
        <v>Corrected</v>
      </c>
      <c r="V301" s="12" t="str">
        <f t="shared" si="16"/>
        <v>GUAN Jialin</v>
      </c>
      <c r="W301" s="13">
        <f t="shared" si="17"/>
        <v>44513</v>
      </c>
    </row>
    <row r="302" spans="1:23" ht="14.4" customHeight="1" x14ac:dyDescent="0.3">
      <c r="A302" s="28">
        <v>44513</v>
      </c>
      <c r="B302" s="12" t="s">
        <v>1724</v>
      </c>
      <c r="C302" s="12" t="s">
        <v>1690</v>
      </c>
      <c r="D302" s="5" t="s">
        <v>1722</v>
      </c>
      <c r="E302" s="12">
        <v>423</v>
      </c>
      <c r="F302" s="14" t="s">
        <v>4187</v>
      </c>
      <c r="G302" s="12"/>
      <c r="H302" s="12" t="s">
        <v>11</v>
      </c>
      <c r="I302" s="11" t="s">
        <v>1725</v>
      </c>
      <c r="J302" s="12" t="s">
        <v>1574</v>
      </c>
      <c r="K302" s="12" t="str">
        <f t="shared" si="18"/>
        <v>Closed</v>
      </c>
      <c r="L302" s="13">
        <v>44551</v>
      </c>
      <c r="M302" s="12"/>
      <c r="N302" s="12"/>
      <c r="O302" s="12"/>
      <c r="P302" s="12" t="s">
        <v>3790</v>
      </c>
      <c r="Q302" s="12"/>
      <c r="R302" s="12"/>
      <c r="S302" s="12"/>
      <c r="T302" s="12"/>
      <c r="U302" s="12" t="str">
        <f t="shared" si="19"/>
        <v>NFF</v>
      </c>
      <c r="V302" s="12" t="str">
        <f t="shared" si="16"/>
        <v>FIRDUS Ahmad</v>
      </c>
      <c r="W302" s="13">
        <f t="shared" si="17"/>
        <v>44551</v>
      </c>
    </row>
    <row r="303" spans="1:23" ht="28.95" customHeight="1" x14ac:dyDescent="0.3">
      <c r="A303" s="28">
        <v>44513</v>
      </c>
      <c r="B303" s="12" t="s">
        <v>1726</v>
      </c>
      <c r="C303" s="12" t="s">
        <v>1690</v>
      </c>
      <c r="D303" s="5" t="s">
        <v>1722</v>
      </c>
      <c r="E303" s="12">
        <v>421</v>
      </c>
      <c r="F303" s="14" t="s">
        <v>4188</v>
      </c>
      <c r="G303" s="12"/>
      <c r="H303" s="12" t="s">
        <v>11</v>
      </c>
      <c r="I303" s="11" t="s">
        <v>3579</v>
      </c>
      <c r="J303" s="12" t="s">
        <v>1574</v>
      </c>
      <c r="K303" s="12" t="str">
        <f t="shared" si="18"/>
        <v>Closed</v>
      </c>
      <c r="L303" s="13">
        <v>44529</v>
      </c>
      <c r="M303" s="12"/>
      <c r="N303" s="12" t="s">
        <v>4429</v>
      </c>
      <c r="O303" s="12"/>
      <c r="P303" s="12" t="s">
        <v>3790</v>
      </c>
      <c r="Q303" s="12"/>
      <c r="R303" s="12"/>
      <c r="S303" s="12"/>
      <c r="T303" s="12"/>
      <c r="U303" s="12" t="str">
        <f t="shared" si="19"/>
        <v>NFF</v>
      </c>
      <c r="V303" s="12" t="str">
        <f t="shared" si="16"/>
        <v>FIRDUS Ahmad</v>
      </c>
      <c r="W303" s="13">
        <f t="shared" si="17"/>
        <v>44529</v>
      </c>
    </row>
    <row r="304" spans="1:23" ht="14.4" customHeight="1" x14ac:dyDescent="0.3">
      <c r="A304" s="28">
        <v>44513</v>
      </c>
      <c r="B304" s="12" t="s">
        <v>1727</v>
      </c>
      <c r="C304" s="12" t="s">
        <v>1690</v>
      </c>
      <c r="D304" s="5" t="s">
        <v>1722</v>
      </c>
      <c r="E304" s="12">
        <v>409</v>
      </c>
      <c r="F304" s="14" t="s">
        <v>4189</v>
      </c>
      <c r="G304" s="12"/>
      <c r="H304" s="12" t="s">
        <v>11</v>
      </c>
      <c r="I304" s="11" t="s">
        <v>1728</v>
      </c>
      <c r="J304" s="12" t="s">
        <v>1574</v>
      </c>
      <c r="K304" s="12" t="str">
        <f t="shared" si="18"/>
        <v>Closed</v>
      </c>
      <c r="L304" s="13">
        <v>44529</v>
      </c>
      <c r="M304" s="12"/>
      <c r="N304" s="12" t="s">
        <v>3465</v>
      </c>
      <c r="O304" s="12"/>
      <c r="P304" s="12" t="s">
        <v>3790</v>
      </c>
      <c r="Q304" s="12"/>
      <c r="R304" s="12"/>
      <c r="S304" s="12"/>
      <c r="T304" s="12"/>
      <c r="U304" s="12" t="str">
        <f t="shared" si="19"/>
        <v>NFF</v>
      </c>
      <c r="V304" s="12" t="str">
        <f t="shared" si="16"/>
        <v>FIRDUS Ahmad</v>
      </c>
      <c r="W304" s="13">
        <f t="shared" si="17"/>
        <v>44529</v>
      </c>
    </row>
    <row r="305" spans="1:23" ht="28.95" customHeight="1" x14ac:dyDescent="0.3">
      <c r="A305" s="28">
        <v>44514</v>
      </c>
      <c r="B305" s="12" t="s">
        <v>1729</v>
      </c>
      <c r="C305" s="12" t="s">
        <v>1690</v>
      </c>
      <c r="D305" s="5" t="s">
        <v>1722</v>
      </c>
      <c r="E305" s="12">
        <v>421</v>
      </c>
      <c r="F305" s="14" t="s">
        <v>4190</v>
      </c>
      <c r="G305" s="12"/>
      <c r="H305" s="12" t="s">
        <v>14</v>
      </c>
      <c r="I305" s="11" t="s">
        <v>1730</v>
      </c>
      <c r="J305" s="12" t="s">
        <v>1545</v>
      </c>
      <c r="K305" s="12" t="str">
        <f t="shared" si="18"/>
        <v>Closed</v>
      </c>
      <c r="L305" s="13">
        <v>44516</v>
      </c>
      <c r="M305" s="12"/>
      <c r="N305" s="12"/>
      <c r="O305" s="12"/>
      <c r="P305" s="12" t="s">
        <v>3790</v>
      </c>
      <c r="Q305" s="12"/>
      <c r="R305" s="12"/>
      <c r="S305" s="12"/>
      <c r="T305" s="12"/>
      <c r="U305" s="12" t="str">
        <f t="shared" si="19"/>
        <v>Corrected</v>
      </c>
      <c r="V305" s="12" t="str">
        <f t="shared" si="16"/>
        <v>GUAN Jialin</v>
      </c>
      <c r="W305" s="13">
        <f t="shared" si="17"/>
        <v>44516</v>
      </c>
    </row>
    <row r="306" spans="1:23" ht="14.4" customHeight="1" x14ac:dyDescent="0.3">
      <c r="A306" s="28">
        <v>44514</v>
      </c>
      <c r="B306" s="12" t="s">
        <v>1731</v>
      </c>
      <c r="C306" s="12" t="s">
        <v>1690</v>
      </c>
      <c r="D306" s="5" t="s">
        <v>1722</v>
      </c>
      <c r="E306" s="12">
        <v>401</v>
      </c>
      <c r="F306" s="14" t="s">
        <v>4191</v>
      </c>
      <c r="G306" s="12"/>
      <c r="H306" s="12" t="s">
        <v>11</v>
      </c>
      <c r="I306" s="11"/>
      <c r="J306" s="12" t="s">
        <v>1545</v>
      </c>
      <c r="K306" s="12" t="str">
        <f t="shared" si="18"/>
        <v>Closed</v>
      </c>
      <c r="L306" s="13">
        <v>44542</v>
      </c>
      <c r="M306" s="5" t="s">
        <v>4192</v>
      </c>
      <c r="N306" s="12"/>
      <c r="O306" s="12"/>
      <c r="P306" s="12" t="s">
        <v>3790</v>
      </c>
      <c r="Q306" s="12"/>
      <c r="R306" s="12"/>
      <c r="S306" s="12"/>
      <c r="T306" s="12"/>
      <c r="U306" s="12" t="str">
        <f t="shared" si="19"/>
        <v>Corrected</v>
      </c>
      <c r="V306" s="12" t="str">
        <f t="shared" si="16"/>
        <v>FIRDUS Ahmad</v>
      </c>
      <c r="W306" s="13">
        <f t="shared" si="17"/>
        <v>44542</v>
      </c>
    </row>
    <row r="307" spans="1:23" ht="14.4" customHeight="1" x14ac:dyDescent="0.3">
      <c r="A307" s="28">
        <v>44514</v>
      </c>
      <c r="B307" s="12" t="s">
        <v>1732</v>
      </c>
      <c r="C307" s="12" t="s">
        <v>1690</v>
      </c>
      <c r="D307" s="5" t="s">
        <v>1722</v>
      </c>
      <c r="E307" s="12">
        <v>412</v>
      </c>
      <c r="F307" s="14" t="s">
        <v>4193</v>
      </c>
      <c r="G307" s="12"/>
      <c r="H307" s="12" t="s">
        <v>14</v>
      </c>
      <c r="I307" s="14" t="s">
        <v>4194</v>
      </c>
      <c r="J307" s="12" t="s">
        <v>1545</v>
      </c>
      <c r="K307" s="12" t="str">
        <f t="shared" si="18"/>
        <v>Closed</v>
      </c>
      <c r="L307" s="13">
        <v>44525</v>
      </c>
      <c r="M307" s="12" t="s">
        <v>1733</v>
      </c>
      <c r="N307" s="12"/>
      <c r="O307" s="12"/>
      <c r="P307" s="12" t="s">
        <v>3790</v>
      </c>
      <c r="Q307" s="12"/>
      <c r="R307" s="12"/>
      <c r="S307" s="12"/>
      <c r="T307" s="12"/>
      <c r="U307" s="12" t="str">
        <f t="shared" si="19"/>
        <v>Corrected</v>
      </c>
      <c r="V307" s="12" t="str">
        <f t="shared" si="16"/>
        <v>GUAN Jialin</v>
      </c>
      <c r="W307" s="13">
        <f t="shared" si="17"/>
        <v>44525</v>
      </c>
    </row>
    <row r="308" spans="1:23" ht="14.4" customHeight="1" x14ac:dyDescent="0.3">
      <c r="A308" s="28">
        <v>44514</v>
      </c>
      <c r="B308" s="12" t="s">
        <v>1734</v>
      </c>
      <c r="C308" s="12" t="s">
        <v>1690</v>
      </c>
      <c r="D308" s="5" t="s">
        <v>1722</v>
      </c>
      <c r="E308" s="12">
        <v>603</v>
      </c>
      <c r="F308" s="14" t="s">
        <v>4195</v>
      </c>
      <c r="G308" s="12"/>
      <c r="H308" s="12" t="s">
        <v>14</v>
      </c>
      <c r="I308" s="11" t="s">
        <v>1735</v>
      </c>
      <c r="J308" s="12" t="s">
        <v>1545</v>
      </c>
      <c r="K308" s="12" t="str">
        <f t="shared" si="18"/>
        <v>Closed</v>
      </c>
      <c r="L308" s="13">
        <v>44539</v>
      </c>
      <c r="M308" s="12"/>
      <c r="N308" s="12"/>
      <c r="O308" s="12"/>
      <c r="P308" s="12" t="s">
        <v>3790</v>
      </c>
      <c r="Q308" s="12"/>
      <c r="R308" s="12"/>
      <c r="S308" s="12"/>
      <c r="T308" s="12"/>
      <c r="U308" s="12" t="str">
        <f t="shared" si="19"/>
        <v>Corrected</v>
      </c>
      <c r="V308" s="12" t="str">
        <f t="shared" si="16"/>
        <v>GUAN Jialin</v>
      </c>
      <c r="W308" s="13">
        <f t="shared" si="17"/>
        <v>44539</v>
      </c>
    </row>
    <row r="309" spans="1:23" ht="36.75" customHeight="1" x14ac:dyDescent="0.3">
      <c r="A309" s="28">
        <v>44514</v>
      </c>
      <c r="B309" s="12" t="s">
        <v>1736</v>
      </c>
      <c r="C309" s="12" t="s">
        <v>1690</v>
      </c>
      <c r="D309" s="5" t="s">
        <v>1722</v>
      </c>
      <c r="E309" s="12">
        <v>407</v>
      </c>
      <c r="F309" s="11" t="s">
        <v>1737</v>
      </c>
      <c r="G309" s="12"/>
      <c r="H309" s="12" t="s">
        <v>11</v>
      </c>
      <c r="I309" s="14" t="s">
        <v>4196</v>
      </c>
      <c r="J309" s="12" t="s">
        <v>1545</v>
      </c>
      <c r="K309" s="12" t="str">
        <f t="shared" si="18"/>
        <v>Closed</v>
      </c>
      <c r="L309" s="13">
        <v>44517</v>
      </c>
      <c r="M309" s="12" t="s">
        <v>1738</v>
      </c>
      <c r="N309" s="12"/>
      <c r="O309" s="12"/>
      <c r="P309" s="12" t="s">
        <v>2788</v>
      </c>
      <c r="Q309" s="12"/>
      <c r="R309" s="12"/>
      <c r="S309" s="12"/>
      <c r="T309" s="12"/>
      <c r="U309" s="12" t="str">
        <f t="shared" si="19"/>
        <v>Corrected</v>
      </c>
      <c r="V309" s="12" t="str">
        <f t="shared" si="16"/>
        <v>FIRDUS Ahmad</v>
      </c>
      <c r="W309" s="13">
        <f t="shared" si="17"/>
        <v>44517</v>
      </c>
    </row>
    <row r="310" spans="1:23" ht="43.2" customHeight="1" x14ac:dyDescent="0.3">
      <c r="A310" s="28">
        <v>44514</v>
      </c>
      <c r="B310" s="12" t="s">
        <v>1739</v>
      </c>
      <c r="C310" s="12" t="s">
        <v>1690</v>
      </c>
      <c r="D310" s="5" t="s">
        <v>1722</v>
      </c>
      <c r="E310" s="12">
        <v>614</v>
      </c>
      <c r="F310" s="14" t="s">
        <v>4197</v>
      </c>
      <c r="G310" s="12"/>
      <c r="H310" s="12" t="s">
        <v>14</v>
      </c>
      <c r="I310" s="11" t="s">
        <v>1730</v>
      </c>
      <c r="J310" s="12" t="s">
        <v>1545</v>
      </c>
      <c r="K310" s="12" t="str">
        <f t="shared" si="18"/>
        <v>Closed</v>
      </c>
      <c r="L310" s="13">
        <v>44522</v>
      </c>
      <c r="M310" s="12"/>
      <c r="N310" s="12"/>
      <c r="O310" s="12"/>
      <c r="P310" s="12" t="s">
        <v>2788</v>
      </c>
      <c r="Q310" s="12"/>
      <c r="R310" s="12"/>
      <c r="S310" s="12"/>
      <c r="T310" s="12"/>
      <c r="U310" s="12" t="str">
        <f t="shared" si="19"/>
        <v>Corrected</v>
      </c>
      <c r="V310" s="12" t="str">
        <f t="shared" si="16"/>
        <v>GUAN Jialin</v>
      </c>
      <c r="W310" s="13">
        <f t="shared" si="17"/>
        <v>44522</v>
      </c>
    </row>
    <row r="311" spans="1:23" ht="43.2" customHeight="1" x14ac:dyDescent="0.3">
      <c r="A311" s="28">
        <v>44514</v>
      </c>
      <c r="B311" s="12" t="s">
        <v>1740</v>
      </c>
      <c r="C311" s="12" t="s">
        <v>1690</v>
      </c>
      <c r="D311" s="5" t="s">
        <v>1722</v>
      </c>
      <c r="E311" s="12">
        <v>413</v>
      </c>
      <c r="F311" s="14" t="s">
        <v>4198</v>
      </c>
      <c r="G311" s="12"/>
      <c r="H311" s="12" t="s">
        <v>19</v>
      </c>
      <c r="I311" s="11" t="s">
        <v>1741</v>
      </c>
      <c r="J311" s="12" t="s">
        <v>1574</v>
      </c>
      <c r="K311" s="12" t="str">
        <f t="shared" si="18"/>
        <v>Closed</v>
      </c>
      <c r="L311" s="13">
        <v>44516</v>
      </c>
      <c r="M311" s="12"/>
      <c r="N311" s="12"/>
      <c r="O311" s="12"/>
      <c r="P311" s="12" t="s">
        <v>3790</v>
      </c>
      <c r="Q311" s="12"/>
      <c r="R311" s="12"/>
      <c r="S311" s="12"/>
      <c r="T311" s="12"/>
      <c r="U311" s="12" t="str">
        <f t="shared" si="19"/>
        <v>NFF</v>
      </c>
      <c r="V311" s="12" t="str">
        <f t="shared" si="16"/>
        <v>DAOUDI Mohamed</v>
      </c>
      <c r="W311" s="13">
        <f t="shared" si="17"/>
        <v>44516</v>
      </c>
    </row>
    <row r="312" spans="1:23" ht="43.2" customHeight="1" x14ac:dyDescent="0.3">
      <c r="A312" s="28">
        <v>44514</v>
      </c>
      <c r="B312" s="12" t="s">
        <v>1742</v>
      </c>
      <c r="C312" s="12" t="s">
        <v>1690</v>
      </c>
      <c r="D312" s="5" t="s">
        <v>1722</v>
      </c>
      <c r="E312" s="12">
        <v>414</v>
      </c>
      <c r="F312" s="14" t="s">
        <v>4199</v>
      </c>
      <c r="G312" s="12"/>
      <c r="H312" s="12" t="s">
        <v>14</v>
      </c>
      <c r="I312" s="11" t="s">
        <v>1744</v>
      </c>
      <c r="J312" s="12" t="s">
        <v>1545</v>
      </c>
      <c r="K312" s="12" t="str">
        <f t="shared" si="18"/>
        <v>Closed</v>
      </c>
      <c r="L312" s="13">
        <v>44516</v>
      </c>
      <c r="M312" s="12" t="s">
        <v>1743</v>
      </c>
      <c r="N312" s="12"/>
      <c r="O312" s="12"/>
      <c r="P312" s="12" t="s">
        <v>3790</v>
      </c>
      <c r="Q312" s="12"/>
      <c r="R312" s="12"/>
      <c r="S312" s="12"/>
      <c r="T312" s="12"/>
      <c r="U312" s="12" t="str">
        <f t="shared" si="19"/>
        <v>Corrected</v>
      </c>
      <c r="V312" s="12" t="str">
        <f t="shared" si="16"/>
        <v>GUAN Jialin</v>
      </c>
      <c r="W312" s="13">
        <f t="shared" si="17"/>
        <v>44516</v>
      </c>
    </row>
    <row r="313" spans="1:23" ht="14.4" customHeight="1" x14ac:dyDescent="0.3">
      <c r="A313" s="28">
        <v>44515</v>
      </c>
      <c r="B313" s="12" t="s">
        <v>1745</v>
      </c>
      <c r="C313" s="12" t="s">
        <v>1690</v>
      </c>
      <c r="D313" s="5" t="s">
        <v>1722</v>
      </c>
      <c r="E313" s="12">
        <v>617</v>
      </c>
      <c r="F313" s="14" t="s">
        <v>4200</v>
      </c>
      <c r="G313" s="12"/>
      <c r="H313" s="12" t="s">
        <v>19</v>
      </c>
      <c r="I313" s="11" t="s">
        <v>1746</v>
      </c>
      <c r="J313" s="12" t="s">
        <v>1545</v>
      </c>
      <c r="K313" s="12" t="str">
        <f t="shared" si="18"/>
        <v>Closed</v>
      </c>
      <c r="L313" s="13">
        <v>44525</v>
      </c>
      <c r="M313" s="12"/>
      <c r="N313" s="12"/>
      <c r="O313" s="12"/>
      <c r="P313" s="12" t="s">
        <v>3790</v>
      </c>
      <c r="Q313" s="12"/>
      <c r="R313" s="12"/>
      <c r="S313" s="12"/>
      <c r="T313" s="12"/>
      <c r="U313" s="12" t="str">
        <f t="shared" si="19"/>
        <v>Corrected</v>
      </c>
      <c r="V313" s="12" t="str">
        <f t="shared" si="16"/>
        <v>DAOUDI Mohamed</v>
      </c>
      <c r="W313" s="13">
        <f t="shared" si="17"/>
        <v>44525</v>
      </c>
    </row>
    <row r="314" spans="1:23" ht="14.4" customHeight="1" x14ac:dyDescent="0.3">
      <c r="A314" s="28">
        <v>44515</v>
      </c>
      <c r="B314" s="12" t="s">
        <v>1747</v>
      </c>
      <c r="C314" s="12" t="s">
        <v>1690</v>
      </c>
      <c r="D314" s="5" t="s">
        <v>1722</v>
      </c>
      <c r="E314" s="12">
        <v>612</v>
      </c>
      <c r="F314" s="14" t="s">
        <v>4201</v>
      </c>
      <c r="G314" s="12"/>
      <c r="H314" s="12" t="s">
        <v>9</v>
      </c>
      <c r="I314" s="11" t="s">
        <v>1749</v>
      </c>
      <c r="J314" s="12" t="s">
        <v>1545</v>
      </c>
      <c r="K314" s="12" t="str">
        <f t="shared" si="18"/>
        <v>Closed</v>
      </c>
      <c r="L314" s="13">
        <v>44515</v>
      </c>
      <c r="M314" s="12" t="s">
        <v>1748</v>
      </c>
      <c r="N314" s="12"/>
      <c r="O314" s="12"/>
      <c r="P314" s="12" t="s">
        <v>3790</v>
      </c>
      <c r="Q314" s="12"/>
      <c r="R314" s="12"/>
      <c r="S314" s="12"/>
      <c r="T314" s="12"/>
      <c r="U314" s="12" t="str">
        <f t="shared" si="19"/>
        <v>Corrected</v>
      </c>
      <c r="V314" s="12" t="str">
        <f t="shared" si="16"/>
        <v>KHAN Jahan</v>
      </c>
      <c r="W314" s="13">
        <f t="shared" si="17"/>
        <v>44515</v>
      </c>
    </row>
    <row r="315" spans="1:23" ht="14.4" customHeight="1" x14ac:dyDescent="0.3">
      <c r="A315" s="28">
        <v>44515</v>
      </c>
      <c r="B315" s="12" t="s">
        <v>1750</v>
      </c>
      <c r="C315" s="12" t="s">
        <v>1690</v>
      </c>
      <c r="D315" s="5" t="s">
        <v>1722</v>
      </c>
      <c r="E315" s="12">
        <v>403</v>
      </c>
      <c r="F315" s="14" t="s">
        <v>4202</v>
      </c>
      <c r="G315" s="12"/>
      <c r="H315" s="12" t="s">
        <v>14</v>
      </c>
      <c r="I315" s="11" t="s">
        <v>1751</v>
      </c>
      <c r="J315" s="12" t="s">
        <v>1545</v>
      </c>
      <c r="K315" s="12" t="str">
        <f t="shared" si="18"/>
        <v>Closed</v>
      </c>
      <c r="L315" s="13">
        <v>44516</v>
      </c>
      <c r="M315" s="12"/>
      <c r="N315" s="12"/>
      <c r="O315" s="12"/>
      <c r="P315" s="12" t="s">
        <v>3790</v>
      </c>
      <c r="Q315" s="12"/>
      <c r="R315" s="12"/>
      <c r="S315" s="12"/>
      <c r="T315" s="12"/>
      <c r="U315" s="12" t="str">
        <f t="shared" si="19"/>
        <v>Corrected</v>
      </c>
      <c r="V315" s="12" t="str">
        <f t="shared" si="16"/>
        <v>GUAN Jialin</v>
      </c>
      <c r="W315" s="13">
        <f t="shared" si="17"/>
        <v>44516</v>
      </c>
    </row>
    <row r="316" spans="1:23" ht="14.4" customHeight="1" x14ac:dyDescent="0.3">
      <c r="A316" s="28">
        <v>44515</v>
      </c>
      <c r="B316" s="12" t="s">
        <v>1752</v>
      </c>
      <c r="C316" s="12" t="s">
        <v>1690</v>
      </c>
      <c r="D316" s="5" t="s">
        <v>1722</v>
      </c>
      <c r="E316" s="12">
        <v>401</v>
      </c>
      <c r="F316" s="14" t="s">
        <v>4203</v>
      </c>
      <c r="G316" s="12"/>
      <c r="H316" s="12" t="s">
        <v>14</v>
      </c>
      <c r="I316" s="11" t="s">
        <v>1754</v>
      </c>
      <c r="J316" s="12" t="s">
        <v>1545</v>
      </c>
      <c r="K316" s="12" t="str">
        <f t="shared" si="18"/>
        <v>Closed</v>
      </c>
      <c r="L316" s="13">
        <v>44516</v>
      </c>
      <c r="M316" s="12" t="s">
        <v>1753</v>
      </c>
      <c r="N316" s="12"/>
      <c r="O316" s="12"/>
      <c r="P316" s="12" t="s">
        <v>3790</v>
      </c>
      <c r="Q316" s="12"/>
      <c r="R316" s="12"/>
      <c r="S316" s="12"/>
      <c r="T316" s="12"/>
      <c r="U316" s="12" t="str">
        <f t="shared" si="19"/>
        <v>Corrected</v>
      </c>
      <c r="V316" s="12" t="str">
        <f t="shared" si="16"/>
        <v>GUAN Jialin</v>
      </c>
      <c r="W316" s="13">
        <f t="shared" si="17"/>
        <v>44516</v>
      </c>
    </row>
    <row r="317" spans="1:23" ht="28.95" customHeight="1" x14ac:dyDescent="0.3">
      <c r="A317" s="28">
        <v>44515</v>
      </c>
      <c r="B317" s="12" t="s">
        <v>1755</v>
      </c>
      <c r="C317" s="12" t="s">
        <v>1690</v>
      </c>
      <c r="D317" s="5" t="s">
        <v>1722</v>
      </c>
      <c r="E317" s="12">
        <v>403</v>
      </c>
      <c r="F317" s="14" t="s">
        <v>4204</v>
      </c>
      <c r="G317" s="12"/>
      <c r="H317" s="12" t="s">
        <v>11</v>
      </c>
      <c r="I317" s="11" t="s">
        <v>1756</v>
      </c>
      <c r="J317" s="12" t="s">
        <v>1545</v>
      </c>
      <c r="K317" s="12" t="str">
        <f t="shared" si="18"/>
        <v>Closed</v>
      </c>
      <c r="L317" s="13">
        <v>44516</v>
      </c>
      <c r="M317" s="5" t="s">
        <v>4205</v>
      </c>
      <c r="N317" s="12"/>
      <c r="O317" s="12"/>
      <c r="P317" s="12" t="s">
        <v>3790</v>
      </c>
      <c r="Q317" s="12"/>
      <c r="R317" s="12"/>
      <c r="S317" s="12"/>
      <c r="T317" s="12"/>
      <c r="U317" s="12" t="str">
        <f t="shared" si="19"/>
        <v>Corrected</v>
      </c>
      <c r="V317" s="12" t="str">
        <f t="shared" si="16"/>
        <v>FIRDUS Ahmad</v>
      </c>
      <c r="W317" s="13">
        <f t="shared" si="17"/>
        <v>44516</v>
      </c>
    </row>
    <row r="318" spans="1:23" ht="14.4" customHeight="1" x14ac:dyDescent="0.3">
      <c r="A318" s="28">
        <v>44515</v>
      </c>
      <c r="B318" s="12" t="s">
        <v>1757</v>
      </c>
      <c r="C318" s="12" t="s">
        <v>1690</v>
      </c>
      <c r="D318" s="5" t="s">
        <v>1722</v>
      </c>
      <c r="E318" s="12">
        <v>421</v>
      </c>
      <c r="F318" s="14" t="s">
        <v>4206</v>
      </c>
      <c r="G318" s="12"/>
      <c r="H318" s="12" t="s">
        <v>14</v>
      </c>
      <c r="I318" s="11" t="s">
        <v>1758</v>
      </c>
      <c r="J318" s="12" t="s">
        <v>1545</v>
      </c>
      <c r="K318" s="12" t="str">
        <f t="shared" si="18"/>
        <v>Closed</v>
      </c>
      <c r="L318" s="13">
        <v>44516</v>
      </c>
      <c r="M318" s="12"/>
      <c r="N318" s="12"/>
      <c r="O318" s="12"/>
      <c r="P318" s="12" t="s">
        <v>3790</v>
      </c>
      <c r="Q318" s="12"/>
      <c r="R318" s="12"/>
      <c r="S318" s="12"/>
      <c r="T318" s="12"/>
      <c r="U318" s="12" t="str">
        <f t="shared" si="19"/>
        <v>Corrected</v>
      </c>
      <c r="V318" s="12" t="str">
        <f t="shared" si="16"/>
        <v>GUAN Jialin</v>
      </c>
      <c r="W318" s="13">
        <f t="shared" si="17"/>
        <v>44516</v>
      </c>
    </row>
    <row r="319" spans="1:23" ht="43.2" customHeight="1" x14ac:dyDescent="0.3">
      <c r="A319" s="28">
        <v>44515</v>
      </c>
      <c r="B319" s="12" t="s">
        <v>1759</v>
      </c>
      <c r="C319" s="12" t="s">
        <v>1690</v>
      </c>
      <c r="D319" s="5" t="s">
        <v>1722</v>
      </c>
      <c r="E319" s="12">
        <v>615</v>
      </c>
      <c r="F319" s="14" t="s">
        <v>4207</v>
      </c>
      <c r="G319" s="12"/>
      <c r="H319" s="12" t="s">
        <v>11</v>
      </c>
      <c r="I319" s="11" t="s">
        <v>1761</v>
      </c>
      <c r="J319" s="12" t="s">
        <v>1545</v>
      </c>
      <c r="K319" s="12" t="str">
        <f t="shared" si="18"/>
        <v>Closed</v>
      </c>
      <c r="L319" s="13">
        <v>44524</v>
      </c>
      <c r="M319" s="12" t="s">
        <v>1760</v>
      </c>
      <c r="N319" s="12"/>
      <c r="O319" s="12"/>
      <c r="P319" s="12" t="s">
        <v>3790</v>
      </c>
      <c r="Q319" s="12"/>
      <c r="R319" s="12"/>
      <c r="S319" s="12"/>
      <c r="T319" s="12"/>
      <c r="U319" s="12" t="str">
        <f t="shared" si="19"/>
        <v>Corrected</v>
      </c>
      <c r="V319" s="12" t="str">
        <f t="shared" ref="V319:V382" si="20">IF(AND(J319="Corrective Action Required",R319="Corrected"),S319, IF(AND(J319="Corrective Action Required",R319&lt;&gt;"Corrected"),S319,H319))</f>
        <v>FIRDUS Ahmad</v>
      </c>
      <c r="W319" s="13">
        <f t="shared" ref="W319:W382" si="21">IF(OR(J319="Corrected",J319="NFF"),L319, IF(AND(J319="Corrective Action Required",R319="Corrected"),T319,""))</f>
        <v>44524</v>
      </c>
    </row>
    <row r="320" spans="1:23" ht="28.95" customHeight="1" x14ac:dyDescent="0.3">
      <c r="A320" s="28">
        <v>44515</v>
      </c>
      <c r="B320" s="12" t="s">
        <v>1762</v>
      </c>
      <c r="C320" s="12" t="s">
        <v>1690</v>
      </c>
      <c r="D320" s="5" t="s">
        <v>1722</v>
      </c>
      <c r="E320" s="12">
        <v>422</v>
      </c>
      <c r="F320" s="14" t="s">
        <v>4208</v>
      </c>
      <c r="G320" s="12"/>
      <c r="H320" s="12" t="s">
        <v>14</v>
      </c>
      <c r="I320" s="11" t="s">
        <v>1593</v>
      </c>
      <c r="J320" s="12" t="s">
        <v>1545</v>
      </c>
      <c r="K320" s="12" t="str">
        <f t="shared" ref="K320:K383" si="22">IF(J320="Corrected","Closed",IF(J320="NFF","Closed","Open"))</f>
        <v>Closed</v>
      </c>
      <c r="L320" s="13">
        <v>44549</v>
      </c>
      <c r="M320" s="12"/>
      <c r="N320" s="12"/>
      <c r="O320" s="12"/>
      <c r="P320" s="12" t="s">
        <v>2788</v>
      </c>
      <c r="Q320" s="12"/>
      <c r="R320" s="12"/>
      <c r="S320" s="12"/>
      <c r="T320" s="12"/>
      <c r="U320" s="12" t="str">
        <f t="shared" si="19"/>
        <v>Corrected</v>
      </c>
      <c r="V320" s="12" t="str">
        <f t="shared" si="20"/>
        <v>GUAN Jialin</v>
      </c>
      <c r="W320" s="13">
        <f t="shared" si="21"/>
        <v>44549</v>
      </c>
    </row>
    <row r="321" spans="1:23" ht="14.4" customHeight="1" x14ac:dyDescent="0.3">
      <c r="A321" s="28">
        <v>44515</v>
      </c>
      <c r="B321" s="12" t="s">
        <v>1763</v>
      </c>
      <c r="C321" s="12" t="s">
        <v>1690</v>
      </c>
      <c r="D321" s="5" t="s">
        <v>1722</v>
      </c>
      <c r="E321" s="12">
        <v>423</v>
      </c>
      <c r="F321" s="14" t="s">
        <v>4209</v>
      </c>
      <c r="G321" s="12"/>
      <c r="H321" s="12" t="s">
        <v>14</v>
      </c>
      <c r="I321" s="11" t="s">
        <v>1764</v>
      </c>
      <c r="J321" s="12" t="s">
        <v>1545</v>
      </c>
      <c r="K321" s="12" t="str">
        <f t="shared" si="22"/>
        <v>Closed</v>
      </c>
      <c r="L321" s="13">
        <v>44538</v>
      </c>
      <c r="M321" s="12"/>
      <c r="N321" s="12"/>
      <c r="O321" s="12"/>
      <c r="P321" s="12" t="s">
        <v>2788</v>
      </c>
      <c r="Q321" s="12"/>
      <c r="R321" s="12"/>
      <c r="S321" s="12"/>
      <c r="T321" s="12"/>
      <c r="U321" s="12" t="str">
        <f t="shared" si="19"/>
        <v>Corrected</v>
      </c>
      <c r="V321" s="12" t="str">
        <f t="shared" si="20"/>
        <v>GUAN Jialin</v>
      </c>
      <c r="W321" s="13">
        <f t="shared" si="21"/>
        <v>44538</v>
      </c>
    </row>
    <row r="322" spans="1:23" ht="28.95" customHeight="1" x14ac:dyDescent="0.3">
      <c r="A322" s="28">
        <v>44515</v>
      </c>
      <c r="B322" s="12" t="s">
        <v>1765</v>
      </c>
      <c r="C322" s="12" t="s">
        <v>1690</v>
      </c>
      <c r="D322" s="5" t="s">
        <v>1722</v>
      </c>
      <c r="E322" s="12">
        <v>414</v>
      </c>
      <c r="F322" s="14" t="s">
        <v>4210</v>
      </c>
      <c r="G322" s="12"/>
      <c r="H322" s="12" t="s">
        <v>11</v>
      </c>
      <c r="I322" s="11" t="s">
        <v>1744</v>
      </c>
      <c r="J322" s="12" t="s">
        <v>1545</v>
      </c>
      <c r="K322" s="12" t="str">
        <f t="shared" si="22"/>
        <v>Closed</v>
      </c>
      <c r="L322" s="13">
        <v>44516</v>
      </c>
      <c r="M322" s="12" t="s">
        <v>1743</v>
      </c>
      <c r="N322" s="12"/>
      <c r="O322" s="12"/>
      <c r="P322" s="12" t="s">
        <v>3790</v>
      </c>
      <c r="Q322" s="12"/>
      <c r="R322" s="12"/>
      <c r="S322" s="12"/>
      <c r="T322" s="12"/>
      <c r="U322" s="12" t="str">
        <f t="shared" si="19"/>
        <v>Corrected</v>
      </c>
      <c r="V322" s="12" t="str">
        <f t="shared" si="20"/>
        <v>FIRDUS Ahmad</v>
      </c>
      <c r="W322" s="13">
        <f t="shared" si="21"/>
        <v>44516</v>
      </c>
    </row>
    <row r="323" spans="1:23" ht="14.4" customHeight="1" x14ac:dyDescent="0.3">
      <c r="A323" s="28">
        <v>44515</v>
      </c>
      <c r="B323" s="12" t="s">
        <v>1766</v>
      </c>
      <c r="C323" s="12" t="s">
        <v>1690</v>
      </c>
      <c r="D323" s="5" t="s">
        <v>1722</v>
      </c>
      <c r="E323" s="12">
        <v>602</v>
      </c>
      <c r="F323" s="14" t="s">
        <v>4211</v>
      </c>
      <c r="G323" s="12"/>
      <c r="H323" s="12" t="s">
        <v>11</v>
      </c>
      <c r="I323" s="11" t="s">
        <v>3578</v>
      </c>
      <c r="J323" s="12" t="s">
        <v>1574</v>
      </c>
      <c r="K323" s="12" t="str">
        <f t="shared" si="22"/>
        <v>Closed</v>
      </c>
      <c r="L323" s="13">
        <v>44531</v>
      </c>
      <c r="M323" s="12"/>
      <c r="N323" s="12"/>
      <c r="O323" s="12"/>
      <c r="P323" s="12" t="s">
        <v>3790</v>
      </c>
      <c r="Q323" s="12"/>
      <c r="R323" s="12"/>
      <c r="S323" s="12"/>
      <c r="T323" s="12"/>
      <c r="U323" s="12" t="str">
        <f t="shared" ref="U323:U386" si="23">IF(AND(J323="Corrective Action Required",R323="Corrected"),"Corrected", IF(AND(J323="Corrective Action Required",R323&lt;&gt;"Corrected"),R323,J323))</f>
        <v>NFF</v>
      </c>
      <c r="V323" s="12" t="str">
        <f t="shared" si="20"/>
        <v>FIRDUS Ahmad</v>
      </c>
      <c r="W323" s="13">
        <f t="shared" si="21"/>
        <v>44531</v>
      </c>
    </row>
    <row r="324" spans="1:23" ht="14.4" customHeight="1" x14ac:dyDescent="0.3">
      <c r="A324" s="28">
        <v>44515</v>
      </c>
      <c r="B324" s="12" t="s">
        <v>1767</v>
      </c>
      <c r="C324" s="12" t="s">
        <v>1690</v>
      </c>
      <c r="D324" s="5" t="s">
        <v>1722</v>
      </c>
      <c r="E324" s="12">
        <v>412</v>
      </c>
      <c r="F324" s="14" t="s">
        <v>4212</v>
      </c>
      <c r="G324" s="12"/>
      <c r="H324" s="12" t="s">
        <v>19</v>
      </c>
      <c r="I324" s="11" t="s">
        <v>1769</v>
      </c>
      <c r="J324" s="12" t="s">
        <v>1574</v>
      </c>
      <c r="K324" s="12" t="str">
        <f t="shared" si="22"/>
        <v>Closed</v>
      </c>
      <c r="L324" s="13">
        <v>44515</v>
      </c>
      <c r="M324" s="12" t="s">
        <v>1768</v>
      </c>
      <c r="N324" s="12"/>
      <c r="O324" s="12"/>
      <c r="P324" s="12" t="s">
        <v>3790</v>
      </c>
      <c r="Q324" s="12"/>
      <c r="R324" s="12"/>
      <c r="S324" s="12"/>
      <c r="T324" s="12"/>
      <c r="U324" s="12" t="str">
        <f t="shared" si="23"/>
        <v>NFF</v>
      </c>
      <c r="V324" s="12" t="str">
        <f t="shared" si="20"/>
        <v>DAOUDI Mohamed</v>
      </c>
      <c r="W324" s="13">
        <f t="shared" si="21"/>
        <v>44515</v>
      </c>
    </row>
    <row r="325" spans="1:23" ht="14.4" customHeight="1" x14ac:dyDescent="0.3">
      <c r="A325" s="28">
        <v>44516</v>
      </c>
      <c r="B325" s="12" t="s">
        <v>1770</v>
      </c>
      <c r="C325" s="12" t="s">
        <v>1690</v>
      </c>
      <c r="D325" s="5" t="s">
        <v>1722</v>
      </c>
      <c r="E325" s="12">
        <v>612</v>
      </c>
      <c r="F325" s="11" t="s">
        <v>1771</v>
      </c>
      <c r="G325" s="12"/>
      <c r="H325" s="12" t="s">
        <v>14</v>
      </c>
      <c r="I325" s="11" t="s">
        <v>1772</v>
      </c>
      <c r="J325" s="12" t="s">
        <v>1545</v>
      </c>
      <c r="K325" s="12" t="str">
        <f t="shared" si="22"/>
        <v>Closed</v>
      </c>
      <c r="L325" s="13">
        <v>44516</v>
      </c>
      <c r="M325" s="12" t="s">
        <v>1768</v>
      </c>
      <c r="N325" s="12"/>
      <c r="O325" s="12"/>
      <c r="P325" s="12" t="s">
        <v>2788</v>
      </c>
      <c r="Q325" s="12"/>
      <c r="R325" s="12"/>
      <c r="S325" s="12"/>
      <c r="T325" s="12"/>
      <c r="U325" s="12" t="str">
        <f t="shared" si="23"/>
        <v>Corrected</v>
      </c>
      <c r="V325" s="12" t="str">
        <f t="shared" si="20"/>
        <v>GUAN Jialin</v>
      </c>
      <c r="W325" s="13">
        <f t="shared" si="21"/>
        <v>44516</v>
      </c>
    </row>
    <row r="326" spans="1:23" ht="14.4" customHeight="1" x14ac:dyDescent="0.3">
      <c r="A326" s="28">
        <v>44516</v>
      </c>
      <c r="B326" s="12" t="s">
        <v>1773</v>
      </c>
      <c r="C326" s="12" t="s">
        <v>1690</v>
      </c>
      <c r="D326" s="5" t="s">
        <v>1722</v>
      </c>
      <c r="E326" s="12">
        <v>411</v>
      </c>
      <c r="F326" s="14" t="s">
        <v>4213</v>
      </c>
      <c r="G326" s="12"/>
      <c r="H326" s="12" t="s">
        <v>14</v>
      </c>
      <c r="I326" s="11" t="s">
        <v>4214</v>
      </c>
      <c r="J326" s="12" t="s">
        <v>1545</v>
      </c>
      <c r="K326" s="12" t="str">
        <f t="shared" si="22"/>
        <v>Closed</v>
      </c>
      <c r="L326" s="13">
        <v>44549</v>
      </c>
      <c r="M326" s="12" t="s">
        <v>214</v>
      </c>
      <c r="N326" s="12"/>
      <c r="O326" s="12"/>
      <c r="P326" s="12" t="s">
        <v>2788</v>
      </c>
      <c r="Q326" s="12"/>
      <c r="R326" s="12"/>
      <c r="S326" s="12"/>
      <c r="T326" s="12"/>
      <c r="U326" s="12" t="str">
        <f t="shared" si="23"/>
        <v>Corrected</v>
      </c>
      <c r="V326" s="12" t="str">
        <f t="shared" si="20"/>
        <v>GUAN Jialin</v>
      </c>
      <c r="W326" s="13">
        <f t="shared" si="21"/>
        <v>44549</v>
      </c>
    </row>
    <row r="327" spans="1:23" ht="14.4" customHeight="1" x14ac:dyDescent="0.3">
      <c r="A327" s="28">
        <v>44516</v>
      </c>
      <c r="B327" s="12" t="s">
        <v>1774</v>
      </c>
      <c r="C327" s="12" t="s">
        <v>1690</v>
      </c>
      <c r="D327" s="5" t="s">
        <v>1722</v>
      </c>
      <c r="E327" s="12">
        <v>404</v>
      </c>
      <c r="F327" s="14" t="s">
        <v>4215</v>
      </c>
      <c r="G327" s="12"/>
      <c r="H327" s="12" t="s">
        <v>9</v>
      </c>
      <c r="I327" s="14" t="s">
        <v>4216</v>
      </c>
      <c r="J327" s="12" t="s">
        <v>1545</v>
      </c>
      <c r="K327" s="12" t="str">
        <f t="shared" si="22"/>
        <v>Closed</v>
      </c>
      <c r="L327" s="13">
        <v>44524</v>
      </c>
      <c r="M327" s="12" t="s">
        <v>1775</v>
      </c>
      <c r="N327" s="12"/>
      <c r="O327" s="12"/>
      <c r="P327" s="12" t="s">
        <v>3790</v>
      </c>
      <c r="Q327" s="12"/>
      <c r="R327" s="12"/>
      <c r="S327" s="12"/>
      <c r="T327" s="12"/>
      <c r="U327" s="12" t="str">
        <f t="shared" si="23"/>
        <v>Corrected</v>
      </c>
      <c r="V327" s="12" t="str">
        <f t="shared" si="20"/>
        <v>KHAN Jahan</v>
      </c>
      <c r="W327" s="13">
        <f t="shared" si="21"/>
        <v>44524</v>
      </c>
    </row>
    <row r="328" spans="1:23" ht="14.4" customHeight="1" x14ac:dyDescent="0.3">
      <c r="A328" s="28">
        <v>44517</v>
      </c>
      <c r="B328" s="12" t="s">
        <v>1776</v>
      </c>
      <c r="C328" s="12" t="s">
        <v>1690</v>
      </c>
      <c r="D328" s="5" t="s">
        <v>1722</v>
      </c>
      <c r="E328" s="12">
        <v>404</v>
      </c>
      <c r="F328" s="11" t="s">
        <v>1777</v>
      </c>
      <c r="G328" s="12"/>
      <c r="H328" s="12" t="s">
        <v>11</v>
      </c>
      <c r="I328" s="11" t="s">
        <v>1779</v>
      </c>
      <c r="J328" s="12" t="s">
        <v>1545</v>
      </c>
      <c r="K328" s="12" t="str">
        <f t="shared" si="22"/>
        <v>Closed</v>
      </c>
      <c r="L328" s="13">
        <v>44525</v>
      </c>
      <c r="M328" s="12" t="s">
        <v>1778</v>
      </c>
      <c r="N328" s="12"/>
      <c r="O328" s="12"/>
      <c r="P328" s="12" t="s">
        <v>3790</v>
      </c>
      <c r="Q328" s="12"/>
      <c r="R328" s="12"/>
      <c r="S328" s="12"/>
      <c r="T328" s="12"/>
      <c r="U328" s="12" t="str">
        <f t="shared" si="23"/>
        <v>Corrected</v>
      </c>
      <c r="V328" s="12" t="str">
        <f t="shared" si="20"/>
        <v>FIRDUS Ahmad</v>
      </c>
      <c r="W328" s="13">
        <f t="shared" si="21"/>
        <v>44525</v>
      </c>
    </row>
    <row r="329" spans="1:23" ht="28.8" x14ac:dyDescent="0.3">
      <c r="A329" s="28">
        <v>44517</v>
      </c>
      <c r="B329" s="12" t="s">
        <v>1780</v>
      </c>
      <c r="C329" s="12" t="s">
        <v>1690</v>
      </c>
      <c r="D329" s="5" t="s">
        <v>1722</v>
      </c>
      <c r="E329" s="12">
        <v>401</v>
      </c>
      <c r="F329" s="11" t="s">
        <v>1781</v>
      </c>
      <c r="G329" s="12"/>
      <c r="H329" s="12" t="s">
        <v>11</v>
      </c>
      <c r="I329" s="14" t="s">
        <v>4217</v>
      </c>
      <c r="J329" s="12" t="s">
        <v>1574</v>
      </c>
      <c r="K329" s="12" t="str">
        <f t="shared" si="22"/>
        <v>Closed</v>
      </c>
      <c r="L329" s="13">
        <v>44535</v>
      </c>
      <c r="M329" s="12"/>
      <c r="N329" s="12" t="s">
        <v>4427</v>
      </c>
      <c r="O329" s="12"/>
      <c r="P329" s="12" t="s">
        <v>3790</v>
      </c>
      <c r="Q329" s="12"/>
      <c r="R329" s="12"/>
      <c r="S329" s="12"/>
      <c r="T329" s="12"/>
      <c r="U329" s="12" t="str">
        <f t="shared" si="23"/>
        <v>NFF</v>
      </c>
      <c r="V329" s="12" t="str">
        <f t="shared" si="20"/>
        <v>FIRDUS Ahmad</v>
      </c>
      <c r="W329" s="13">
        <f t="shared" si="21"/>
        <v>44535</v>
      </c>
    </row>
    <row r="330" spans="1:23" ht="14.4" customHeight="1" x14ac:dyDescent="0.3">
      <c r="A330" s="28">
        <v>44517</v>
      </c>
      <c r="B330" s="12" t="s">
        <v>1782</v>
      </c>
      <c r="C330" s="12" t="s">
        <v>1690</v>
      </c>
      <c r="D330" s="5" t="s">
        <v>1783</v>
      </c>
      <c r="E330" s="12">
        <v>605</v>
      </c>
      <c r="F330" s="14" t="s">
        <v>4218</v>
      </c>
      <c r="G330" s="12"/>
      <c r="H330" s="12" t="s">
        <v>19</v>
      </c>
      <c r="I330" s="11" t="s">
        <v>1784</v>
      </c>
      <c r="J330" s="12" t="s">
        <v>1574</v>
      </c>
      <c r="K330" s="12" t="str">
        <f t="shared" si="22"/>
        <v>Closed</v>
      </c>
      <c r="L330" s="13">
        <v>44524</v>
      </c>
      <c r="M330" s="12"/>
      <c r="N330" s="12"/>
      <c r="O330" s="12"/>
      <c r="P330" s="12" t="s">
        <v>3790</v>
      </c>
      <c r="Q330" s="12"/>
      <c r="R330" s="12"/>
      <c r="S330" s="12"/>
      <c r="T330" s="12"/>
      <c r="U330" s="12" t="str">
        <f t="shared" si="23"/>
        <v>NFF</v>
      </c>
      <c r="V330" s="12" t="str">
        <f t="shared" si="20"/>
        <v>DAOUDI Mohamed</v>
      </c>
      <c r="W330" s="13">
        <f t="shared" si="21"/>
        <v>44524</v>
      </c>
    </row>
    <row r="331" spans="1:23" ht="14.4" customHeight="1" x14ac:dyDescent="0.3">
      <c r="A331" s="28">
        <v>44518</v>
      </c>
      <c r="B331" s="12" t="s">
        <v>1785</v>
      </c>
      <c r="C331" s="12" t="s">
        <v>1690</v>
      </c>
      <c r="D331" s="5" t="s">
        <v>1722</v>
      </c>
      <c r="E331" s="12">
        <v>606</v>
      </c>
      <c r="F331" s="11" t="s">
        <v>1786</v>
      </c>
      <c r="G331" s="12"/>
      <c r="H331" s="12" t="s">
        <v>14</v>
      </c>
      <c r="I331" s="11" t="s">
        <v>1788</v>
      </c>
      <c r="J331" s="12" t="s">
        <v>1545</v>
      </c>
      <c r="K331" s="12" t="str">
        <f t="shared" si="22"/>
        <v>Closed</v>
      </c>
      <c r="L331" s="13">
        <v>44522</v>
      </c>
      <c r="M331" s="12" t="s">
        <v>1787</v>
      </c>
      <c r="N331" s="12"/>
      <c r="O331" s="12"/>
      <c r="P331" s="12" t="s">
        <v>2788</v>
      </c>
      <c r="Q331" s="12"/>
      <c r="R331" s="12"/>
      <c r="S331" s="12"/>
      <c r="T331" s="12"/>
      <c r="U331" s="12" t="str">
        <f t="shared" si="23"/>
        <v>Corrected</v>
      </c>
      <c r="V331" s="12" t="str">
        <f t="shared" si="20"/>
        <v>GUAN Jialin</v>
      </c>
      <c r="W331" s="13">
        <f t="shared" si="21"/>
        <v>44522</v>
      </c>
    </row>
    <row r="332" spans="1:23" ht="28.8" x14ac:dyDescent="0.3">
      <c r="A332" s="28">
        <v>44521</v>
      </c>
      <c r="B332" s="12" t="s">
        <v>1789</v>
      </c>
      <c r="C332" s="12" t="s">
        <v>1690</v>
      </c>
      <c r="D332" s="5" t="s">
        <v>1722</v>
      </c>
      <c r="E332" s="12">
        <v>607</v>
      </c>
      <c r="F332" s="14" t="s">
        <v>4219</v>
      </c>
      <c r="G332" s="12"/>
      <c r="H332" s="12" t="s">
        <v>9</v>
      </c>
      <c r="I332" s="14" t="s">
        <v>4220</v>
      </c>
      <c r="J332" s="12" t="s">
        <v>1545</v>
      </c>
      <c r="K332" s="12" t="str">
        <f t="shared" si="22"/>
        <v>Closed</v>
      </c>
      <c r="L332" s="13">
        <v>44559</v>
      </c>
      <c r="M332" s="12"/>
      <c r="N332" s="12"/>
      <c r="O332" s="12"/>
      <c r="P332" s="12" t="s">
        <v>3790</v>
      </c>
      <c r="Q332" s="12"/>
      <c r="R332" s="12"/>
      <c r="S332" s="12"/>
      <c r="T332" s="12"/>
      <c r="U332" s="12" t="str">
        <f t="shared" si="23"/>
        <v>Corrected</v>
      </c>
      <c r="V332" s="12" t="str">
        <f t="shared" si="20"/>
        <v>KHAN Jahan</v>
      </c>
      <c r="W332" s="13">
        <f t="shared" si="21"/>
        <v>44559</v>
      </c>
    </row>
    <row r="333" spans="1:23" ht="14.4" customHeight="1" x14ac:dyDescent="0.3">
      <c r="A333" s="28">
        <v>44521</v>
      </c>
      <c r="B333" s="12" t="s">
        <v>1790</v>
      </c>
      <c r="C333" s="12" t="s">
        <v>1690</v>
      </c>
      <c r="D333" s="5" t="s">
        <v>1722</v>
      </c>
      <c r="E333" s="12">
        <v>626</v>
      </c>
      <c r="F333" s="14" t="s">
        <v>4221</v>
      </c>
      <c r="G333" s="12"/>
      <c r="H333" s="12" t="s">
        <v>14</v>
      </c>
      <c r="I333" s="11" t="s">
        <v>1593</v>
      </c>
      <c r="J333" s="12" t="s">
        <v>1545</v>
      </c>
      <c r="K333" s="12" t="str">
        <f t="shared" si="22"/>
        <v>Closed</v>
      </c>
      <c r="L333" s="13">
        <v>44551</v>
      </c>
      <c r="M333" s="12"/>
      <c r="N333" s="12"/>
      <c r="O333" s="12"/>
      <c r="P333" s="12" t="s">
        <v>3790</v>
      </c>
      <c r="Q333" s="12"/>
      <c r="R333" s="12"/>
      <c r="S333" s="12"/>
      <c r="T333" s="12"/>
      <c r="U333" s="12" t="str">
        <f t="shared" si="23"/>
        <v>Corrected</v>
      </c>
      <c r="V333" s="12" t="str">
        <f t="shared" si="20"/>
        <v>GUAN Jialin</v>
      </c>
      <c r="W333" s="13">
        <f t="shared" si="21"/>
        <v>44551</v>
      </c>
    </row>
    <row r="334" spans="1:23" ht="28.8" customHeight="1" x14ac:dyDescent="0.3">
      <c r="A334" s="28">
        <v>44521</v>
      </c>
      <c r="B334" s="12" t="s">
        <v>1791</v>
      </c>
      <c r="C334" s="12" t="s">
        <v>1690</v>
      </c>
      <c r="D334" s="5" t="s">
        <v>1722</v>
      </c>
      <c r="E334" s="12">
        <v>610</v>
      </c>
      <c r="F334" s="14" t="s">
        <v>4222</v>
      </c>
      <c r="G334" s="12"/>
      <c r="H334" s="12" t="s">
        <v>14</v>
      </c>
      <c r="I334" s="11" t="s">
        <v>1792</v>
      </c>
      <c r="J334" s="12" t="s">
        <v>1545</v>
      </c>
      <c r="K334" s="12" t="str">
        <f t="shared" si="22"/>
        <v>Closed</v>
      </c>
      <c r="L334" s="13">
        <v>44555</v>
      </c>
      <c r="M334" s="12"/>
      <c r="N334" s="12"/>
      <c r="O334" s="12"/>
      <c r="P334" s="12" t="s">
        <v>3790</v>
      </c>
      <c r="Q334" s="12"/>
      <c r="R334" s="12"/>
      <c r="S334" s="12"/>
      <c r="T334" s="12"/>
      <c r="U334" s="12" t="str">
        <f t="shared" si="23"/>
        <v>Corrected</v>
      </c>
      <c r="V334" s="12" t="str">
        <f t="shared" si="20"/>
        <v>GUAN Jialin</v>
      </c>
      <c r="W334" s="13">
        <f t="shared" si="21"/>
        <v>44555</v>
      </c>
    </row>
    <row r="335" spans="1:23" ht="14.4" customHeight="1" x14ac:dyDescent="0.3">
      <c r="A335" s="28">
        <v>44521</v>
      </c>
      <c r="B335" s="12" t="s">
        <v>1793</v>
      </c>
      <c r="C335" s="12" t="s">
        <v>1690</v>
      </c>
      <c r="D335" s="5" t="s">
        <v>1722</v>
      </c>
      <c r="E335" s="12">
        <v>404</v>
      </c>
      <c r="F335" s="11" t="s">
        <v>1794</v>
      </c>
      <c r="G335" s="12"/>
      <c r="H335" s="12" t="s">
        <v>9</v>
      </c>
      <c r="I335" s="11" t="s">
        <v>1795</v>
      </c>
      <c r="J335" s="12" t="s">
        <v>1545</v>
      </c>
      <c r="K335" s="12" t="str">
        <f t="shared" si="22"/>
        <v>Closed</v>
      </c>
      <c r="L335" s="13">
        <v>44523</v>
      </c>
      <c r="M335" s="12"/>
      <c r="N335" s="12"/>
      <c r="O335" s="12"/>
      <c r="P335" s="12" t="s">
        <v>3790</v>
      </c>
      <c r="Q335" s="12"/>
      <c r="R335" s="12"/>
      <c r="S335" s="12"/>
      <c r="T335" s="12"/>
      <c r="U335" s="12" t="str">
        <f t="shared" si="23"/>
        <v>Corrected</v>
      </c>
      <c r="V335" s="12" t="str">
        <f t="shared" si="20"/>
        <v>KHAN Jahan</v>
      </c>
      <c r="W335" s="13">
        <f t="shared" si="21"/>
        <v>44523</v>
      </c>
    </row>
    <row r="336" spans="1:23" ht="28.8" customHeight="1" x14ac:dyDescent="0.3">
      <c r="A336" s="28">
        <v>44521</v>
      </c>
      <c r="B336" s="12" t="s">
        <v>1796</v>
      </c>
      <c r="C336" s="12" t="s">
        <v>1690</v>
      </c>
      <c r="D336" s="5" t="s">
        <v>1722</v>
      </c>
      <c r="E336" s="12">
        <v>601</v>
      </c>
      <c r="F336" s="14" t="s">
        <v>4223</v>
      </c>
      <c r="G336" s="12"/>
      <c r="H336" s="12" t="s">
        <v>9</v>
      </c>
      <c r="I336" s="11" t="s">
        <v>1797</v>
      </c>
      <c r="J336" s="12" t="s">
        <v>1545</v>
      </c>
      <c r="K336" s="12" t="str">
        <f t="shared" si="22"/>
        <v>Closed</v>
      </c>
      <c r="L336" s="13">
        <v>44522</v>
      </c>
      <c r="M336" s="12"/>
      <c r="N336" s="12"/>
      <c r="O336" s="12"/>
      <c r="P336" s="12" t="s">
        <v>3790</v>
      </c>
      <c r="Q336" s="12"/>
      <c r="R336" s="12"/>
      <c r="S336" s="12"/>
      <c r="T336" s="12"/>
      <c r="U336" s="12" t="str">
        <f t="shared" si="23"/>
        <v>Corrected</v>
      </c>
      <c r="V336" s="12" t="str">
        <f t="shared" si="20"/>
        <v>KHAN Jahan</v>
      </c>
      <c r="W336" s="13">
        <f t="shared" si="21"/>
        <v>44522</v>
      </c>
    </row>
    <row r="337" spans="1:23" ht="14.4" customHeight="1" x14ac:dyDescent="0.3">
      <c r="A337" s="28">
        <v>44521</v>
      </c>
      <c r="B337" s="12" t="s">
        <v>1798</v>
      </c>
      <c r="C337" s="12" t="s">
        <v>1690</v>
      </c>
      <c r="D337" s="5" t="s">
        <v>1722</v>
      </c>
      <c r="E337" s="12">
        <v>421</v>
      </c>
      <c r="F337" s="11" t="s">
        <v>1799</v>
      </c>
      <c r="G337" s="12"/>
      <c r="H337" s="12" t="s">
        <v>11</v>
      </c>
      <c r="I337" s="11"/>
      <c r="J337" s="12" t="s">
        <v>1545</v>
      </c>
      <c r="K337" s="12" t="str">
        <f t="shared" si="22"/>
        <v>Closed</v>
      </c>
      <c r="L337" s="13">
        <v>44551</v>
      </c>
      <c r="M337" s="12" t="s">
        <v>127</v>
      </c>
      <c r="N337" s="12"/>
      <c r="O337" s="12"/>
      <c r="P337" s="12" t="s">
        <v>3790</v>
      </c>
      <c r="Q337" s="12"/>
      <c r="R337" s="12"/>
      <c r="S337" s="12"/>
      <c r="T337" s="12"/>
      <c r="U337" s="12" t="str">
        <f t="shared" si="23"/>
        <v>Corrected</v>
      </c>
      <c r="V337" s="12" t="str">
        <f t="shared" si="20"/>
        <v>FIRDUS Ahmad</v>
      </c>
      <c r="W337" s="13">
        <f t="shared" si="21"/>
        <v>44551</v>
      </c>
    </row>
    <row r="338" spans="1:23" ht="14.4" customHeight="1" x14ac:dyDescent="0.3">
      <c r="A338" s="28">
        <v>44521</v>
      </c>
      <c r="B338" s="12" t="s">
        <v>1800</v>
      </c>
      <c r="C338" s="12" t="s">
        <v>1690</v>
      </c>
      <c r="D338" s="5" t="s">
        <v>1722</v>
      </c>
      <c r="E338" s="12">
        <v>421</v>
      </c>
      <c r="F338" s="14" t="s">
        <v>4224</v>
      </c>
      <c r="G338" s="12" t="s">
        <v>7</v>
      </c>
      <c r="H338" s="12" t="s">
        <v>9</v>
      </c>
      <c r="I338" s="11" t="s">
        <v>4065</v>
      </c>
      <c r="J338" s="12" t="s">
        <v>1609</v>
      </c>
      <c r="K338" s="12" t="str">
        <f t="shared" si="22"/>
        <v>Open</v>
      </c>
      <c r="L338" s="13"/>
      <c r="M338" s="12" t="s">
        <v>355</v>
      </c>
      <c r="N338" s="12"/>
      <c r="O338" s="12"/>
      <c r="P338" s="12" t="s">
        <v>3790</v>
      </c>
      <c r="Q338" s="12"/>
      <c r="R338" s="12" t="s">
        <v>3566</v>
      </c>
      <c r="S338" s="12" t="s">
        <v>19</v>
      </c>
      <c r="T338" s="13" t="s">
        <v>1547</v>
      </c>
      <c r="U338" s="12" t="str">
        <f t="shared" si="23"/>
        <v>CM Open</v>
      </c>
      <c r="V338" s="12" t="str">
        <f t="shared" si="20"/>
        <v>DAOUDI Mohamed</v>
      </c>
      <c r="W338" s="13" t="str">
        <f t="shared" si="21"/>
        <v/>
      </c>
    </row>
    <row r="339" spans="1:23" ht="14.4" customHeight="1" x14ac:dyDescent="0.3">
      <c r="A339" s="28">
        <v>44521</v>
      </c>
      <c r="B339" s="12" t="s">
        <v>1801</v>
      </c>
      <c r="C339" s="12" t="s">
        <v>1690</v>
      </c>
      <c r="D339" s="5" t="s">
        <v>1722</v>
      </c>
      <c r="E339" s="12">
        <v>602</v>
      </c>
      <c r="F339" s="14" t="s">
        <v>4225</v>
      </c>
      <c r="G339" s="12" t="s">
        <v>1</v>
      </c>
      <c r="H339" s="12" t="s">
        <v>9</v>
      </c>
      <c r="I339" s="14" t="s">
        <v>4226</v>
      </c>
      <c r="J339" s="12" t="s">
        <v>1545</v>
      </c>
      <c r="K339" s="12" t="str">
        <f t="shared" si="22"/>
        <v>Closed</v>
      </c>
      <c r="L339" s="13">
        <v>44579</v>
      </c>
      <c r="M339" s="12" t="s">
        <v>1061</v>
      </c>
      <c r="N339" s="12"/>
      <c r="O339" s="12"/>
      <c r="P339" s="12" t="s">
        <v>3790</v>
      </c>
      <c r="Q339" s="12"/>
      <c r="R339" s="12"/>
      <c r="S339" s="12"/>
      <c r="T339" s="12"/>
      <c r="U339" s="12" t="str">
        <f t="shared" si="23"/>
        <v>Corrected</v>
      </c>
      <c r="V339" s="12" t="str">
        <f t="shared" si="20"/>
        <v>KHAN Jahan</v>
      </c>
      <c r="W339" s="13">
        <f t="shared" si="21"/>
        <v>44579</v>
      </c>
    </row>
    <row r="340" spans="1:23" ht="14.4" customHeight="1" x14ac:dyDescent="0.3">
      <c r="A340" s="28">
        <v>44521</v>
      </c>
      <c r="B340" s="12" t="s">
        <v>1802</v>
      </c>
      <c r="C340" s="12" t="s">
        <v>1687</v>
      </c>
      <c r="D340" s="5" t="s">
        <v>1803</v>
      </c>
      <c r="E340" s="12">
        <v>610</v>
      </c>
      <c r="F340" s="11" t="s">
        <v>1804</v>
      </c>
      <c r="G340" s="12"/>
      <c r="H340" s="12" t="s">
        <v>11</v>
      </c>
      <c r="I340" s="11" t="s">
        <v>1805</v>
      </c>
      <c r="J340" s="12" t="s">
        <v>1574</v>
      </c>
      <c r="K340" s="12" t="str">
        <f t="shared" si="22"/>
        <v>Closed</v>
      </c>
      <c r="L340" s="13">
        <v>44523</v>
      </c>
      <c r="M340" s="12"/>
      <c r="N340" s="12"/>
      <c r="O340" s="12"/>
      <c r="P340" s="12" t="s">
        <v>3790</v>
      </c>
      <c r="Q340" s="12"/>
      <c r="R340" s="12"/>
      <c r="S340" s="12"/>
      <c r="T340" s="12"/>
      <c r="U340" s="12" t="str">
        <f t="shared" si="23"/>
        <v>NFF</v>
      </c>
      <c r="V340" s="12" t="str">
        <f t="shared" si="20"/>
        <v>FIRDUS Ahmad</v>
      </c>
      <c r="W340" s="13">
        <f t="shared" si="21"/>
        <v>44523</v>
      </c>
    </row>
    <row r="341" spans="1:23" ht="14.4" customHeight="1" x14ac:dyDescent="0.3">
      <c r="A341" s="28">
        <v>44521</v>
      </c>
      <c r="B341" s="12" t="s">
        <v>1806</v>
      </c>
      <c r="C341" s="12" t="s">
        <v>1690</v>
      </c>
      <c r="D341" s="5" t="s">
        <v>1722</v>
      </c>
      <c r="E341" s="12">
        <v>616</v>
      </c>
      <c r="F341" s="14" t="s">
        <v>4227</v>
      </c>
      <c r="G341" s="12" t="s">
        <v>7</v>
      </c>
      <c r="H341" s="12" t="s">
        <v>11</v>
      </c>
      <c r="I341" s="11"/>
      <c r="J341" s="12" t="s">
        <v>1574</v>
      </c>
      <c r="K341" s="12" t="str">
        <f t="shared" si="22"/>
        <v>Closed</v>
      </c>
      <c r="L341" s="13">
        <v>44620</v>
      </c>
      <c r="M341" s="12"/>
      <c r="N341" s="12"/>
      <c r="O341" s="12"/>
      <c r="P341" s="12" t="s">
        <v>3790</v>
      </c>
      <c r="Q341" s="12"/>
      <c r="R341" s="12"/>
      <c r="S341" s="12"/>
      <c r="T341" s="12"/>
      <c r="U341" s="12" t="str">
        <f t="shared" si="23"/>
        <v>NFF</v>
      </c>
      <c r="V341" s="12" t="str">
        <f t="shared" si="20"/>
        <v>FIRDUS Ahmad</v>
      </c>
      <c r="W341" s="13">
        <f t="shared" si="21"/>
        <v>44620</v>
      </c>
    </row>
    <row r="342" spans="1:23" ht="14.4" customHeight="1" x14ac:dyDescent="0.3">
      <c r="A342" s="28">
        <v>44523</v>
      </c>
      <c r="B342" s="12" t="s">
        <v>1807</v>
      </c>
      <c r="C342" s="12" t="s">
        <v>1542</v>
      </c>
      <c r="D342" s="5" t="s">
        <v>1675</v>
      </c>
      <c r="E342" s="12">
        <v>403</v>
      </c>
      <c r="F342" s="11" t="s">
        <v>1808</v>
      </c>
      <c r="G342" s="12"/>
      <c r="H342" s="12" t="s">
        <v>14</v>
      </c>
      <c r="I342" s="11" t="s">
        <v>1809</v>
      </c>
      <c r="J342" s="12" t="s">
        <v>1545</v>
      </c>
      <c r="K342" s="12" t="str">
        <f t="shared" si="22"/>
        <v>Closed</v>
      </c>
      <c r="L342" s="13">
        <v>44523</v>
      </c>
      <c r="M342" s="12" t="s">
        <v>1723</v>
      </c>
      <c r="N342" s="12"/>
      <c r="O342" s="12"/>
      <c r="P342" s="12" t="s">
        <v>3790</v>
      </c>
      <c r="Q342" s="12"/>
      <c r="R342" s="12"/>
      <c r="S342" s="12"/>
      <c r="T342" s="12"/>
      <c r="U342" s="12" t="str">
        <f t="shared" si="23"/>
        <v>Corrected</v>
      </c>
      <c r="V342" s="12" t="str">
        <f t="shared" si="20"/>
        <v>GUAN Jialin</v>
      </c>
      <c r="W342" s="13">
        <f t="shared" si="21"/>
        <v>44523</v>
      </c>
    </row>
    <row r="343" spans="1:23" ht="14.4" customHeight="1" x14ac:dyDescent="0.3">
      <c r="A343" s="28">
        <v>44523</v>
      </c>
      <c r="B343" s="12" t="s">
        <v>1810</v>
      </c>
      <c r="C343" s="12" t="s">
        <v>1542</v>
      </c>
      <c r="D343" s="5" t="s">
        <v>1675</v>
      </c>
      <c r="E343" s="12">
        <v>606</v>
      </c>
      <c r="F343" s="11" t="s">
        <v>213</v>
      </c>
      <c r="G343" s="12"/>
      <c r="H343" s="12" t="s">
        <v>14</v>
      </c>
      <c r="I343" s="14" t="s">
        <v>4228</v>
      </c>
      <c r="J343" s="12" t="s">
        <v>1545</v>
      </c>
      <c r="K343" s="12" t="str">
        <f t="shared" si="22"/>
        <v>Closed</v>
      </c>
      <c r="L343" s="13">
        <v>44556</v>
      </c>
      <c r="M343" s="12" t="s">
        <v>1811</v>
      </c>
      <c r="N343" s="12"/>
      <c r="O343" s="12"/>
      <c r="P343" s="12" t="s">
        <v>3790</v>
      </c>
      <c r="Q343" s="12"/>
      <c r="R343" s="12"/>
      <c r="S343" s="12"/>
      <c r="T343" s="12"/>
      <c r="U343" s="12" t="str">
        <f t="shared" si="23"/>
        <v>Corrected</v>
      </c>
      <c r="V343" s="12" t="str">
        <f t="shared" si="20"/>
        <v>GUAN Jialin</v>
      </c>
      <c r="W343" s="13">
        <f t="shared" si="21"/>
        <v>44556</v>
      </c>
    </row>
    <row r="344" spans="1:23" ht="14.4" customHeight="1" x14ac:dyDescent="0.3">
      <c r="A344" s="28">
        <v>44523</v>
      </c>
      <c r="B344" s="12" t="s">
        <v>1812</v>
      </c>
      <c r="C344" s="12" t="s">
        <v>1690</v>
      </c>
      <c r="D344" s="5" t="s">
        <v>1722</v>
      </c>
      <c r="E344" s="12">
        <v>601</v>
      </c>
      <c r="F344" s="11" t="s">
        <v>1813</v>
      </c>
      <c r="G344" s="12"/>
      <c r="H344" s="12" t="s">
        <v>9</v>
      </c>
      <c r="I344" s="11" t="s">
        <v>4229</v>
      </c>
      <c r="J344" s="12" t="s">
        <v>1545</v>
      </c>
      <c r="K344" s="12" t="str">
        <f t="shared" si="22"/>
        <v>Closed</v>
      </c>
      <c r="L344" s="13">
        <v>44523</v>
      </c>
      <c r="M344" s="12"/>
      <c r="N344" s="12"/>
      <c r="O344" s="12"/>
      <c r="P344" s="12" t="s">
        <v>3790</v>
      </c>
      <c r="Q344" s="12"/>
      <c r="R344" s="12"/>
      <c r="S344" s="12"/>
      <c r="T344" s="12"/>
      <c r="U344" s="12" t="str">
        <f t="shared" si="23"/>
        <v>Corrected</v>
      </c>
      <c r="V344" s="12" t="str">
        <f t="shared" si="20"/>
        <v>KHAN Jahan</v>
      </c>
      <c r="W344" s="13">
        <f t="shared" si="21"/>
        <v>44523</v>
      </c>
    </row>
    <row r="345" spans="1:23" ht="14.4" customHeight="1" x14ac:dyDescent="0.3">
      <c r="A345" s="28">
        <v>44523</v>
      </c>
      <c r="B345" s="12" t="s">
        <v>1814</v>
      </c>
      <c r="C345" s="12" t="s">
        <v>1690</v>
      </c>
      <c r="D345" s="5" t="s">
        <v>1722</v>
      </c>
      <c r="E345" s="12">
        <v>420</v>
      </c>
      <c r="F345" s="11" t="s">
        <v>4230</v>
      </c>
      <c r="G345" s="12"/>
      <c r="H345" s="12" t="s">
        <v>9</v>
      </c>
      <c r="I345" s="11" t="s">
        <v>1815</v>
      </c>
      <c r="J345" s="12" t="s">
        <v>1545</v>
      </c>
      <c r="K345" s="12" t="str">
        <f t="shared" si="22"/>
        <v>Closed</v>
      </c>
      <c r="L345" s="13">
        <v>44523</v>
      </c>
      <c r="M345" s="12"/>
      <c r="N345" s="12"/>
      <c r="O345" s="12"/>
      <c r="P345" s="12" t="s">
        <v>2788</v>
      </c>
      <c r="Q345" s="12"/>
      <c r="R345" s="12"/>
      <c r="S345" s="12"/>
      <c r="T345" s="12"/>
      <c r="U345" s="12" t="str">
        <f t="shared" si="23"/>
        <v>Corrected</v>
      </c>
      <c r="V345" s="12" t="str">
        <f t="shared" si="20"/>
        <v>KHAN Jahan</v>
      </c>
      <c r="W345" s="13">
        <f t="shared" si="21"/>
        <v>44523</v>
      </c>
    </row>
    <row r="346" spans="1:23" ht="14.4" customHeight="1" x14ac:dyDescent="0.3">
      <c r="A346" s="28">
        <v>44523</v>
      </c>
      <c r="B346" s="12" t="s">
        <v>1816</v>
      </c>
      <c r="C346" s="12" t="s">
        <v>1690</v>
      </c>
      <c r="D346" s="5" t="s">
        <v>1722</v>
      </c>
      <c r="E346" s="12">
        <v>603</v>
      </c>
      <c r="F346" s="11" t="s">
        <v>1817</v>
      </c>
      <c r="G346" s="12"/>
      <c r="H346" s="12" t="s">
        <v>9</v>
      </c>
      <c r="I346" s="11"/>
      <c r="J346" s="12" t="s">
        <v>1574</v>
      </c>
      <c r="K346" s="12" t="str">
        <f t="shared" si="22"/>
        <v>Closed</v>
      </c>
      <c r="L346" s="13">
        <v>44524</v>
      </c>
      <c r="M346" s="12"/>
      <c r="N346" s="12"/>
      <c r="O346" s="12"/>
      <c r="P346" s="12" t="s">
        <v>3790</v>
      </c>
      <c r="Q346" s="12"/>
      <c r="R346" s="12"/>
      <c r="S346" s="12"/>
      <c r="T346" s="12"/>
      <c r="U346" s="12" t="str">
        <f t="shared" si="23"/>
        <v>NFF</v>
      </c>
      <c r="V346" s="12" t="str">
        <f t="shared" si="20"/>
        <v>KHAN Jahan</v>
      </c>
      <c r="W346" s="13">
        <f t="shared" si="21"/>
        <v>44524</v>
      </c>
    </row>
    <row r="347" spans="1:23" ht="14.4" customHeight="1" x14ac:dyDescent="0.3">
      <c r="A347" s="28">
        <v>44525</v>
      </c>
      <c r="B347" s="12" t="s">
        <v>1818</v>
      </c>
      <c r="C347" s="12" t="s">
        <v>1690</v>
      </c>
      <c r="D347" s="5" t="s">
        <v>1722</v>
      </c>
      <c r="E347" s="12">
        <v>604</v>
      </c>
      <c r="F347" s="11" t="s">
        <v>1720</v>
      </c>
      <c r="G347" s="12"/>
      <c r="H347" s="12" t="s">
        <v>11</v>
      </c>
      <c r="I347" s="11" t="s">
        <v>1820</v>
      </c>
      <c r="J347" s="12" t="s">
        <v>1545</v>
      </c>
      <c r="K347" s="12" t="str">
        <f t="shared" si="22"/>
        <v>Closed</v>
      </c>
      <c r="L347" s="13">
        <v>44529</v>
      </c>
      <c r="M347" s="12" t="s">
        <v>1819</v>
      </c>
      <c r="N347" s="12"/>
      <c r="O347" s="12"/>
      <c r="P347" s="12" t="s">
        <v>2788</v>
      </c>
      <c r="Q347" s="12"/>
      <c r="R347" s="12"/>
      <c r="S347" s="12"/>
      <c r="T347" s="12"/>
      <c r="U347" s="12" t="str">
        <f t="shared" si="23"/>
        <v>Corrected</v>
      </c>
      <c r="V347" s="12" t="str">
        <f t="shared" si="20"/>
        <v>FIRDUS Ahmad</v>
      </c>
      <c r="W347" s="13">
        <f t="shared" si="21"/>
        <v>44529</v>
      </c>
    </row>
    <row r="348" spans="1:23" ht="57.6" x14ac:dyDescent="0.3">
      <c r="A348" s="28">
        <v>44529</v>
      </c>
      <c r="B348" s="12" t="s">
        <v>1456</v>
      </c>
      <c r="C348" s="12" t="s">
        <v>1823</v>
      </c>
      <c r="D348" s="5" t="s">
        <v>1722</v>
      </c>
      <c r="E348" s="12">
        <v>424</v>
      </c>
      <c r="F348" s="11" t="s">
        <v>1824</v>
      </c>
      <c r="G348" s="12" t="s">
        <v>1</v>
      </c>
      <c r="H348" s="12" t="s">
        <v>19</v>
      </c>
      <c r="I348" s="14" t="s">
        <v>4231</v>
      </c>
      <c r="J348" s="12" t="s">
        <v>1545</v>
      </c>
      <c r="K348" s="12" t="str">
        <f t="shared" si="22"/>
        <v>Closed</v>
      </c>
      <c r="L348" s="13">
        <v>44599</v>
      </c>
      <c r="M348" s="12"/>
      <c r="N348" s="12" t="s">
        <v>2683</v>
      </c>
      <c r="O348" s="12"/>
      <c r="P348" s="12" t="s">
        <v>3790</v>
      </c>
      <c r="Q348" s="12"/>
      <c r="R348" s="12"/>
      <c r="S348" s="12"/>
      <c r="T348" s="12"/>
      <c r="U348" s="12" t="str">
        <f t="shared" si="23"/>
        <v>Corrected</v>
      </c>
      <c r="V348" s="12" t="str">
        <f t="shared" si="20"/>
        <v>DAOUDI Mohamed</v>
      </c>
      <c r="W348" s="13">
        <f t="shared" si="21"/>
        <v>44599</v>
      </c>
    </row>
    <row r="349" spans="1:23" ht="14.4" customHeight="1" x14ac:dyDescent="0.3">
      <c r="A349" s="28">
        <v>44529</v>
      </c>
      <c r="B349" s="12" t="s">
        <v>1825</v>
      </c>
      <c r="C349" s="12" t="s">
        <v>1687</v>
      </c>
      <c r="D349" s="5" t="s">
        <v>1675</v>
      </c>
      <c r="E349" s="12">
        <v>411</v>
      </c>
      <c r="F349" s="11" t="s">
        <v>1826</v>
      </c>
      <c r="G349" s="12"/>
      <c r="H349" s="12" t="s">
        <v>14</v>
      </c>
      <c r="I349" s="11" t="s">
        <v>1827</v>
      </c>
      <c r="J349" s="12" t="s">
        <v>1545</v>
      </c>
      <c r="K349" s="12" t="str">
        <f t="shared" si="22"/>
        <v>Closed</v>
      </c>
      <c r="L349" s="13">
        <v>44538</v>
      </c>
      <c r="M349" s="12"/>
      <c r="N349" s="12"/>
      <c r="O349" s="12"/>
      <c r="P349" s="12" t="s">
        <v>3790</v>
      </c>
      <c r="Q349" s="12"/>
      <c r="R349" s="12"/>
      <c r="S349" s="12"/>
      <c r="T349" s="12"/>
      <c r="U349" s="12" t="str">
        <f t="shared" si="23"/>
        <v>Corrected</v>
      </c>
      <c r="V349" s="12" t="str">
        <f t="shared" si="20"/>
        <v>GUAN Jialin</v>
      </c>
      <c r="W349" s="13">
        <f t="shared" si="21"/>
        <v>44538</v>
      </c>
    </row>
    <row r="350" spans="1:23" ht="14.4" customHeight="1" x14ac:dyDescent="0.3">
      <c r="A350" s="28">
        <v>44529</v>
      </c>
      <c r="B350" s="12" t="s">
        <v>1828</v>
      </c>
      <c r="C350" s="12" t="s">
        <v>1690</v>
      </c>
      <c r="D350" s="5" t="s">
        <v>1675</v>
      </c>
      <c r="E350" s="12">
        <v>416</v>
      </c>
      <c r="F350" s="14" t="s">
        <v>4232</v>
      </c>
      <c r="G350" s="12"/>
      <c r="H350" s="12" t="s">
        <v>11</v>
      </c>
      <c r="I350" s="11" t="s">
        <v>1829</v>
      </c>
      <c r="J350" s="12" t="s">
        <v>1545</v>
      </c>
      <c r="K350" s="12" t="str">
        <f t="shared" si="22"/>
        <v>Closed</v>
      </c>
      <c r="L350" s="13">
        <v>44551</v>
      </c>
      <c r="M350" s="12"/>
      <c r="N350" s="12"/>
      <c r="O350" s="12"/>
      <c r="P350" s="12" t="s">
        <v>3790</v>
      </c>
      <c r="Q350" s="12"/>
      <c r="R350" s="12"/>
      <c r="S350" s="12"/>
      <c r="T350" s="12"/>
      <c r="U350" s="12" t="str">
        <f t="shared" si="23"/>
        <v>Corrected</v>
      </c>
      <c r="V350" s="12" t="str">
        <f t="shared" si="20"/>
        <v>FIRDUS Ahmad</v>
      </c>
      <c r="W350" s="13">
        <f t="shared" si="21"/>
        <v>44551</v>
      </c>
    </row>
    <row r="351" spans="1:23" ht="14.4" customHeight="1" x14ac:dyDescent="0.3">
      <c r="A351" s="28">
        <v>44529</v>
      </c>
      <c r="B351" s="12" t="s">
        <v>1830</v>
      </c>
      <c r="C351" s="12" t="s">
        <v>1687</v>
      </c>
      <c r="D351" s="5" t="s">
        <v>1675</v>
      </c>
      <c r="E351" s="12">
        <v>610</v>
      </c>
      <c r="F351" s="11" t="s">
        <v>1831</v>
      </c>
      <c r="G351" s="12"/>
      <c r="H351" s="12" t="s">
        <v>9</v>
      </c>
      <c r="I351" s="11" t="s">
        <v>1832</v>
      </c>
      <c r="J351" s="12" t="s">
        <v>1574</v>
      </c>
      <c r="K351" s="12" t="str">
        <f t="shared" si="22"/>
        <v>Closed</v>
      </c>
      <c r="L351" s="13">
        <v>44539</v>
      </c>
      <c r="M351" s="12"/>
      <c r="N351" s="12"/>
      <c r="O351" s="12"/>
      <c r="P351" s="12" t="s">
        <v>3790</v>
      </c>
      <c r="Q351" s="12"/>
      <c r="R351" s="12"/>
      <c r="S351" s="12"/>
      <c r="T351" s="12"/>
      <c r="U351" s="12" t="str">
        <f t="shared" si="23"/>
        <v>NFF</v>
      </c>
      <c r="V351" s="12" t="str">
        <f t="shared" si="20"/>
        <v>KHAN Jahan</v>
      </c>
      <c r="W351" s="13">
        <f t="shared" si="21"/>
        <v>44539</v>
      </c>
    </row>
    <row r="352" spans="1:23" ht="14.4" customHeight="1" x14ac:dyDescent="0.3">
      <c r="A352" s="28">
        <v>44529</v>
      </c>
      <c r="B352" s="12" t="s">
        <v>1833</v>
      </c>
      <c r="C352" s="12" t="s">
        <v>1690</v>
      </c>
      <c r="D352" s="5" t="s">
        <v>1675</v>
      </c>
      <c r="E352" s="12">
        <v>403</v>
      </c>
      <c r="F352" s="14" t="s">
        <v>4233</v>
      </c>
      <c r="G352" s="12" t="s">
        <v>1</v>
      </c>
      <c r="H352" s="12" t="s">
        <v>17</v>
      </c>
      <c r="I352" s="14" t="s">
        <v>4234</v>
      </c>
      <c r="J352" s="12" t="s">
        <v>1574</v>
      </c>
      <c r="K352" s="12" t="str">
        <f t="shared" si="22"/>
        <v>Closed</v>
      </c>
      <c r="L352" s="13">
        <v>44588</v>
      </c>
      <c r="M352" s="12"/>
      <c r="N352" s="12"/>
      <c r="O352" s="12"/>
      <c r="P352" s="12" t="s">
        <v>3790</v>
      </c>
      <c r="Q352" s="12"/>
      <c r="R352" s="12"/>
      <c r="S352" s="12"/>
      <c r="T352" s="12"/>
      <c r="U352" s="12" t="str">
        <f t="shared" si="23"/>
        <v>NFF</v>
      </c>
      <c r="V352" s="12" t="str">
        <f t="shared" si="20"/>
        <v>FATHI Charafeddine</v>
      </c>
      <c r="W352" s="13">
        <f t="shared" si="21"/>
        <v>44588</v>
      </c>
    </row>
    <row r="353" spans="1:23" ht="14.4" customHeight="1" x14ac:dyDescent="0.3">
      <c r="A353" s="28">
        <v>44530</v>
      </c>
      <c r="B353" s="12" t="s">
        <v>1834</v>
      </c>
      <c r="C353" s="12" t="s">
        <v>1690</v>
      </c>
      <c r="D353" s="5" t="s">
        <v>1722</v>
      </c>
      <c r="E353" s="12">
        <v>418</v>
      </c>
      <c r="F353" s="11" t="s">
        <v>1835</v>
      </c>
      <c r="G353" s="12"/>
      <c r="H353" s="12" t="s">
        <v>11</v>
      </c>
      <c r="I353" s="11" t="s">
        <v>1836</v>
      </c>
      <c r="J353" s="12" t="s">
        <v>1545</v>
      </c>
      <c r="K353" s="12" t="str">
        <f t="shared" si="22"/>
        <v>Closed</v>
      </c>
      <c r="L353" s="13">
        <v>44551</v>
      </c>
      <c r="M353" s="12"/>
      <c r="N353" s="12"/>
      <c r="O353" s="12"/>
      <c r="P353" s="12" t="s">
        <v>3790</v>
      </c>
      <c r="Q353" s="12"/>
      <c r="R353" s="12"/>
      <c r="S353" s="12"/>
      <c r="T353" s="12"/>
      <c r="U353" s="12" t="str">
        <f t="shared" si="23"/>
        <v>Corrected</v>
      </c>
      <c r="V353" s="12" t="str">
        <f t="shared" si="20"/>
        <v>FIRDUS Ahmad</v>
      </c>
      <c r="W353" s="13">
        <f t="shared" si="21"/>
        <v>44551</v>
      </c>
    </row>
    <row r="354" spans="1:23" ht="14.4" customHeight="1" x14ac:dyDescent="0.3">
      <c r="A354" s="28">
        <v>44530</v>
      </c>
      <c r="B354" s="12" t="s">
        <v>1837</v>
      </c>
      <c r="C354" s="12" t="s">
        <v>1690</v>
      </c>
      <c r="D354" s="5" t="s">
        <v>1722</v>
      </c>
      <c r="E354" s="12">
        <v>410</v>
      </c>
      <c r="F354" s="11" t="s">
        <v>1781</v>
      </c>
      <c r="G354" s="12"/>
      <c r="H354" s="12" t="s">
        <v>11</v>
      </c>
      <c r="I354" s="14" t="s">
        <v>4235</v>
      </c>
      <c r="J354" s="12" t="s">
        <v>1545</v>
      </c>
      <c r="K354" s="12" t="str">
        <f t="shared" si="22"/>
        <v>Closed</v>
      </c>
      <c r="L354" s="13">
        <v>44551</v>
      </c>
      <c r="M354" s="12"/>
      <c r="N354" s="12"/>
      <c r="O354" s="12"/>
      <c r="P354" s="12" t="s">
        <v>2788</v>
      </c>
      <c r="Q354" s="12"/>
      <c r="R354" s="12"/>
      <c r="S354" s="12"/>
      <c r="T354" s="12"/>
      <c r="U354" s="12" t="str">
        <f t="shared" si="23"/>
        <v>Corrected</v>
      </c>
      <c r="V354" s="12" t="str">
        <f t="shared" si="20"/>
        <v>FIRDUS Ahmad</v>
      </c>
      <c r="W354" s="13">
        <f t="shared" si="21"/>
        <v>44551</v>
      </c>
    </row>
    <row r="355" spans="1:23" ht="14.4" customHeight="1" x14ac:dyDescent="0.3">
      <c r="A355" s="28">
        <v>44530</v>
      </c>
      <c r="B355" s="12" t="s">
        <v>1838</v>
      </c>
      <c r="C355" s="12" t="s">
        <v>1823</v>
      </c>
      <c r="D355" s="5" t="s">
        <v>1675</v>
      </c>
      <c r="E355" s="12">
        <v>404</v>
      </c>
      <c r="F355" s="11" t="s">
        <v>1839</v>
      </c>
      <c r="G355" s="12"/>
      <c r="H355" s="12" t="s">
        <v>14</v>
      </c>
      <c r="I355" s="11" t="s">
        <v>1840</v>
      </c>
      <c r="J355" s="12" t="s">
        <v>1545</v>
      </c>
      <c r="K355" s="12" t="str">
        <f t="shared" si="22"/>
        <v>Closed</v>
      </c>
      <c r="L355" s="13">
        <v>44538</v>
      </c>
      <c r="M355" s="12"/>
      <c r="N355" s="12"/>
      <c r="O355" s="12"/>
      <c r="P355" s="12" t="s">
        <v>3790</v>
      </c>
      <c r="Q355" s="12"/>
      <c r="R355" s="12"/>
      <c r="S355" s="12"/>
      <c r="T355" s="12"/>
      <c r="U355" s="12" t="str">
        <f t="shared" si="23"/>
        <v>Corrected</v>
      </c>
      <c r="V355" s="12" t="str">
        <f t="shared" si="20"/>
        <v>GUAN Jialin</v>
      </c>
      <c r="W355" s="13">
        <f t="shared" si="21"/>
        <v>44538</v>
      </c>
    </row>
    <row r="356" spans="1:23" ht="14.4" customHeight="1" x14ac:dyDescent="0.3">
      <c r="A356" s="28">
        <v>44530</v>
      </c>
      <c r="B356" s="12" t="s">
        <v>1841</v>
      </c>
      <c r="C356" s="12" t="s">
        <v>1690</v>
      </c>
      <c r="D356" s="5" t="s">
        <v>1722</v>
      </c>
      <c r="E356" s="12">
        <v>651</v>
      </c>
      <c r="F356" s="11" t="s">
        <v>1842</v>
      </c>
      <c r="G356" s="12"/>
      <c r="H356" s="12" t="s">
        <v>19</v>
      </c>
      <c r="I356" s="11" t="s">
        <v>1844</v>
      </c>
      <c r="J356" s="12" t="s">
        <v>1545</v>
      </c>
      <c r="K356" s="12" t="str">
        <f t="shared" si="22"/>
        <v>Closed</v>
      </c>
      <c r="L356" s="13">
        <v>44535</v>
      </c>
      <c r="M356" s="12" t="s">
        <v>1843</v>
      </c>
      <c r="N356" s="12"/>
      <c r="O356" s="12"/>
      <c r="P356" s="12" t="s">
        <v>2788</v>
      </c>
      <c r="Q356" s="12"/>
      <c r="R356" s="12"/>
      <c r="S356" s="12"/>
      <c r="T356" s="12"/>
      <c r="U356" s="12" t="str">
        <f t="shared" si="23"/>
        <v>Corrected</v>
      </c>
      <c r="V356" s="12" t="str">
        <f t="shared" si="20"/>
        <v>DAOUDI Mohamed</v>
      </c>
      <c r="W356" s="13">
        <f t="shared" si="21"/>
        <v>44535</v>
      </c>
    </row>
    <row r="357" spans="1:23" ht="43.2" customHeight="1" x14ac:dyDescent="0.3">
      <c r="A357" s="28">
        <v>44530</v>
      </c>
      <c r="B357" s="12" t="s">
        <v>1845</v>
      </c>
      <c r="C357" s="12" t="s">
        <v>1690</v>
      </c>
      <c r="D357" s="5" t="s">
        <v>1846</v>
      </c>
      <c r="E357" s="12">
        <v>405</v>
      </c>
      <c r="F357" s="11" t="s">
        <v>1847</v>
      </c>
      <c r="G357" s="12"/>
      <c r="H357" s="12" t="s">
        <v>18</v>
      </c>
      <c r="I357" s="11" t="s">
        <v>1848</v>
      </c>
      <c r="J357" s="12" t="s">
        <v>1545</v>
      </c>
      <c r="K357" s="12" t="str">
        <f t="shared" si="22"/>
        <v>Closed</v>
      </c>
      <c r="L357" s="13">
        <v>44542</v>
      </c>
      <c r="M357" s="12"/>
      <c r="N357" s="12"/>
      <c r="O357" s="12"/>
      <c r="P357" s="12" t="s">
        <v>3790</v>
      </c>
      <c r="Q357" s="12"/>
      <c r="R357" s="12"/>
      <c r="S357" s="12"/>
      <c r="T357" s="12"/>
      <c r="U357" s="12" t="str">
        <f t="shared" si="23"/>
        <v>Corrected</v>
      </c>
      <c r="V357" s="12" t="str">
        <f t="shared" si="20"/>
        <v>BENAYED Elie</v>
      </c>
      <c r="W357" s="13">
        <f t="shared" si="21"/>
        <v>44542</v>
      </c>
    </row>
    <row r="358" spans="1:23" ht="43.2" customHeight="1" x14ac:dyDescent="0.3">
      <c r="A358" s="28">
        <v>44530</v>
      </c>
      <c r="B358" s="12" t="s">
        <v>1849</v>
      </c>
      <c r="C358" s="12" t="s">
        <v>1690</v>
      </c>
      <c r="D358" s="5" t="s">
        <v>1722</v>
      </c>
      <c r="E358" s="12">
        <v>623</v>
      </c>
      <c r="F358" s="11" t="s">
        <v>1850</v>
      </c>
      <c r="G358" s="12" t="s">
        <v>1</v>
      </c>
      <c r="H358" s="12" t="s">
        <v>11</v>
      </c>
      <c r="I358" s="14" t="s">
        <v>4236</v>
      </c>
      <c r="J358" s="12" t="s">
        <v>1545</v>
      </c>
      <c r="K358" s="12" t="str">
        <f t="shared" si="22"/>
        <v>Closed</v>
      </c>
      <c r="L358" s="13">
        <v>44551</v>
      </c>
      <c r="M358" s="12" t="s">
        <v>1851</v>
      </c>
      <c r="N358" s="12"/>
      <c r="O358" s="12"/>
      <c r="P358" s="12" t="s">
        <v>2788</v>
      </c>
      <c r="Q358" s="12"/>
      <c r="R358" s="12"/>
      <c r="S358" s="12"/>
      <c r="T358" s="12"/>
      <c r="U358" s="12" t="str">
        <f t="shared" si="23"/>
        <v>Corrected</v>
      </c>
      <c r="V358" s="12" t="str">
        <f t="shared" si="20"/>
        <v>FIRDUS Ahmad</v>
      </c>
      <c r="W358" s="13">
        <f t="shared" si="21"/>
        <v>44551</v>
      </c>
    </row>
    <row r="359" spans="1:23" ht="43.2" customHeight="1" x14ac:dyDescent="0.3">
      <c r="A359" s="28">
        <v>44530</v>
      </c>
      <c r="B359" s="12" t="s">
        <v>1852</v>
      </c>
      <c r="C359" s="12" t="s">
        <v>1690</v>
      </c>
      <c r="D359" s="5" t="s">
        <v>1846</v>
      </c>
      <c r="E359" s="12">
        <v>601</v>
      </c>
      <c r="F359" s="14" t="s">
        <v>4237</v>
      </c>
      <c r="G359" s="12" t="s">
        <v>7</v>
      </c>
      <c r="H359" s="12" t="s">
        <v>14</v>
      </c>
      <c r="I359" s="11" t="s">
        <v>3398</v>
      </c>
      <c r="J359" s="12" t="s">
        <v>1574</v>
      </c>
      <c r="K359" s="12" t="str">
        <f t="shared" si="22"/>
        <v>Closed</v>
      </c>
      <c r="L359" s="13">
        <v>44587</v>
      </c>
      <c r="M359" s="12" t="s">
        <v>395</v>
      </c>
      <c r="N359" s="12"/>
      <c r="O359" s="12"/>
      <c r="P359" s="12" t="s">
        <v>3790</v>
      </c>
      <c r="Q359" s="12"/>
      <c r="R359" s="12"/>
      <c r="S359" s="12"/>
      <c r="T359" s="12"/>
      <c r="U359" s="12" t="str">
        <f t="shared" si="23"/>
        <v>NFF</v>
      </c>
      <c r="V359" s="12" t="str">
        <f t="shared" si="20"/>
        <v>GUAN Jialin</v>
      </c>
      <c r="W359" s="13">
        <f t="shared" si="21"/>
        <v>44587</v>
      </c>
    </row>
    <row r="360" spans="1:23" ht="14.4" customHeight="1" x14ac:dyDescent="0.3">
      <c r="A360" s="28">
        <v>44530</v>
      </c>
      <c r="B360" s="12" t="s">
        <v>1858</v>
      </c>
      <c r="C360" s="12" t="s">
        <v>1690</v>
      </c>
      <c r="D360" s="5" t="s">
        <v>1722</v>
      </c>
      <c r="E360" s="12">
        <v>404</v>
      </c>
      <c r="F360" s="14" t="s">
        <v>4238</v>
      </c>
      <c r="G360" s="12"/>
      <c r="H360" s="12" t="s">
        <v>9</v>
      </c>
      <c r="I360" s="11" t="s">
        <v>1859</v>
      </c>
      <c r="J360" s="12" t="s">
        <v>1574</v>
      </c>
      <c r="K360" s="12" t="str">
        <f t="shared" si="22"/>
        <v>Closed</v>
      </c>
      <c r="L360" s="13">
        <v>44538</v>
      </c>
      <c r="M360" s="12"/>
      <c r="N360" s="12"/>
      <c r="O360" s="12"/>
      <c r="P360" s="12" t="s">
        <v>3790</v>
      </c>
      <c r="Q360" s="12"/>
      <c r="R360" s="12"/>
      <c r="S360" s="12"/>
      <c r="T360" s="12"/>
      <c r="U360" s="12" t="str">
        <f t="shared" si="23"/>
        <v>NFF</v>
      </c>
      <c r="V360" s="12" t="str">
        <f t="shared" si="20"/>
        <v>KHAN Jahan</v>
      </c>
      <c r="W360" s="13">
        <f t="shared" si="21"/>
        <v>44538</v>
      </c>
    </row>
    <row r="361" spans="1:23" ht="14.4" customHeight="1" x14ac:dyDescent="0.3">
      <c r="A361" s="28">
        <v>44530</v>
      </c>
      <c r="B361" s="12" t="s">
        <v>1860</v>
      </c>
      <c r="C361" s="12" t="s">
        <v>1690</v>
      </c>
      <c r="D361" s="5" t="s">
        <v>1722</v>
      </c>
      <c r="E361" s="12">
        <v>624</v>
      </c>
      <c r="F361" s="11" t="s">
        <v>1861</v>
      </c>
      <c r="G361" s="12"/>
      <c r="H361" s="12" t="s">
        <v>9</v>
      </c>
      <c r="I361" s="11" t="s">
        <v>1862</v>
      </c>
      <c r="J361" s="12" t="s">
        <v>1574</v>
      </c>
      <c r="K361" s="12" t="str">
        <f t="shared" si="22"/>
        <v>Closed</v>
      </c>
      <c r="L361" s="13">
        <v>44546</v>
      </c>
      <c r="M361" s="12"/>
      <c r="N361" s="12"/>
      <c r="O361" s="12"/>
      <c r="P361" s="12" t="s">
        <v>3790</v>
      </c>
      <c r="Q361" s="12"/>
      <c r="R361" s="12"/>
      <c r="S361" s="12"/>
      <c r="T361" s="12"/>
      <c r="U361" s="12" t="str">
        <f t="shared" si="23"/>
        <v>NFF</v>
      </c>
      <c r="V361" s="12" t="str">
        <f t="shared" si="20"/>
        <v>KHAN Jahan</v>
      </c>
      <c r="W361" s="13">
        <f t="shared" si="21"/>
        <v>44546</v>
      </c>
    </row>
    <row r="362" spans="1:23" ht="43.2" x14ac:dyDescent="0.3">
      <c r="A362" s="28">
        <v>44530</v>
      </c>
      <c r="B362" s="12" t="s">
        <v>1863</v>
      </c>
      <c r="C362" s="12" t="s">
        <v>1690</v>
      </c>
      <c r="D362" s="5" t="s">
        <v>1722</v>
      </c>
      <c r="E362" s="12">
        <v>605</v>
      </c>
      <c r="F362" s="14" t="s">
        <v>4239</v>
      </c>
      <c r="G362" s="12"/>
      <c r="H362" s="12" t="s">
        <v>19</v>
      </c>
      <c r="I362" s="14" t="s">
        <v>4240</v>
      </c>
      <c r="J362" s="12" t="s">
        <v>1574</v>
      </c>
      <c r="K362" s="12" t="str">
        <f t="shared" si="22"/>
        <v>Closed</v>
      </c>
      <c r="L362" s="13">
        <v>44531</v>
      </c>
      <c r="M362" s="12"/>
      <c r="N362" s="12"/>
      <c r="O362" s="12"/>
      <c r="P362" s="12" t="s">
        <v>3790</v>
      </c>
      <c r="Q362" s="12"/>
      <c r="R362" s="12"/>
      <c r="S362" s="12"/>
      <c r="T362" s="12"/>
      <c r="U362" s="12" t="str">
        <f t="shared" si="23"/>
        <v>NFF</v>
      </c>
      <c r="V362" s="12" t="str">
        <f t="shared" si="20"/>
        <v>DAOUDI Mohamed</v>
      </c>
      <c r="W362" s="13">
        <f t="shared" si="21"/>
        <v>44531</v>
      </c>
    </row>
    <row r="363" spans="1:23" ht="14.4" customHeight="1" x14ac:dyDescent="0.3">
      <c r="A363" s="28">
        <v>44530</v>
      </c>
      <c r="B363" s="12" t="s">
        <v>1864</v>
      </c>
      <c r="C363" s="12" t="s">
        <v>1823</v>
      </c>
      <c r="D363" s="5" t="s">
        <v>1675</v>
      </c>
      <c r="E363" s="12">
        <v>414</v>
      </c>
      <c r="F363" s="11" t="s">
        <v>1865</v>
      </c>
      <c r="G363" s="12"/>
      <c r="H363" s="12" t="s">
        <v>19</v>
      </c>
      <c r="I363" s="11" t="s">
        <v>1866</v>
      </c>
      <c r="J363" s="12" t="s">
        <v>1574</v>
      </c>
      <c r="K363" s="12" t="str">
        <f t="shared" si="22"/>
        <v>Closed</v>
      </c>
      <c r="L363" s="13">
        <v>44560</v>
      </c>
      <c r="M363" s="12"/>
      <c r="N363" s="12"/>
      <c r="O363" s="12"/>
      <c r="P363" s="12" t="s">
        <v>3790</v>
      </c>
      <c r="Q363" s="12"/>
      <c r="R363" s="12"/>
      <c r="S363" s="12"/>
      <c r="T363" s="12"/>
      <c r="U363" s="12" t="str">
        <f t="shared" si="23"/>
        <v>NFF</v>
      </c>
      <c r="V363" s="12" t="str">
        <f t="shared" si="20"/>
        <v>DAOUDI Mohamed</v>
      </c>
      <c r="W363" s="13">
        <f t="shared" si="21"/>
        <v>44560</v>
      </c>
    </row>
    <row r="364" spans="1:23" ht="14.4" customHeight="1" x14ac:dyDescent="0.3">
      <c r="A364" s="28">
        <v>44530</v>
      </c>
      <c r="B364" s="12" t="s">
        <v>1869</v>
      </c>
      <c r="C364" s="12" t="s">
        <v>1690</v>
      </c>
      <c r="D364" s="5" t="s">
        <v>1846</v>
      </c>
      <c r="E364" s="12">
        <v>409</v>
      </c>
      <c r="F364" s="11" t="s">
        <v>1847</v>
      </c>
      <c r="G364" s="12" t="s">
        <v>7</v>
      </c>
      <c r="H364" s="12" t="s">
        <v>18</v>
      </c>
      <c r="I364" s="11" t="s">
        <v>1870</v>
      </c>
      <c r="J364" s="12" t="s">
        <v>1574</v>
      </c>
      <c r="K364" s="12" t="str">
        <f t="shared" si="22"/>
        <v>Closed</v>
      </c>
      <c r="L364" s="13">
        <v>44598</v>
      </c>
      <c r="M364" s="12"/>
      <c r="N364" s="12"/>
      <c r="O364" s="12"/>
      <c r="P364" s="12" t="s">
        <v>3790</v>
      </c>
      <c r="Q364" s="12"/>
      <c r="R364" s="12"/>
      <c r="S364" s="12"/>
      <c r="T364" s="12"/>
      <c r="U364" s="12" t="str">
        <f t="shared" si="23"/>
        <v>NFF</v>
      </c>
      <c r="V364" s="12" t="str">
        <f t="shared" si="20"/>
        <v>BENAYED Elie</v>
      </c>
      <c r="W364" s="13">
        <f t="shared" si="21"/>
        <v>44598</v>
      </c>
    </row>
    <row r="365" spans="1:23" ht="14.4" customHeight="1" x14ac:dyDescent="0.3">
      <c r="A365" s="28">
        <v>44531</v>
      </c>
      <c r="B365" s="12" t="s">
        <v>1871</v>
      </c>
      <c r="C365" s="12" t="s">
        <v>1687</v>
      </c>
      <c r="D365" s="5" t="s">
        <v>1722</v>
      </c>
      <c r="E365" s="12">
        <v>603</v>
      </c>
      <c r="F365" s="11" t="s">
        <v>1872</v>
      </c>
      <c r="G365" s="12"/>
      <c r="H365" s="12" t="s">
        <v>19</v>
      </c>
      <c r="I365" s="11" t="s">
        <v>1874</v>
      </c>
      <c r="J365" s="12" t="s">
        <v>1545</v>
      </c>
      <c r="K365" s="12" t="str">
        <f t="shared" si="22"/>
        <v>Closed</v>
      </c>
      <c r="L365" s="13">
        <v>44538</v>
      </c>
      <c r="M365" s="12" t="s">
        <v>1873</v>
      </c>
      <c r="N365" s="12"/>
      <c r="O365" s="12"/>
      <c r="P365" s="12" t="s">
        <v>3790</v>
      </c>
      <c r="Q365" s="12"/>
      <c r="R365" s="12"/>
      <c r="S365" s="12"/>
      <c r="T365" s="12"/>
      <c r="U365" s="12" t="str">
        <f t="shared" si="23"/>
        <v>Corrected</v>
      </c>
      <c r="V365" s="12" t="str">
        <f t="shared" si="20"/>
        <v>DAOUDI Mohamed</v>
      </c>
      <c r="W365" s="13">
        <f t="shared" si="21"/>
        <v>44538</v>
      </c>
    </row>
    <row r="366" spans="1:23" ht="14.4" customHeight="1" x14ac:dyDescent="0.3">
      <c r="A366" s="28">
        <v>44531</v>
      </c>
      <c r="B366" s="12" t="s">
        <v>1875</v>
      </c>
      <c r="C366" s="12" t="s">
        <v>1687</v>
      </c>
      <c r="D366" s="5" t="s">
        <v>1722</v>
      </c>
      <c r="E366" s="12">
        <v>618</v>
      </c>
      <c r="F366" s="11" t="s">
        <v>1872</v>
      </c>
      <c r="G366" s="12"/>
      <c r="H366" s="12" t="s">
        <v>14</v>
      </c>
      <c r="I366" s="11" t="s">
        <v>1876</v>
      </c>
      <c r="J366" s="12" t="s">
        <v>1545</v>
      </c>
      <c r="K366" s="12" t="str">
        <f t="shared" si="22"/>
        <v>Closed</v>
      </c>
      <c r="L366" s="13">
        <v>44538</v>
      </c>
      <c r="M366" s="12"/>
      <c r="N366" s="12"/>
      <c r="O366" s="12"/>
      <c r="P366" s="12" t="s">
        <v>3790</v>
      </c>
      <c r="Q366" s="12"/>
      <c r="R366" s="12"/>
      <c r="S366" s="12"/>
      <c r="T366" s="12"/>
      <c r="U366" s="12" t="str">
        <f t="shared" si="23"/>
        <v>Corrected</v>
      </c>
      <c r="V366" s="12" t="str">
        <f t="shared" si="20"/>
        <v>GUAN Jialin</v>
      </c>
      <c r="W366" s="13">
        <f t="shared" si="21"/>
        <v>44538</v>
      </c>
    </row>
    <row r="367" spans="1:23" ht="14.4" customHeight="1" x14ac:dyDescent="0.3">
      <c r="A367" s="28">
        <v>44531</v>
      </c>
      <c r="B367" s="12" t="s">
        <v>1877</v>
      </c>
      <c r="C367" s="12" t="s">
        <v>1690</v>
      </c>
      <c r="D367" s="5" t="s">
        <v>1722</v>
      </c>
      <c r="E367" s="12">
        <v>410</v>
      </c>
      <c r="F367" s="11" t="s">
        <v>1878</v>
      </c>
      <c r="G367" s="12"/>
      <c r="H367" s="12" t="s">
        <v>11</v>
      </c>
      <c r="I367" s="11" t="s">
        <v>1880</v>
      </c>
      <c r="J367" s="12" t="s">
        <v>1545</v>
      </c>
      <c r="K367" s="12" t="str">
        <f t="shared" si="22"/>
        <v>Closed</v>
      </c>
      <c r="L367" s="13">
        <v>44532</v>
      </c>
      <c r="M367" s="12" t="s">
        <v>1879</v>
      </c>
      <c r="N367" s="12"/>
      <c r="O367" s="12"/>
      <c r="P367" s="12" t="s">
        <v>3790</v>
      </c>
      <c r="Q367" s="12"/>
      <c r="R367" s="12"/>
      <c r="S367" s="12"/>
      <c r="T367" s="12"/>
      <c r="U367" s="12" t="str">
        <f t="shared" si="23"/>
        <v>Corrected</v>
      </c>
      <c r="V367" s="12" t="str">
        <f t="shared" si="20"/>
        <v>FIRDUS Ahmad</v>
      </c>
      <c r="W367" s="13">
        <f t="shared" si="21"/>
        <v>44532</v>
      </c>
    </row>
    <row r="368" spans="1:23" ht="14.4" customHeight="1" x14ac:dyDescent="0.3">
      <c r="A368" s="28">
        <v>44535</v>
      </c>
      <c r="B368" s="12" t="s">
        <v>1881</v>
      </c>
      <c r="C368" s="12" t="s">
        <v>1687</v>
      </c>
      <c r="D368" s="5" t="s">
        <v>1675</v>
      </c>
      <c r="E368" s="12">
        <v>414</v>
      </c>
      <c r="F368" s="14" t="s">
        <v>4241</v>
      </c>
      <c r="G368" s="12"/>
      <c r="H368" s="12" t="s">
        <v>14</v>
      </c>
      <c r="I368" s="11" t="s">
        <v>1882</v>
      </c>
      <c r="J368" s="12" t="s">
        <v>1545</v>
      </c>
      <c r="K368" s="12" t="str">
        <f t="shared" si="22"/>
        <v>Closed</v>
      </c>
      <c r="L368" s="13">
        <v>44538</v>
      </c>
      <c r="M368" s="12"/>
      <c r="N368" s="12"/>
      <c r="O368" s="12"/>
      <c r="P368" s="12" t="s">
        <v>3790</v>
      </c>
      <c r="Q368" s="12"/>
      <c r="R368" s="12"/>
      <c r="S368" s="12"/>
      <c r="T368" s="12"/>
      <c r="U368" s="12" t="str">
        <f t="shared" si="23"/>
        <v>Corrected</v>
      </c>
      <c r="V368" s="12" t="str">
        <f t="shared" si="20"/>
        <v>GUAN Jialin</v>
      </c>
      <c r="W368" s="13">
        <f t="shared" si="21"/>
        <v>44538</v>
      </c>
    </row>
    <row r="369" spans="1:23" ht="14.4" customHeight="1" x14ac:dyDescent="0.3">
      <c r="A369" s="28">
        <v>44535</v>
      </c>
      <c r="B369" s="12" t="s">
        <v>1883</v>
      </c>
      <c r="C369" s="12" t="s">
        <v>1687</v>
      </c>
      <c r="D369" s="5" t="s">
        <v>1675</v>
      </c>
      <c r="E369" s="12">
        <v>409</v>
      </c>
      <c r="F369" s="11" t="s">
        <v>1884</v>
      </c>
      <c r="G369" s="12"/>
      <c r="H369" s="12" t="s">
        <v>14</v>
      </c>
      <c r="I369" s="11" t="s">
        <v>1625</v>
      </c>
      <c r="J369" s="12" t="s">
        <v>1545</v>
      </c>
      <c r="K369" s="12" t="str">
        <f t="shared" si="22"/>
        <v>Closed</v>
      </c>
      <c r="L369" s="13">
        <v>44557</v>
      </c>
      <c r="M369" s="12" t="s">
        <v>1885</v>
      </c>
      <c r="N369" s="12"/>
      <c r="O369" s="12"/>
      <c r="P369" s="12" t="s">
        <v>3790</v>
      </c>
      <c r="Q369" s="12"/>
      <c r="R369" s="12"/>
      <c r="S369" s="12"/>
      <c r="T369" s="12"/>
      <c r="U369" s="12" t="str">
        <f t="shared" si="23"/>
        <v>Corrected</v>
      </c>
      <c r="V369" s="12" t="str">
        <f t="shared" si="20"/>
        <v>GUAN Jialin</v>
      </c>
      <c r="W369" s="13">
        <f t="shared" si="21"/>
        <v>44557</v>
      </c>
    </row>
    <row r="370" spans="1:23" ht="14.4" customHeight="1" x14ac:dyDescent="0.3">
      <c r="A370" s="28">
        <v>44535</v>
      </c>
      <c r="B370" s="12" t="s">
        <v>1886</v>
      </c>
      <c r="C370" s="12" t="s">
        <v>1690</v>
      </c>
      <c r="D370" s="5" t="s">
        <v>1722</v>
      </c>
      <c r="E370" s="12">
        <v>413</v>
      </c>
      <c r="F370" s="11" t="s">
        <v>1887</v>
      </c>
      <c r="G370" s="12"/>
      <c r="H370" s="12" t="s">
        <v>14</v>
      </c>
      <c r="I370" s="11" t="s">
        <v>1888</v>
      </c>
      <c r="J370" s="12" t="s">
        <v>1545</v>
      </c>
      <c r="K370" s="12" t="str">
        <f t="shared" si="22"/>
        <v>Closed</v>
      </c>
      <c r="L370" s="13">
        <v>44538</v>
      </c>
      <c r="M370" s="12"/>
      <c r="N370" s="12"/>
      <c r="O370" s="12"/>
      <c r="P370" s="12" t="s">
        <v>2788</v>
      </c>
      <c r="Q370" s="12"/>
      <c r="R370" s="12"/>
      <c r="S370" s="12"/>
      <c r="T370" s="12"/>
      <c r="U370" s="12" t="str">
        <f t="shared" si="23"/>
        <v>Corrected</v>
      </c>
      <c r="V370" s="12" t="str">
        <f t="shared" si="20"/>
        <v>GUAN Jialin</v>
      </c>
      <c r="W370" s="13">
        <f t="shared" si="21"/>
        <v>44538</v>
      </c>
    </row>
    <row r="371" spans="1:23" ht="14.4" customHeight="1" x14ac:dyDescent="0.3">
      <c r="A371" s="28">
        <v>44535</v>
      </c>
      <c r="B371" s="12" t="s">
        <v>1889</v>
      </c>
      <c r="C371" s="12" t="s">
        <v>1542</v>
      </c>
      <c r="D371" s="5" t="s">
        <v>1890</v>
      </c>
      <c r="E371" s="12">
        <v>418</v>
      </c>
      <c r="F371" s="11" t="s">
        <v>366</v>
      </c>
      <c r="G371" s="12" t="s">
        <v>7</v>
      </c>
      <c r="H371" s="12" t="s">
        <v>9</v>
      </c>
      <c r="I371" s="11" t="s">
        <v>4473</v>
      </c>
      <c r="J371" s="12" t="s">
        <v>1574</v>
      </c>
      <c r="K371" s="12" t="str">
        <f t="shared" si="22"/>
        <v>Closed</v>
      </c>
      <c r="L371" s="13"/>
      <c r="M371" s="12" t="s">
        <v>364</v>
      </c>
      <c r="N371" s="12"/>
      <c r="O371" s="12"/>
      <c r="P371" s="12" t="s">
        <v>3790</v>
      </c>
      <c r="Q371" s="12"/>
      <c r="R371" s="12" t="s">
        <v>3566</v>
      </c>
      <c r="S371" s="12" t="s">
        <v>3</v>
      </c>
      <c r="T371" s="13" t="s">
        <v>1547</v>
      </c>
      <c r="U371" s="12" t="str">
        <f t="shared" si="23"/>
        <v>NFF</v>
      </c>
      <c r="V371" s="12" t="str">
        <f t="shared" si="20"/>
        <v>KHAN Jahan</v>
      </c>
      <c r="W371" s="13"/>
    </row>
    <row r="372" spans="1:23" ht="43.2" customHeight="1" x14ac:dyDescent="0.3">
      <c r="A372" s="28">
        <v>44535</v>
      </c>
      <c r="B372" s="12" t="s">
        <v>1891</v>
      </c>
      <c r="C372" s="12" t="s">
        <v>1690</v>
      </c>
      <c r="D372" s="5" t="s">
        <v>1675</v>
      </c>
      <c r="E372" s="12">
        <v>624</v>
      </c>
      <c r="F372" s="11" t="s">
        <v>1892</v>
      </c>
      <c r="G372" s="12" t="s">
        <v>7</v>
      </c>
      <c r="H372" s="12" t="s">
        <v>9</v>
      </c>
      <c r="I372" s="11" t="s">
        <v>1893</v>
      </c>
      <c r="J372" s="12" t="s">
        <v>1609</v>
      </c>
      <c r="K372" s="12" t="str">
        <f t="shared" si="22"/>
        <v>Open</v>
      </c>
      <c r="L372" s="13"/>
      <c r="M372" s="12" t="s">
        <v>367</v>
      </c>
      <c r="N372" s="12"/>
      <c r="O372" s="12" t="s">
        <v>1675</v>
      </c>
      <c r="P372" s="12" t="s">
        <v>3790</v>
      </c>
      <c r="Q372" s="12"/>
      <c r="R372" s="12" t="s">
        <v>1545</v>
      </c>
      <c r="S372" s="12" t="s">
        <v>16</v>
      </c>
      <c r="T372" s="13">
        <v>44654</v>
      </c>
      <c r="U372" s="12" t="str">
        <f t="shared" si="23"/>
        <v>Corrected</v>
      </c>
      <c r="V372" s="12" t="str">
        <f t="shared" si="20"/>
        <v>BRAO-DIGOR Robert</v>
      </c>
      <c r="W372" s="13">
        <f t="shared" si="21"/>
        <v>44654</v>
      </c>
    </row>
    <row r="373" spans="1:23" ht="43.2" customHeight="1" x14ac:dyDescent="0.3">
      <c r="A373" s="28">
        <v>44535</v>
      </c>
      <c r="B373" s="12" t="s">
        <v>1894</v>
      </c>
      <c r="C373" s="12" t="s">
        <v>1690</v>
      </c>
      <c r="D373" s="5" t="s">
        <v>1895</v>
      </c>
      <c r="E373" s="12">
        <v>623</v>
      </c>
      <c r="F373" s="11" t="s">
        <v>1896</v>
      </c>
      <c r="G373" s="12" t="s">
        <v>7</v>
      </c>
      <c r="H373" s="12" t="s">
        <v>18</v>
      </c>
      <c r="I373" s="14" t="s">
        <v>4242</v>
      </c>
      <c r="J373" s="12" t="s">
        <v>1574</v>
      </c>
      <c r="K373" s="12" t="str">
        <f t="shared" si="22"/>
        <v>Closed</v>
      </c>
      <c r="L373" s="13">
        <v>44598</v>
      </c>
      <c r="M373" s="12" t="s">
        <v>326</v>
      </c>
      <c r="N373" s="12"/>
      <c r="O373" s="12"/>
      <c r="P373" s="12" t="s">
        <v>3790</v>
      </c>
      <c r="Q373" s="12"/>
      <c r="R373" s="12"/>
      <c r="S373" s="12"/>
      <c r="T373" s="12"/>
      <c r="U373" s="12" t="str">
        <f t="shared" si="23"/>
        <v>NFF</v>
      </c>
      <c r="V373" s="12" t="str">
        <f t="shared" si="20"/>
        <v>BENAYED Elie</v>
      </c>
      <c r="W373" s="13">
        <f t="shared" si="21"/>
        <v>44598</v>
      </c>
    </row>
    <row r="374" spans="1:23" ht="43.2" customHeight="1" x14ac:dyDescent="0.3">
      <c r="A374" s="28">
        <v>44535</v>
      </c>
      <c r="B374" s="12" t="s">
        <v>1897</v>
      </c>
      <c r="C374" s="12" t="s">
        <v>1703</v>
      </c>
      <c r="D374" s="5" t="s">
        <v>1722</v>
      </c>
      <c r="E374" s="12">
        <v>612</v>
      </c>
      <c r="F374" s="11" t="s">
        <v>1898</v>
      </c>
      <c r="G374" s="12"/>
      <c r="H374" s="12" t="s">
        <v>17</v>
      </c>
      <c r="I374" s="14" t="s">
        <v>4243</v>
      </c>
      <c r="J374" s="12" t="s">
        <v>1574</v>
      </c>
      <c r="K374" s="12" t="str">
        <f t="shared" si="22"/>
        <v>Closed</v>
      </c>
      <c r="L374" s="13"/>
      <c r="M374" s="12"/>
      <c r="N374" s="12"/>
      <c r="O374" s="12"/>
      <c r="P374" s="12" t="s">
        <v>3790</v>
      </c>
      <c r="Q374" s="12"/>
      <c r="R374" s="12"/>
      <c r="S374" s="12"/>
      <c r="T374" s="12"/>
      <c r="U374" s="12" t="str">
        <f t="shared" si="23"/>
        <v>NFF</v>
      </c>
      <c r="V374" s="12" t="str">
        <f t="shared" si="20"/>
        <v>FATHI Charafeddine</v>
      </c>
      <c r="W374" s="13"/>
    </row>
    <row r="375" spans="1:23" ht="14.4" customHeight="1" x14ac:dyDescent="0.3">
      <c r="A375" s="28">
        <v>44535</v>
      </c>
      <c r="B375" s="12" t="s">
        <v>1899</v>
      </c>
      <c r="C375" s="12" t="s">
        <v>1690</v>
      </c>
      <c r="D375" s="5" t="s">
        <v>1895</v>
      </c>
      <c r="E375" s="12">
        <v>407</v>
      </c>
      <c r="F375" s="14" t="s">
        <v>4244</v>
      </c>
      <c r="G375" s="12"/>
      <c r="H375" s="12" t="s">
        <v>19</v>
      </c>
      <c r="I375" s="11" t="s">
        <v>1900</v>
      </c>
      <c r="J375" s="12" t="s">
        <v>1574</v>
      </c>
      <c r="K375" s="12" t="str">
        <f t="shared" si="22"/>
        <v>Closed</v>
      </c>
      <c r="L375" s="13">
        <v>44537</v>
      </c>
      <c r="M375" s="12"/>
      <c r="N375" s="12"/>
      <c r="O375" s="12"/>
      <c r="P375" s="12" t="s">
        <v>3790</v>
      </c>
      <c r="Q375" s="12"/>
      <c r="R375" s="12"/>
      <c r="S375" s="12"/>
      <c r="T375" s="12"/>
      <c r="U375" s="12" t="str">
        <f t="shared" si="23"/>
        <v>NFF</v>
      </c>
      <c r="V375" s="12" t="str">
        <f t="shared" si="20"/>
        <v>DAOUDI Mohamed</v>
      </c>
      <c r="W375" s="13">
        <f t="shared" si="21"/>
        <v>44537</v>
      </c>
    </row>
    <row r="376" spans="1:23" ht="14.4" customHeight="1" x14ac:dyDescent="0.3">
      <c r="A376" s="28">
        <v>44535</v>
      </c>
      <c r="B376" s="12" t="s">
        <v>1901</v>
      </c>
      <c r="C376" s="12" t="s">
        <v>1687</v>
      </c>
      <c r="D376" s="5" t="s">
        <v>1675</v>
      </c>
      <c r="E376" s="12">
        <v>416</v>
      </c>
      <c r="F376" s="11" t="s">
        <v>1902</v>
      </c>
      <c r="G376" s="12" t="s">
        <v>7</v>
      </c>
      <c r="H376" s="12" t="s">
        <v>18</v>
      </c>
      <c r="I376" s="11" t="s">
        <v>1903</v>
      </c>
      <c r="J376" s="12" t="s">
        <v>1574</v>
      </c>
      <c r="K376" s="12" t="str">
        <f t="shared" si="22"/>
        <v>Closed</v>
      </c>
      <c r="L376" s="13">
        <v>44580</v>
      </c>
      <c r="M376" s="12"/>
      <c r="N376" s="12"/>
      <c r="O376" s="12"/>
      <c r="P376" s="12" t="s">
        <v>3790</v>
      </c>
      <c r="Q376" s="12"/>
      <c r="R376" s="12"/>
      <c r="S376" s="12"/>
      <c r="T376" s="12"/>
      <c r="U376" s="12" t="str">
        <f t="shared" si="23"/>
        <v>NFF</v>
      </c>
      <c r="V376" s="12" t="str">
        <f t="shared" si="20"/>
        <v>BENAYED Elie</v>
      </c>
      <c r="W376" s="13">
        <f t="shared" si="21"/>
        <v>44580</v>
      </c>
    </row>
    <row r="377" spans="1:23" ht="28.8" x14ac:dyDescent="0.3">
      <c r="A377" s="28">
        <v>44535</v>
      </c>
      <c r="B377" s="12" t="s">
        <v>1904</v>
      </c>
      <c r="C377" s="12" t="s">
        <v>1690</v>
      </c>
      <c r="D377" s="5" t="s">
        <v>1895</v>
      </c>
      <c r="E377" s="12">
        <v>422</v>
      </c>
      <c r="F377" s="11" t="s">
        <v>1896</v>
      </c>
      <c r="G377" s="12" t="s">
        <v>7</v>
      </c>
      <c r="H377" s="12" t="s">
        <v>18</v>
      </c>
      <c r="I377" s="11" t="s">
        <v>1905</v>
      </c>
      <c r="J377" s="12" t="s">
        <v>1574</v>
      </c>
      <c r="K377" s="12" t="str">
        <f t="shared" si="22"/>
        <v>Closed</v>
      </c>
      <c r="L377" s="13">
        <v>44581</v>
      </c>
      <c r="M377" s="12"/>
      <c r="N377" s="12"/>
      <c r="O377" s="12"/>
      <c r="P377" s="12" t="s">
        <v>3790</v>
      </c>
      <c r="Q377" s="12"/>
      <c r="R377" s="12"/>
      <c r="S377" s="12"/>
      <c r="T377" s="12"/>
      <c r="U377" s="12" t="str">
        <f t="shared" si="23"/>
        <v>NFF</v>
      </c>
      <c r="V377" s="12" t="str">
        <f t="shared" si="20"/>
        <v>BENAYED Elie</v>
      </c>
      <c r="W377" s="13">
        <f t="shared" si="21"/>
        <v>44581</v>
      </c>
    </row>
    <row r="378" spans="1:23" ht="14.4" customHeight="1" x14ac:dyDescent="0.3">
      <c r="A378" s="28">
        <v>44536</v>
      </c>
      <c r="B378" s="12" t="s">
        <v>1906</v>
      </c>
      <c r="C378" s="12" t="s">
        <v>1542</v>
      </c>
      <c r="D378" s="5" t="s">
        <v>1675</v>
      </c>
      <c r="E378" s="12">
        <v>605</v>
      </c>
      <c r="F378" s="11" t="s">
        <v>1907</v>
      </c>
      <c r="G378" s="12"/>
      <c r="H378" s="12" t="s">
        <v>14</v>
      </c>
      <c r="I378" s="11" t="s">
        <v>1909</v>
      </c>
      <c r="J378" s="12" t="s">
        <v>1545</v>
      </c>
      <c r="K378" s="12" t="str">
        <f t="shared" si="22"/>
        <v>Closed</v>
      </c>
      <c r="L378" s="13">
        <v>44536</v>
      </c>
      <c r="M378" s="12" t="s">
        <v>1908</v>
      </c>
      <c r="N378" s="12"/>
      <c r="O378" s="12"/>
      <c r="P378" s="12" t="s">
        <v>3790</v>
      </c>
      <c r="Q378" s="12"/>
      <c r="R378" s="12"/>
      <c r="S378" s="12"/>
      <c r="T378" s="12"/>
      <c r="U378" s="12" t="str">
        <f t="shared" si="23"/>
        <v>Corrected</v>
      </c>
      <c r="V378" s="12" t="str">
        <f t="shared" si="20"/>
        <v>GUAN Jialin</v>
      </c>
      <c r="W378" s="13">
        <f t="shared" si="21"/>
        <v>44536</v>
      </c>
    </row>
    <row r="379" spans="1:23" ht="14.4" customHeight="1" x14ac:dyDescent="0.3">
      <c r="A379" s="28">
        <v>44536</v>
      </c>
      <c r="B379" s="12" t="s">
        <v>1910</v>
      </c>
      <c r="C379" s="12" t="s">
        <v>1542</v>
      </c>
      <c r="D379" s="5" t="s">
        <v>1911</v>
      </c>
      <c r="E379" s="12">
        <v>608</v>
      </c>
      <c r="F379" s="11" t="s">
        <v>1912</v>
      </c>
      <c r="G379" s="12"/>
      <c r="H379" s="12" t="s">
        <v>9</v>
      </c>
      <c r="I379" s="11" t="s">
        <v>1913</v>
      </c>
      <c r="J379" s="12" t="s">
        <v>1545</v>
      </c>
      <c r="K379" s="12" t="str">
        <f t="shared" si="22"/>
        <v>Closed</v>
      </c>
      <c r="L379" s="13">
        <v>44542</v>
      </c>
      <c r="M379" s="12"/>
      <c r="N379" s="12"/>
      <c r="O379" s="12"/>
      <c r="P379" s="12" t="s">
        <v>3790</v>
      </c>
      <c r="Q379" s="12"/>
      <c r="R379" s="12"/>
      <c r="S379" s="12"/>
      <c r="T379" s="12"/>
      <c r="U379" s="12" t="str">
        <f t="shared" si="23"/>
        <v>Corrected</v>
      </c>
      <c r="V379" s="12" t="str">
        <f t="shared" si="20"/>
        <v>KHAN Jahan</v>
      </c>
      <c r="W379" s="13">
        <f t="shared" si="21"/>
        <v>44542</v>
      </c>
    </row>
    <row r="380" spans="1:23" ht="14.4" customHeight="1" x14ac:dyDescent="0.3">
      <c r="A380" s="28">
        <v>44536</v>
      </c>
      <c r="B380" s="12" t="s">
        <v>1914</v>
      </c>
      <c r="C380" s="12" t="s">
        <v>1542</v>
      </c>
      <c r="D380" s="5" t="s">
        <v>1915</v>
      </c>
      <c r="E380" s="12">
        <v>412</v>
      </c>
      <c r="F380" s="11" t="s">
        <v>1916</v>
      </c>
      <c r="G380" s="12"/>
      <c r="H380" s="12" t="s">
        <v>19</v>
      </c>
      <c r="I380" s="11" t="s">
        <v>1917</v>
      </c>
      <c r="J380" s="12" t="s">
        <v>1545</v>
      </c>
      <c r="K380" s="12" t="str">
        <f t="shared" si="22"/>
        <v>Closed</v>
      </c>
      <c r="L380" s="13">
        <v>44551</v>
      </c>
      <c r="M380" s="12"/>
      <c r="N380" s="12"/>
      <c r="O380" s="12"/>
      <c r="P380" s="12" t="s">
        <v>3790</v>
      </c>
      <c r="Q380" s="12"/>
      <c r="R380" s="12"/>
      <c r="S380" s="12"/>
      <c r="T380" s="12"/>
      <c r="U380" s="12" t="str">
        <f t="shared" si="23"/>
        <v>Corrected</v>
      </c>
      <c r="V380" s="12" t="str">
        <f t="shared" si="20"/>
        <v>DAOUDI Mohamed</v>
      </c>
      <c r="W380" s="13">
        <f t="shared" si="21"/>
        <v>44551</v>
      </c>
    </row>
    <row r="381" spans="1:23" ht="14.4" customHeight="1" x14ac:dyDescent="0.3">
      <c r="A381" s="28">
        <v>44536</v>
      </c>
      <c r="B381" s="12" t="s">
        <v>1918</v>
      </c>
      <c r="C381" s="12" t="s">
        <v>1542</v>
      </c>
      <c r="D381" s="5" t="s">
        <v>1915</v>
      </c>
      <c r="E381" s="12">
        <v>412</v>
      </c>
      <c r="F381" s="11" t="s">
        <v>1919</v>
      </c>
      <c r="G381" s="12"/>
      <c r="H381" s="12" t="s">
        <v>14</v>
      </c>
      <c r="I381" s="14" t="s">
        <v>4245</v>
      </c>
      <c r="J381" s="12" t="s">
        <v>1545</v>
      </c>
      <c r="K381" s="12" t="str">
        <f t="shared" si="22"/>
        <v>Closed</v>
      </c>
      <c r="L381" s="13">
        <v>44549</v>
      </c>
      <c r="M381" s="12"/>
      <c r="N381" s="12"/>
      <c r="O381" s="12"/>
      <c r="P381" s="12" t="s">
        <v>3790</v>
      </c>
      <c r="Q381" s="12"/>
      <c r="R381" s="12"/>
      <c r="S381" s="12"/>
      <c r="T381" s="12"/>
      <c r="U381" s="12" t="str">
        <f t="shared" si="23"/>
        <v>Corrected</v>
      </c>
      <c r="V381" s="12" t="str">
        <f t="shared" si="20"/>
        <v>GUAN Jialin</v>
      </c>
      <c r="W381" s="13">
        <f t="shared" si="21"/>
        <v>44549</v>
      </c>
    </row>
    <row r="382" spans="1:23" ht="14.4" customHeight="1" x14ac:dyDescent="0.3">
      <c r="A382" s="28">
        <v>44536</v>
      </c>
      <c r="B382" s="12" t="s">
        <v>1920</v>
      </c>
      <c r="C382" s="12" t="s">
        <v>1542</v>
      </c>
      <c r="D382" s="5" t="s">
        <v>1921</v>
      </c>
      <c r="E382" s="12">
        <v>411</v>
      </c>
      <c r="F382" s="11" t="s">
        <v>1922</v>
      </c>
      <c r="G382" s="12"/>
      <c r="H382" s="12" t="s">
        <v>14</v>
      </c>
      <c r="I382" s="14" t="s">
        <v>4245</v>
      </c>
      <c r="J382" s="12" t="s">
        <v>1545</v>
      </c>
      <c r="K382" s="12" t="str">
        <f t="shared" si="22"/>
        <v>Closed</v>
      </c>
      <c r="L382" s="13">
        <v>44549</v>
      </c>
      <c r="M382" s="12"/>
      <c r="N382" s="12"/>
      <c r="O382" s="12"/>
      <c r="P382" s="12" t="s">
        <v>3790</v>
      </c>
      <c r="Q382" s="12"/>
      <c r="R382" s="12"/>
      <c r="S382" s="12"/>
      <c r="T382" s="12"/>
      <c r="U382" s="12" t="str">
        <f t="shared" si="23"/>
        <v>Corrected</v>
      </c>
      <c r="V382" s="12" t="str">
        <f t="shared" si="20"/>
        <v>GUAN Jialin</v>
      </c>
      <c r="W382" s="13">
        <f t="shared" si="21"/>
        <v>44549</v>
      </c>
    </row>
    <row r="383" spans="1:23" ht="14.4" customHeight="1" x14ac:dyDescent="0.3">
      <c r="A383" s="28">
        <v>44536</v>
      </c>
      <c r="B383" s="12" t="s">
        <v>1923</v>
      </c>
      <c r="C383" s="12" t="s">
        <v>1690</v>
      </c>
      <c r="D383" s="5" t="s">
        <v>1722</v>
      </c>
      <c r="E383" s="12">
        <v>623</v>
      </c>
      <c r="F383" s="11" t="s">
        <v>1924</v>
      </c>
      <c r="G383" s="12"/>
      <c r="H383" s="12" t="s">
        <v>14</v>
      </c>
      <c r="I383" s="11" t="s">
        <v>1925</v>
      </c>
      <c r="J383" s="12" t="s">
        <v>1545</v>
      </c>
      <c r="K383" s="12" t="str">
        <f t="shared" si="22"/>
        <v>Closed</v>
      </c>
      <c r="L383" s="13">
        <v>44563</v>
      </c>
      <c r="M383" s="12" t="s">
        <v>266</v>
      </c>
      <c r="N383" s="12" t="s">
        <v>4427</v>
      </c>
      <c r="O383" s="12" t="s">
        <v>3258</v>
      </c>
      <c r="P383" s="12" t="s">
        <v>3790</v>
      </c>
      <c r="Q383" s="12"/>
      <c r="R383" s="12"/>
      <c r="S383" s="12"/>
      <c r="T383" s="12"/>
      <c r="U383" s="12" t="str">
        <f t="shared" si="23"/>
        <v>Corrected</v>
      </c>
      <c r="V383" s="12" t="str">
        <f t="shared" ref="V383:V446" si="24">IF(AND(J383="Corrective Action Required",R383="Corrected"),S383, IF(AND(J383="Corrective Action Required",R383&lt;&gt;"Corrected"),S383,H383))</f>
        <v>GUAN Jialin</v>
      </c>
      <c r="W383" s="13">
        <f t="shared" ref="W383:W446" si="25">IF(OR(J383="Corrected",J383="NFF"),L383, IF(AND(J383="Corrective Action Required",R383="Corrected"),T383,""))</f>
        <v>44563</v>
      </c>
    </row>
    <row r="384" spans="1:23" ht="14.4" customHeight="1" x14ac:dyDescent="0.3">
      <c r="A384" s="28">
        <v>44536</v>
      </c>
      <c r="B384" s="12" t="s">
        <v>1926</v>
      </c>
      <c r="C384" s="12" t="s">
        <v>1823</v>
      </c>
      <c r="D384" s="5" t="s">
        <v>1722</v>
      </c>
      <c r="E384" s="12">
        <v>619</v>
      </c>
      <c r="F384" s="11" t="s">
        <v>3399</v>
      </c>
      <c r="G384" s="12"/>
      <c r="H384" s="12" t="s">
        <v>14</v>
      </c>
      <c r="I384" s="14" t="s">
        <v>4246</v>
      </c>
      <c r="J384" s="12" t="s">
        <v>1545</v>
      </c>
      <c r="K384" s="12" t="str">
        <f t="shared" ref="K384:K447" si="26">IF(J384="Corrected","Closed",IF(J384="NFF","Closed","Open"))</f>
        <v>Closed</v>
      </c>
      <c r="L384" s="13">
        <v>44570</v>
      </c>
      <c r="M384" s="12" t="s">
        <v>297</v>
      </c>
      <c r="N384" s="12" t="s">
        <v>4427</v>
      </c>
      <c r="O384" s="12" t="s">
        <v>2445</v>
      </c>
      <c r="P384" s="12" t="s">
        <v>3790</v>
      </c>
      <c r="Q384" s="12"/>
      <c r="R384" s="12"/>
      <c r="S384" s="12"/>
      <c r="T384" s="12"/>
      <c r="U384" s="12" t="str">
        <f t="shared" si="23"/>
        <v>Corrected</v>
      </c>
      <c r="V384" s="12" t="str">
        <f t="shared" si="24"/>
        <v>GUAN Jialin</v>
      </c>
      <c r="W384" s="13">
        <f t="shared" si="25"/>
        <v>44570</v>
      </c>
    </row>
    <row r="385" spans="1:23" ht="43.2" customHeight="1" x14ac:dyDescent="0.3">
      <c r="A385" s="28">
        <v>44536</v>
      </c>
      <c r="B385" s="12" t="s">
        <v>1926</v>
      </c>
      <c r="C385" s="12" t="s">
        <v>1823</v>
      </c>
      <c r="D385" s="5" t="s">
        <v>1722</v>
      </c>
      <c r="E385" s="12">
        <v>619</v>
      </c>
      <c r="F385" s="11" t="s">
        <v>3400</v>
      </c>
      <c r="G385" s="12"/>
      <c r="H385" s="12" t="s">
        <v>14</v>
      </c>
      <c r="I385" s="14" t="s">
        <v>4247</v>
      </c>
      <c r="J385" s="12" t="s">
        <v>1545</v>
      </c>
      <c r="K385" s="12" t="str">
        <f t="shared" si="26"/>
        <v>Closed</v>
      </c>
      <c r="L385" s="13">
        <v>44570</v>
      </c>
      <c r="M385" s="12" t="s">
        <v>297</v>
      </c>
      <c r="N385" s="12" t="s">
        <v>4427</v>
      </c>
      <c r="O385" s="12" t="s">
        <v>3258</v>
      </c>
      <c r="P385" s="12" t="s">
        <v>3790</v>
      </c>
      <c r="Q385" s="12"/>
      <c r="R385" s="12"/>
      <c r="S385" s="12"/>
      <c r="T385" s="12"/>
      <c r="U385" s="12" t="str">
        <f t="shared" si="23"/>
        <v>Corrected</v>
      </c>
      <c r="V385" s="12" t="str">
        <f t="shared" si="24"/>
        <v>GUAN Jialin</v>
      </c>
      <c r="W385" s="13">
        <f t="shared" si="25"/>
        <v>44570</v>
      </c>
    </row>
    <row r="386" spans="1:23" ht="14.4" customHeight="1" x14ac:dyDescent="0.3">
      <c r="A386" s="28">
        <v>44536</v>
      </c>
      <c r="B386" s="12" t="s">
        <v>1927</v>
      </c>
      <c r="C386" s="12" t="s">
        <v>1690</v>
      </c>
      <c r="D386" s="5" t="s">
        <v>1722</v>
      </c>
      <c r="E386" s="12">
        <v>613</v>
      </c>
      <c r="F386" s="11" t="s">
        <v>1928</v>
      </c>
      <c r="G386" s="12"/>
      <c r="H386" s="12" t="s">
        <v>11</v>
      </c>
      <c r="I386" s="11" t="s">
        <v>1930</v>
      </c>
      <c r="J386" s="12" t="s">
        <v>1545</v>
      </c>
      <c r="K386" s="12" t="str">
        <f t="shared" si="26"/>
        <v>Closed</v>
      </c>
      <c r="L386" s="13">
        <v>44551</v>
      </c>
      <c r="M386" s="12" t="s">
        <v>1929</v>
      </c>
      <c r="N386" s="12"/>
      <c r="O386" s="12"/>
      <c r="P386" s="12" t="s">
        <v>2788</v>
      </c>
      <c r="Q386" s="12"/>
      <c r="R386" s="12"/>
      <c r="S386" s="12"/>
      <c r="T386" s="12"/>
      <c r="U386" s="12" t="str">
        <f t="shared" si="23"/>
        <v>Corrected</v>
      </c>
      <c r="V386" s="12" t="str">
        <f t="shared" si="24"/>
        <v>FIRDUS Ahmad</v>
      </c>
      <c r="W386" s="13">
        <f t="shared" si="25"/>
        <v>44551</v>
      </c>
    </row>
    <row r="387" spans="1:23" ht="14.4" customHeight="1" x14ac:dyDescent="0.3">
      <c r="A387" s="28">
        <v>44536</v>
      </c>
      <c r="B387" s="12" t="s">
        <v>1931</v>
      </c>
      <c r="C387" s="12" t="s">
        <v>1690</v>
      </c>
      <c r="D387" s="5" t="s">
        <v>1722</v>
      </c>
      <c r="E387" s="12">
        <v>401</v>
      </c>
      <c r="F387" s="11" t="s">
        <v>1932</v>
      </c>
      <c r="G387" s="12" t="s">
        <v>1</v>
      </c>
      <c r="H387" s="12" t="s">
        <v>19</v>
      </c>
      <c r="I387" s="14" t="s">
        <v>4248</v>
      </c>
      <c r="J387" s="12" t="s">
        <v>1545</v>
      </c>
      <c r="K387" s="12" t="str">
        <f t="shared" si="26"/>
        <v>Closed</v>
      </c>
      <c r="L387" s="13">
        <v>44551</v>
      </c>
      <c r="M387" s="12" t="s">
        <v>231</v>
      </c>
      <c r="N387" s="12"/>
      <c r="O387" s="12"/>
      <c r="P387" s="12" t="s">
        <v>3790</v>
      </c>
      <c r="Q387" s="12"/>
      <c r="R387" s="12"/>
      <c r="S387" s="12"/>
      <c r="T387" s="12"/>
      <c r="U387" s="12" t="str">
        <f t="shared" ref="U387:U450" si="27">IF(AND(J387="Corrective Action Required",R387="Corrected"),"Corrected", IF(AND(J387="Corrective Action Required",R387&lt;&gt;"Corrected"),R387,J387))</f>
        <v>Corrected</v>
      </c>
      <c r="V387" s="12" t="str">
        <f t="shared" si="24"/>
        <v>DAOUDI Mohamed</v>
      </c>
      <c r="W387" s="13">
        <f t="shared" si="25"/>
        <v>44551</v>
      </c>
    </row>
    <row r="388" spans="1:23" ht="14.4" customHeight="1" x14ac:dyDescent="0.3">
      <c r="A388" s="28">
        <v>44536</v>
      </c>
      <c r="B388" s="12" t="s">
        <v>1933</v>
      </c>
      <c r="C388" s="12" t="s">
        <v>1542</v>
      </c>
      <c r="D388" s="5" t="s">
        <v>1934</v>
      </c>
      <c r="E388" s="12">
        <v>623</v>
      </c>
      <c r="F388" s="11" t="s">
        <v>1935</v>
      </c>
      <c r="G388" s="12" t="s">
        <v>7</v>
      </c>
      <c r="H388" s="12" t="s">
        <v>9</v>
      </c>
      <c r="I388" s="11"/>
      <c r="J388" s="12" t="s">
        <v>1545</v>
      </c>
      <c r="K388" s="12" t="str">
        <f t="shared" si="26"/>
        <v>Closed</v>
      </c>
      <c r="L388" s="13">
        <v>44551</v>
      </c>
      <c r="M388" s="12" t="s">
        <v>308</v>
      </c>
      <c r="N388" s="12"/>
      <c r="O388" s="12"/>
      <c r="P388" s="12" t="s">
        <v>3790</v>
      </c>
      <c r="Q388" s="12"/>
      <c r="R388" s="12"/>
      <c r="S388" s="12"/>
      <c r="T388" s="13" t="s">
        <v>1547</v>
      </c>
      <c r="U388" s="12" t="str">
        <f t="shared" si="27"/>
        <v>Corrected</v>
      </c>
      <c r="V388" s="12" t="str">
        <f t="shared" si="24"/>
        <v>KHAN Jahan</v>
      </c>
      <c r="W388" s="13">
        <f t="shared" si="25"/>
        <v>44551</v>
      </c>
    </row>
    <row r="389" spans="1:23" ht="14.4" customHeight="1" x14ac:dyDescent="0.3">
      <c r="A389" s="28">
        <v>44536</v>
      </c>
      <c r="B389" s="12" t="s">
        <v>1936</v>
      </c>
      <c r="C389" s="12" t="s">
        <v>1542</v>
      </c>
      <c r="D389" s="5" t="s">
        <v>1934</v>
      </c>
      <c r="E389" s="12">
        <v>623</v>
      </c>
      <c r="F389" s="11" t="s">
        <v>1937</v>
      </c>
      <c r="G389" s="12" t="s">
        <v>7</v>
      </c>
      <c r="H389" s="12" t="s">
        <v>9</v>
      </c>
      <c r="I389" s="11"/>
      <c r="J389" s="12" t="s">
        <v>1609</v>
      </c>
      <c r="K389" s="12" t="str">
        <f t="shared" si="26"/>
        <v>Open</v>
      </c>
      <c r="L389" s="13"/>
      <c r="M389" s="12" t="s">
        <v>431</v>
      </c>
      <c r="N389" s="12"/>
      <c r="O389" s="12"/>
      <c r="P389" s="12" t="s">
        <v>3790</v>
      </c>
      <c r="Q389" s="12"/>
      <c r="R389" s="12" t="s">
        <v>1545</v>
      </c>
      <c r="S389" s="12" t="s">
        <v>15</v>
      </c>
      <c r="T389" s="13">
        <v>44643</v>
      </c>
      <c r="U389" s="12" t="str">
        <f t="shared" si="27"/>
        <v>Corrected</v>
      </c>
      <c r="V389" s="12" t="str">
        <f t="shared" si="24"/>
        <v>Imran Rasheed</v>
      </c>
      <c r="W389" s="13">
        <f t="shared" si="25"/>
        <v>44643</v>
      </c>
    </row>
    <row r="390" spans="1:23" ht="43.2" customHeight="1" x14ac:dyDescent="0.3">
      <c r="A390" s="28">
        <v>44536</v>
      </c>
      <c r="B390" s="12" t="s">
        <v>1938</v>
      </c>
      <c r="C390" s="12" t="s">
        <v>1542</v>
      </c>
      <c r="D390" s="5" t="s">
        <v>1911</v>
      </c>
      <c r="E390" s="12">
        <v>608</v>
      </c>
      <c r="F390" s="11" t="s">
        <v>1939</v>
      </c>
      <c r="G390" s="12" t="s">
        <v>7</v>
      </c>
      <c r="H390" s="12" t="s">
        <v>9</v>
      </c>
      <c r="I390" s="11" t="s">
        <v>1940</v>
      </c>
      <c r="J390" s="12" t="s">
        <v>1609</v>
      </c>
      <c r="K390" s="12" t="str">
        <f t="shared" si="26"/>
        <v>Open</v>
      </c>
      <c r="L390" s="13"/>
      <c r="M390" s="12" t="s">
        <v>381</v>
      </c>
      <c r="N390" s="12"/>
      <c r="O390" s="12"/>
      <c r="P390" s="12" t="s">
        <v>3790</v>
      </c>
      <c r="Q390" s="12"/>
      <c r="R390" s="12" t="s">
        <v>5</v>
      </c>
      <c r="S390" s="12" t="s">
        <v>3</v>
      </c>
      <c r="T390" s="13" t="s">
        <v>1547</v>
      </c>
      <c r="U390" s="12" t="str">
        <f t="shared" si="27"/>
        <v>No Material</v>
      </c>
      <c r="V390" s="12" t="str">
        <f t="shared" si="24"/>
        <v>SUKIMAN Zamhuri</v>
      </c>
      <c r="W390" s="13" t="str">
        <f t="shared" si="25"/>
        <v/>
      </c>
    </row>
    <row r="391" spans="1:23" ht="43.2" customHeight="1" x14ac:dyDescent="0.3">
      <c r="A391" s="28">
        <v>44536</v>
      </c>
      <c r="B391" s="12" t="s">
        <v>1941</v>
      </c>
      <c r="C391" s="12" t="s">
        <v>1542</v>
      </c>
      <c r="D391" s="5" t="s">
        <v>1942</v>
      </c>
      <c r="E391" s="12">
        <v>603</v>
      </c>
      <c r="F391" s="11" t="s">
        <v>1943</v>
      </c>
      <c r="G391" s="12" t="s">
        <v>1</v>
      </c>
      <c r="H391" s="12" t="s">
        <v>19</v>
      </c>
      <c r="I391" s="14" t="s">
        <v>4249</v>
      </c>
      <c r="J391" s="12" t="s">
        <v>1609</v>
      </c>
      <c r="K391" s="12" t="str">
        <f t="shared" si="26"/>
        <v>Open</v>
      </c>
      <c r="L391" s="13"/>
      <c r="M391" s="12" t="s">
        <v>425</v>
      </c>
      <c r="N391" s="12" t="s">
        <v>2683</v>
      </c>
      <c r="O391" s="12" t="s">
        <v>1653</v>
      </c>
      <c r="P391" s="12" t="s">
        <v>3790</v>
      </c>
      <c r="Q391" s="12"/>
      <c r="R391" s="12" t="s">
        <v>1545</v>
      </c>
      <c r="S391" s="12" t="s">
        <v>3</v>
      </c>
      <c r="T391" s="13">
        <v>44672</v>
      </c>
      <c r="U391" s="12" t="str">
        <f t="shared" si="27"/>
        <v>Corrected</v>
      </c>
      <c r="V391" s="12" t="str">
        <f t="shared" si="24"/>
        <v>SUKIMAN Zamhuri</v>
      </c>
      <c r="W391" s="13">
        <f t="shared" si="25"/>
        <v>44672</v>
      </c>
    </row>
    <row r="392" spans="1:23" ht="43.2" customHeight="1" x14ac:dyDescent="0.3">
      <c r="A392" s="28">
        <v>44536</v>
      </c>
      <c r="B392" s="12" t="s">
        <v>1944</v>
      </c>
      <c r="C392" s="12" t="s">
        <v>1542</v>
      </c>
      <c r="D392" s="5" t="s">
        <v>1942</v>
      </c>
      <c r="E392" s="12">
        <v>603</v>
      </c>
      <c r="F392" s="14" t="s">
        <v>4250</v>
      </c>
      <c r="G392" s="12" t="s">
        <v>7</v>
      </c>
      <c r="H392" s="12" t="s">
        <v>9</v>
      </c>
      <c r="I392" s="11"/>
      <c r="J392" s="12" t="s">
        <v>1609</v>
      </c>
      <c r="K392" s="12" t="str">
        <f t="shared" si="26"/>
        <v>Open</v>
      </c>
      <c r="L392" s="13"/>
      <c r="M392" s="12" t="s">
        <v>3951</v>
      </c>
      <c r="N392" s="12"/>
      <c r="O392" s="12" t="s">
        <v>1675</v>
      </c>
      <c r="P392" s="12" t="s">
        <v>3790</v>
      </c>
      <c r="Q392" s="12"/>
      <c r="R392" s="12" t="s">
        <v>1545</v>
      </c>
      <c r="S392" s="12" t="s">
        <v>6</v>
      </c>
      <c r="T392" s="13">
        <v>44672</v>
      </c>
      <c r="U392" s="12" t="str">
        <f t="shared" si="27"/>
        <v>Corrected</v>
      </c>
      <c r="V392" s="12" t="str">
        <f t="shared" si="24"/>
        <v>MUHAMMAD ALIF BIN ALI</v>
      </c>
      <c r="W392" s="13">
        <f t="shared" si="25"/>
        <v>44672</v>
      </c>
    </row>
    <row r="393" spans="1:23" ht="43.2" customHeight="1" x14ac:dyDescent="0.3">
      <c r="A393" s="28">
        <v>44536</v>
      </c>
      <c r="B393" s="12" t="s">
        <v>1945</v>
      </c>
      <c r="C393" s="12" t="s">
        <v>1542</v>
      </c>
      <c r="D393" s="5" t="s">
        <v>1921</v>
      </c>
      <c r="E393" s="12">
        <v>411</v>
      </c>
      <c r="F393" s="11" t="s">
        <v>1946</v>
      </c>
      <c r="G393" s="12" t="s">
        <v>7</v>
      </c>
      <c r="H393" s="12" t="s">
        <v>11</v>
      </c>
      <c r="I393" s="11" t="s">
        <v>1947</v>
      </c>
      <c r="J393" s="12" t="s">
        <v>1609</v>
      </c>
      <c r="K393" s="12" t="str">
        <f t="shared" si="26"/>
        <v>Open</v>
      </c>
      <c r="L393" s="13"/>
      <c r="M393" s="12" t="s">
        <v>370</v>
      </c>
      <c r="N393" s="12"/>
      <c r="O393" s="12"/>
      <c r="P393" s="12" t="s">
        <v>3790</v>
      </c>
      <c r="Q393" s="12"/>
      <c r="R393" s="12" t="s">
        <v>5</v>
      </c>
      <c r="S393" s="12" t="s">
        <v>3</v>
      </c>
      <c r="T393" s="12"/>
      <c r="U393" s="12" t="str">
        <f t="shared" si="27"/>
        <v>No Material</v>
      </c>
      <c r="V393" s="12" t="str">
        <f t="shared" si="24"/>
        <v>SUKIMAN Zamhuri</v>
      </c>
      <c r="W393" s="13" t="str">
        <f t="shared" si="25"/>
        <v/>
      </c>
    </row>
    <row r="394" spans="1:23" ht="43.2" customHeight="1" x14ac:dyDescent="0.3">
      <c r="A394" s="28">
        <v>44536</v>
      </c>
      <c r="B394" s="12" t="s">
        <v>1953</v>
      </c>
      <c r="C394" s="12" t="s">
        <v>1542</v>
      </c>
      <c r="D394" s="5" t="s">
        <v>1675</v>
      </c>
      <c r="E394" s="12">
        <v>608</v>
      </c>
      <c r="F394" s="11" t="s">
        <v>1954</v>
      </c>
      <c r="G394" s="12" t="s">
        <v>7</v>
      </c>
      <c r="H394" s="12" t="s">
        <v>19</v>
      </c>
      <c r="I394" s="11" t="s">
        <v>1955</v>
      </c>
      <c r="J394" s="12" t="s">
        <v>1545</v>
      </c>
      <c r="K394" s="12" t="str">
        <f t="shared" si="26"/>
        <v>Closed</v>
      </c>
      <c r="L394" s="13">
        <v>44551</v>
      </c>
      <c r="M394" s="12" t="s">
        <v>184</v>
      </c>
      <c r="N394" s="12"/>
      <c r="O394" s="12"/>
      <c r="P394" s="12" t="s">
        <v>3790</v>
      </c>
      <c r="Q394" s="12"/>
      <c r="R394" s="12"/>
      <c r="S394" s="12"/>
      <c r="T394" s="13" t="s">
        <v>1547</v>
      </c>
      <c r="U394" s="12" t="str">
        <f t="shared" si="27"/>
        <v>Corrected</v>
      </c>
      <c r="V394" s="12" t="str">
        <f t="shared" si="24"/>
        <v>DAOUDI Mohamed</v>
      </c>
      <c r="W394" s="13">
        <f t="shared" si="25"/>
        <v>44551</v>
      </c>
    </row>
    <row r="395" spans="1:23" ht="43.2" customHeight="1" x14ac:dyDescent="0.3">
      <c r="A395" s="28">
        <v>44536</v>
      </c>
      <c r="B395" s="12" t="s">
        <v>1956</v>
      </c>
      <c r="C395" s="12" t="s">
        <v>1542</v>
      </c>
      <c r="D395" s="5" t="s">
        <v>1675</v>
      </c>
      <c r="E395" s="12">
        <v>623</v>
      </c>
      <c r="F395" s="14" t="s">
        <v>4251</v>
      </c>
      <c r="G395" s="12" t="s">
        <v>7</v>
      </c>
      <c r="H395" s="12" t="s">
        <v>9</v>
      </c>
      <c r="I395" s="11" t="s">
        <v>1957</v>
      </c>
      <c r="J395" s="12" t="s">
        <v>1609</v>
      </c>
      <c r="K395" s="12" t="str">
        <f t="shared" si="26"/>
        <v>Open</v>
      </c>
      <c r="L395" s="13"/>
      <c r="M395" s="12" t="s">
        <v>375</v>
      </c>
      <c r="N395" s="12"/>
      <c r="O395" s="12"/>
      <c r="P395" s="12" t="s">
        <v>3790</v>
      </c>
      <c r="Q395" s="12"/>
      <c r="R395" s="12" t="s">
        <v>5</v>
      </c>
      <c r="S395" s="12" t="s">
        <v>3</v>
      </c>
      <c r="T395" s="13" t="s">
        <v>1547</v>
      </c>
      <c r="U395" s="12" t="str">
        <f t="shared" si="27"/>
        <v>No Material</v>
      </c>
      <c r="V395" s="12" t="str">
        <f t="shared" si="24"/>
        <v>SUKIMAN Zamhuri</v>
      </c>
      <c r="W395" s="13" t="str">
        <f t="shared" si="25"/>
        <v/>
      </c>
    </row>
    <row r="396" spans="1:23" ht="14.4" customHeight="1" x14ac:dyDescent="0.3">
      <c r="A396" s="28">
        <v>44536</v>
      </c>
      <c r="B396" s="12" t="s">
        <v>1961</v>
      </c>
      <c r="C396" s="12" t="s">
        <v>1690</v>
      </c>
      <c r="D396" s="5" t="s">
        <v>1722</v>
      </c>
      <c r="E396" s="12">
        <v>623</v>
      </c>
      <c r="F396" s="11" t="s">
        <v>1962</v>
      </c>
      <c r="G396" s="12" t="s">
        <v>1</v>
      </c>
      <c r="H396" s="12" t="s">
        <v>11</v>
      </c>
      <c r="I396" s="14" t="s">
        <v>4252</v>
      </c>
      <c r="J396" s="12" t="s">
        <v>1545</v>
      </c>
      <c r="K396" s="12" t="str">
        <f t="shared" si="26"/>
        <v>Closed</v>
      </c>
      <c r="L396" s="13">
        <v>44551</v>
      </c>
      <c r="M396" s="12" t="s">
        <v>1851</v>
      </c>
      <c r="N396" s="12"/>
      <c r="O396" s="12"/>
      <c r="P396" s="12" t="s">
        <v>2788</v>
      </c>
      <c r="Q396" s="12"/>
      <c r="R396" s="12"/>
      <c r="S396" s="12"/>
      <c r="T396" s="12"/>
      <c r="U396" s="12" t="str">
        <f t="shared" si="27"/>
        <v>Corrected</v>
      </c>
      <c r="V396" s="12" t="str">
        <f t="shared" si="24"/>
        <v>FIRDUS Ahmad</v>
      </c>
      <c r="W396" s="13">
        <f t="shared" si="25"/>
        <v>44551</v>
      </c>
    </row>
    <row r="397" spans="1:23" ht="14.4" customHeight="1" x14ac:dyDescent="0.3">
      <c r="A397" s="28">
        <v>44536</v>
      </c>
      <c r="B397" s="12" t="s">
        <v>1963</v>
      </c>
      <c r="C397" s="12" t="s">
        <v>1542</v>
      </c>
      <c r="D397" s="5" t="s">
        <v>1934</v>
      </c>
      <c r="E397" s="12">
        <v>623</v>
      </c>
      <c r="F397" s="11" t="s">
        <v>1964</v>
      </c>
      <c r="G397" s="12"/>
      <c r="H397" s="12" t="s">
        <v>9</v>
      </c>
      <c r="I397" s="11"/>
      <c r="J397" s="12" t="s">
        <v>1574</v>
      </c>
      <c r="K397" s="12" t="str">
        <f t="shared" si="26"/>
        <v>Closed</v>
      </c>
      <c r="L397" s="13">
        <v>44549</v>
      </c>
      <c r="M397" s="12"/>
      <c r="N397" s="12"/>
      <c r="O397" s="12"/>
      <c r="P397" s="12" t="s">
        <v>3790</v>
      </c>
      <c r="Q397" s="12"/>
      <c r="R397" s="12"/>
      <c r="S397" s="12"/>
      <c r="T397" s="12"/>
      <c r="U397" s="12" t="str">
        <f t="shared" si="27"/>
        <v>NFF</v>
      </c>
      <c r="V397" s="12" t="str">
        <f t="shared" si="24"/>
        <v>KHAN Jahan</v>
      </c>
      <c r="W397" s="13">
        <f t="shared" si="25"/>
        <v>44549</v>
      </c>
    </row>
    <row r="398" spans="1:23" ht="14.4" customHeight="1" x14ac:dyDescent="0.3">
      <c r="A398" s="28">
        <v>44536</v>
      </c>
      <c r="B398" s="12" t="s">
        <v>1965</v>
      </c>
      <c r="C398" s="12" t="s">
        <v>1542</v>
      </c>
      <c r="D398" s="5" t="s">
        <v>1911</v>
      </c>
      <c r="E398" s="12">
        <v>608</v>
      </c>
      <c r="F398" s="11" t="s">
        <v>1966</v>
      </c>
      <c r="G398" s="12"/>
      <c r="H398" s="12" t="s">
        <v>9</v>
      </c>
      <c r="I398" s="11" t="s">
        <v>1967</v>
      </c>
      <c r="J398" s="12" t="s">
        <v>1574</v>
      </c>
      <c r="K398" s="12" t="str">
        <f t="shared" si="26"/>
        <v>Closed</v>
      </c>
      <c r="L398" s="13">
        <v>44538</v>
      </c>
      <c r="M398" s="12"/>
      <c r="N398" s="12"/>
      <c r="O398" s="12"/>
      <c r="P398" s="12" t="s">
        <v>3790</v>
      </c>
      <c r="Q398" s="12"/>
      <c r="R398" s="12"/>
      <c r="S398" s="12"/>
      <c r="T398" s="12"/>
      <c r="U398" s="12" t="str">
        <f t="shared" si="27"/>
        <v>NFF</v>
      </c>
      <c r="V398" s="12" t="str">
        <f t="shared" si="24"/>
        <v>KHAN Jahan</v>
      </c>
      <c r="W398" s="13">
        <f t="shared" si="25"/>
        <v>44538</v>
      </c>
    </row>
    <row r="399" spans="1:23" ht="14.4" customHeight="1" x14ac:dyDescent="0.3">
      <c r="A399" s="28">
        <v>44536</v>
      </c>
      <c r="B399" s="12" t="s">
        <v>1968</v>
      </c>
      <c r="C399" s="12" t="s">
        <v>1542</v>
      </c>
      <c r="D399" s="5" t="s">
        <v>1911</v>
      </c>
      <c r="E399" s="12">
        <v>608</v>
      </c>
      <c r="F399" s="11" t="s">
        <v>1969</v>
      </c>
      <c r="G399" s="12"/>
      <c r="H399" s="12" t="s">
        <v>11</v>
      </c>
      <c r="I399" s="11"/>
      <c r="J399" s="12" t="s">
        <v>1545</v>
      </c>
      <c r="K399" s="12" t="str">
        <f t="shared" si="26"/>
        <v>Closed</v>
      </c>
      <c r="L399" s="13">
        <v>44551</v>
      </c>
      <c r="M399" s="12" t="s">
        <v>1970</v>
      </c>
      <c r="N399" s="12"/>
      <c r="O399" s="12"/>
      <c r="P399" s="12" t="s">
        <v>3790</v>
      </c>
      <c r="Q399" s="12"/>
      <c r="R399" s="12"/>
      <c r="S399" s="12"/>
      <c r="T399" s="12"/>
      <c r="U399" s="12" t="str">
        <f t="shared" si="27"/>
        <v>Corrected</v>
      </c>
      <c r="V399" s="12" t="str">
        <f t="shared" si="24"/>
        <v>FIRDUS Ahmad</v>
      </c>
      <c r="W399" s="13">
        <f t="shared" si="25"/>
        <v>44551</v>
      </c>
    </row>
    <row r="400" spans="1:23" ht="14.4" customHeight="1" x14ac:dyDescent="0.3">
      <c r="A400" s="28">
        <v>44536</v>
      </c>
      <c r="B400" s="12" t="s">
        <v>1971</v>
      </c>
      <c r="C400" s="12" t="s">
        <v>1542</v>
      </c>
      <c r="D400" s="5" t="s">
        <v>1942</v>
      </c>
      <c r="E400" s="12">
        <v>603</v>
      </c>
      <c r="F400" s="11" t="s">
        <v>1972</v>
      </c>
      <c r="G400" s="12"/>
      <c r="H400" s="12" t="s">
        <v>9</v>
      </c>
      <c r="I400" s="11"/>
      <c r="J400" s="12" t="s">
        <v>1574</v>
      </c>
      <c r="K400" s="12" t="str">
        <f t="shared" si="26"/>
        <v>Closed</v>
      </c>
      <c r="L400" s="13">
        <v>44549</v>
      </c>
      <c r="M400" s="12"/>
      <c r="N400" s="12"/>
      <c r="O400" s="12"/>
      <c r="P400" s="12" t="s">
        <v>3790</v>
      </c>
      <c r="Q400" s="12"/>
      <c r="R400" s="12"/>
      <c r="S400" s="12"/>
      <c r="T400" s="12"/>
      <c r="U400" s="12" t="str">
        <f t="shared" si="27"/>
        <v>NFF</v>
      </c>
      <c r="V400" s="12" t="str">
        <f t="shared" si="24"/>
        <v>KHAN Jahan</v>
      </c>
      <c r="W400" s="13">
        <f t="shared" si="25"/>
        <v>44549</v>
      </c>
    </row>
    <row r="401" spans="1:23" ht="14.4" customHeight="1" x14ac:dyDescent="0.3">
      <c r="A401" s="28">
        <v>44536</v>
      </c>
      <c r="B401" s="12" t="s">
        <v>1973</v>
      </c>
      <c r="C401" s="12" t="s">
        <v>1542</v>
      </c>
      <c r="D401" s="5" t="s">
        <v>1921</v>
      </c>
      <c r="E401" s="12">
        <v>411</v>
      </c>
      <c r="F401" s="11" t="s">
        <v>1974</v>
      </c>
      <c r="G401" s="12"/>
      <c r="H401" s="12" t="s">
        <v>19</v>
      </c>
      <c r="I401" s="11" t="s">
        <v>1975</v>
      </c>
      <c r="J401" s="12" t="s">
        <v>1574</v>
      </c>
      <c r="K401" s="12" t="str">
        <f t="shared" si="26"/>
        <v>Closed</v>
      </c>
      <c r="L401" s="13">
        <v>44536</v>
      </c>
      <c r="M401" s="12"/>
      <c r="N401" s="12"/>
      <c r="O401" s="12"/>
      <c r="P401" s="12" t="s">
        <v>3790</v>
      </c>
      <c r="Q401" s="12"/>
      <c r="R401" s="12"/>
      <c r="S401" s="12"/>
      <c r="T401" s="12"/>
      <c r="U401" s="12" t="str">
        <f t="shared" si="27"/>
        <v>NFF</v>
      </c>
      <c r="V401" s="12" t="str">
        <f t="shared" si="24"/>
        <v>DAOUDI Mohamed</v>
      </c>
      <c r="W401" s="13">
        <f t="shared" si="25"/>
        <v>44536</v>
      </c>
    </row>
    <row r="402" spans="1:23" ht="14.4" customHeight="1" x14ac:dyDescent="0.3">
      <c r="A402" s="28">
        <v>44536</v>
      </c>
      <c r="B402" s="12" t="s">
        <v>1976</v>
      </c>
      <c r="C402" s="12" t="s">
        <v>1690</v>
      </c>
      <c r="D402" s="5" t="s">
        <v>1722</v>
      </c>
      <c r="E402" s="12">
        <v>619</v>
      </c>
      <c r="F402" s="14" t="s">
        <v>4253</v>
      </c>
      <c r="G402" s="12"/>
      <c r="H402" s="12" t="s">
        <v>11</v>
      </c>
      <c r="I402" s="11" t="s">
        <v>1977</v>
      </c>
      <c r="J402" s="12" t="s">
        <v>1574</v>
      </c>
      <c r="K402" s="12" t="str">
        <f t="shared" si="26"/>
        <v>Closed</v>
      </c>
      <c r="L402" s="13">
        <v>44565</v>
      </c>
      <c r="M402" s="12"/>
      <c r="N402" s="12" t="s">
        <v>4429</v>
      </c>
      <c r="O402" s="12"/>
      <c r="P402" s="12" t="s">
        <v>3790</v>
      </c>
      <c r="Q402" s="12"/>
      <c r="R402" s="12"/>
      <c r="S402" s="12"/>
      <c r="T402" s="12"/>
      <c r="U402" s="12" t="str">
        <f t="shared" si="27"/>
        <v>NFF</v>
      </c>
      <c r="V402" s="12" t="str">
        <f t="shared" si="24"/>
        <v>FIRDUS Ahmad</v>
      </c>
      <c r="W402" s="13">
        <f t="shared" si="25"/>
        <v>44565</v>
      </c>
    </row>
    <row r="403" spans="1:23" ht="14.4" customHeight="1" x14ac:dyDescent="0.3">
      <c r="A403" s="28">
        <v>44536</v>
      </c>
      <c r="B403" s="12" t="s">
        <v>1978</v>
      </c>
      <c r="C403" s="12" t="s">
        <v>1690</v>
      </c>
      <c r="D403" s="5" t="s">
        <v>1722</v>
      </c>
      <c r="E403" s="12" t="s">
        <v>1717</v>
      </c>
      <c r="F403" s="11" t="s">
        <v>1979</v>
      </c>
      <c r="G403" s="12" t="s">
        <v>7</v>
      </c>
      <c r="H403" s="12" t="s">
        <v>17</v>
      </c>
      <c r="I403" s="11" t="s">
        <v>1980</v>
      </c>
      <c r="J403" s="12" t="s">
        <v>1574</v>
      </c>
      <c r="K403" s="12" t="str">
        <f t="shared" si="26"/>
        <v>Closed</v>
      </c>
      <c r="L403" s="13"/>
      <c r="M403" s="12"/>
      <c r="N403" s="12"/>
      <c r="O403" s="12"/>
      <c r="P403" s="12" t="s">
        <v>3790</v>
      </c>
      <c r="Q403" s="12"/>
      <c r="R403" s="12" t="s">
        <v>1545</v>
      </c>
      <c r="S403" s="12" t="s">
        <v>18</v>
      </c>
      <c r="T403" s="12"/>
      <c r="U403" s="12" t="str">
        <f t="shared" si="27"/>
        <v>NFF</v>
      </c>
      <c r="V403" s="12" t="str">
        <f t="shared" si="24"/>
        <v>FATHI Charafeddine</v>
      </c>
      <c r="W403" s="13"/>
    </row>
    <row r="404" spans="1:23" ht="14.4" customHeight="1" x14ac:dyDescent="0.3">
      <c r="A404" s="28">
        <v>44536</v>
      </c>
      <c r="B404" s="12" t="s">
        <v>1981</v>
      </c>
      <c r="C404" s="12" t="s">
        <v>1542</v>
      </c>
      <c r="D404" s="5" t="s">
        <v>1921</v>
      </c>
      <c r="E404" s="12">
        <v>411</v>
      </c>
      <c r="F404" s="11" t="s">
        <v>1982</v>
      </c>
      <c r="G404" s="12" t="s">
        <v>7</v>
      </c>
      <c r="H404" s="12" t="s">
        <v>18</v>
      </c>
      <c r="I404" s="11" t="s">
        <v>3401</v>
      </c>
      <c r="J404" s="12" t="s">
        <v>1545</v>
      </c>
      <c r="K404" s="12" t="str">
        <f t="shared" si="26"/>
        <v>Closed</v>
      </c>
      <c r="L404" s="13">
        <v>44549</v>
      </c>
      <c r="M404" s="12" t="s">
        <v>214</v>
      </c>
      <c r="N404" s="12"/>
      <c r="O404" s="12"/>
      <c r="P404" s="12" t="s">
        <v>3790</v>
      </c>
      <c r="Q404" s="12"/>
      <c r="R404" s="12"/>
      <c r="S404" s="12"/>
      <c r="T404" s="12"/>
      <c r="U404" s="12" t="str">
        <f t="shared" si="27"/>
        <v>Corrected</v>
      </c>
      <c r="V404" s="12" t="str">
        <f t="shared" si="24"/>
        <v>BENAYED Elie</v>
      </c>
      <c r="W404" s="13">
        <f t="shared" si="25"/>
        <v>44549</v>
      </c>
    </row>
    <row r="405" spans="1:23" ht="43.2" customHeight="1" x14ac:dyDescent="0.3">
      <c r="A405" s="28">
        <v>44536</v>
      </c>
      <c r="B405" s="12" t="s">
        <v>1981</v>
      </c>
      <c r="C405" s="12" t="s">
        <v>1542</v>
      </c>
      <c r="D405" s="5" t="s">
        <v>1921</v>
      </c>
      <c r="E405" s="12">
        <v>411</v>
      </c>
      <c r="F405" s="11" t="s">
        <v>3402</v>
      </c>
      <c r="G405" s="12" t="s">
        <v>7</v>
      </c>
      <c r="H405" s="12" t="s">
        <v>18</v>
      </c>
      <c r="I405" s="11" t="s">
        <v>3403</v>
      </c>
      <c r="J405" s="12" t="s">
        <v>1545</v>
      </c>
      <c r="K405" s="12" t="str">
        <f t="shared" si="26"/>
        <v>Closed</v>
      </c>
      <c r="L405" s="13">
        <v>44549</v>
      </c>
      <c r="M405" s="12" t="s">
        <v>214</v>
      </c>
      <c r="N405" s="12"/>
      <c r="O405" s="12"/>
      <c r="P405" s="12" t="s">
        <v>3790</v>
      </c>
      <c r="Q405" s="12"/>
      <c r="R405" s="12"/>
      <c r="S405" s="12"/>
      <c r="T405" s="12"/>
      <c r="U405" s="12" t="str">
        <f t="shared" si="27"/>
        <v>Corrected</v>
      </c>
      <c r="V405" s="12" t="str">
        <f t="shared" si="24"/>
        <v>BENAYED Elie</v>
      </c>
      <c r="W405" s="13">
        <f t="shared" si="25"/>
        <v>44549</v>
      </c>
    </row>
    <row r="406" spans="1:23" ht="28.8" x14ac:dyDescent="0.3">
      <c r="A406" s="28">
        <v>44537</v>
      </c>
      <c r="B406" s="12" t="s">
        <v>1983</v>
      </c>
      <c r="C406" s="12" t="s">
        <v>1823</v>
      </c>
      <c r="D406" s="5" t="s">
        <v>1675</v>
      </c>
      <c r="E406" s="12">
        <v>403</v>
      </c>
      <c r="F406" s="11" t="s">
        <v>3404</v>
      </c>
      <c r="G406" s="12" t="s">
        <v>7</v>
      </c>
      <c r="H406" s="12" t="s">
        <v>14</v>
      </c>
      <c r="I406" s="14" t="s">
        <v>4254</v>
      </c>
      <c r="J406" s="12" t="s">
        <v>1545</v>
      </c>
      <c r="K406" s="12" t="str">
        <f t="shared" si="26"/>
        <v>Closed</v>
      </c>
      <c r="L406" s="13">
        <v>44563</v>
      </c>
      <c r="M406" s="12" t="s">
        <v>225</v>
      </c>
      <c r="N406" s="12" t="s">
        <v>4427</v>
      </c>
      <c r="O406" s="12" t="s">
        <v>3258</v>
      </c>
      <c r="P406" s="12" t="s">
        <v>3790</v>
      </c>
      <c r="Q406" s="12"/>
      <c r="R406" s="12"/>
      <c r="S406" s="12"/>
      <c r="T406" s="13" t="s">
        <v>1547</v>
      </c>
      <c r="U406" s="12" t="str">
        <f t="shared" si="27"/>
        <v>Corrected</v>
      </c>
      <c r="V406" s="12" t="str">
        <f t="shared" si="24"/>
        <v>GUAN Jialin</v>
      </c>
      <c r="W406" s="13">
        <f t="shared" si="25"/>
        <v>44563</v>
      </c>
    </row>
    <row r="407" spans="1:23" ht="14.4" customHeight="1" x14ac:dyDescent="0.3">
      <c r="A407" s="28">
        <v>44537</v>
      </c>
      <c r="B407" s="12" t="s">
        <v>1983</v>
      </c>
      <c r="C407" s="12" t="s">
        <v>1823</v>
      </c>
      <c r="D407" s="5" t="s">
        <v>1675</v>
      </c>
      <c r="E407" s="12">
        <v>403</v>
      </c>
      <c r="F407" s="11" t="s">
        <v>3405</v>
      </c>
      <c r="G407" s="12" t="s">
        <v>7</v>
      </c>
      <c r="H407" s="12" t="s">
        <v>14</v>
      </c>
      <c r="I407" s="14" t="s">
        <v>4254</v>
      </c>
      <c r="J407" s="12" t="s">
        <v>1545</v>
      </c>
      <c r="K407" s="12" t="str">
        <f t="shared" si="26"/>
        <v>Closed</v>
      </c>
      <c r="L407" s="13">
        <v>44563</v>
      </c>
      <c r="M407" s="12" t="s">
        <v>225</v>
      </c>
      <c r="N407" s="12" t="s">
        <v>4427</v>
      </c>
      <c r="O407" s="12" t="s">
        <v>3258</v>
      </c>
      <c r="P407" s="12" t="s">
        <v>3790</v>
      </c>
      <c r="Q407" s="12"/>
      <c r="R407" s="12"/>
      <c r="S407" s="12"/>
      <c r="T407" s="12"/>
      <c r="U407" s="12" t="str">
        <f t="shared" si="27"/>
        <v>Corrected</v>
      </c>
      <c r="V407" s="12" t="str">
        <f t="shared" si="24"/>
        <v>GUAN Jialin</v>
      </c>
      <c r="W407" s="13">
        <f t="shared" si="25"/>
        <v>44563</v>
      </c>
    </row>
    <row r="408" spans="1:23" ht="14.4" customHeight="1" x14ac:dyDescent="0.3">
      <c r="A408" s="28">
        <v>44537</v>
      </c>
      <c r="B408" s="12" t="s">
        <v>1984</v>
      </c>
      <c r="C408" s="12" t="s">
        <v>1823</v>
      </c>
      <c r="D408" s="5" t="s">
        <v>1675</v>
      </c>
      <c r="E408" s="12">
        <v>619</v>
      </c>
      <c r="F408" s="11" t="s">
        <v>276</v>
      </c>
      <c r="G408" s="12" t="s">
        <v>7</v>
      </c>
      <c r="H408" s="12" t="s">
        <v>14</v>
      </c>
      <c r="I408" s="14" t="s">
        <v>4255</v>
      </c>
      <c r="J408" s="12" t="s">
        <v>1545</v>
      </c>
      <c r="K408" s="12" t="str">
        <f t="shared" si="26"/>
        <v>Closed</v>
      </c>
      <c r="L408" s="13">
        <v>44564</v>
      </c>
      <c r="M408" s="12" t="s">
        <v>274</v>
      </c>
      <c r="N408" s="12" t="s">
        <v>4427</v>
      </c>
      <c r="O408" s="12" t="s">
        <v>3258</v>
      </c>
      <c r="P408" s="12" t="s">
        <v>3790</v>
      </c>
      <c r="Q408" s="12"/>
      <c r="R408" s="12"/>
      <c r="S408" s="12"/>
      <c r="T408" s="12"/>
      <c r="U408" s="12" t="str">
        <f t="shared" si="27"/>
        <v>Corrected</v>
      </c>
      <c r="V408" s="12" t="str">
        <f t="shared" si="24"/>
        <v>GUAN Jialin</v>
      </c>
      <c r="W408" s="13">
        <f t="shared" si="25"/>
        <v>44564</v>
      </c>
    </row>
    <row r="409" spans="1:23" ht="14.4" customHeight="1" x14ac:dyDescent="0.3">
      <c r="A409" s="28">
        <v>44537</v>
      </c>
      <c r="B409" s="12" t="s">
        <v>1985</v>
      </c>
      <c r="C409" s="12" t="s">
        <v>1690</v>
      </c>
      <c r="D409" s="5" t="s">
        <v>1722</v>
      </c>
      <c r="E409" s="12">
        <v>411</v>
      </c>
      <c r="F409" s="11" t="s">
        <v>1986</v>
      </c>
      <c r="G409" s="12" t="s">
        <v>7</v>
      </c>
      <c r="H409" s="12" t="s">
        <v>9</v>
      </c>
      <c r="I409" s="11" t="s">
        <v>1987</v>
      </c>
      <c r="J409" s="12" t="s">
        <v>1609</v>
      </c>
      <c r="K409" s="12" t="str">
        <f t="shared" si="26"/>
        <v>Open</v>
      </c>
      <c r="L409" s="13"/>
      <c r="M409" s="12" t="s">
        <v>370</v>
      </c>
      <c r="N409" s="12"/>
      <c r="O409" s="12"/>
      <c r="P409" s="12" t="s">
        <v>3790</v>
      </c>
      <c r="Q409" s="12"/>
      <c r="R409" s="12" t="s">
        <v>5</v>
      </c>
      <c r="S409" s="12" t="s">
        <v>3</v>
      </c>
      <c r="T409" s="12"/>
      <c r="U409" s="12" t="str">
        <f t="shared" si="27"/>
        <v>No Material</v>
      </c>
      <c r="V409" s="12" t="str">
        <f t="shared" si="24"/>
        <v>SUKIMAN Zamhuri</v>
      </c>
      <c r="W409" s="13" t="str">
        <f t="shared" si="25"/>
        <v/>
      </c>
    </row>
    <row r="410" spans="1:23" ht="14.4" customHeight="1" x14ac:dyDescent="0.3">
      <c r="A410" s="28">
        <v>44537</v>
      </c>
      <c r="B410" s="12" t="s">
        <v>1988</v>
      </c>
      <c r="C410" s="12" t="s">
        <v>1823</v>
      </c>
      <c r="D410" s="5" t="s">
        <v>1675</v>
      </c>
      <c r="E410" s="12">
        <v>414</v>
      </c>
      <c r="F410" s="14" t="s">
        <v>4256</v>
      </c>
      <c r="G410" s="12" t="s">
        <v>7</v>
      </c>
      <c r="H410" s="12" t="s">
        <v>14</v>
      </c>
      <c r="I410" s="14" t="s">
        <v>4257</v>
      </c>
      <c r="J410" s="12" t="s">
        <v>1574</v>
      </c>
      <c r="K410" s="12" t="str">
        <f t="shared" si="26"/>
        <v>Closed</v>
      </c>
      <c r="L410" s="13">
        <v>44587</v>
      </c>
      <c r="M410" s="12" t="s">
        <v>329</v>
      </c>
      <c r="N410" s="12"/>
      <c r="O410" s="12"/>
      <c r="P410" s="12" t="s">
        <v>3790</v>
      </c>
      <c r="Q410" s="12"/>
      <c r="R410" s="12"/>
      <c r="S410" s="12"/>
      <c r="T410" s="12"/>
      <c r="U410" s="12" t="str">
        <f t="shared" si="27"/>
        <v>NFF</v>
      </c>
      <c r="V410" s="12" t="str">
        <f t="shared" si="24"/>
        <v>GUAN Jialin</v>
      </c>
      <c r="W410" s="13">
        <f t="shared" si="25"/>
        <v>44587</v>
      </c>
    </row>
    <row r="411" spans="1:23" ht="14.4" customHeight="1" x14ac:dyDescent="0.3">
      <c r="A411" s="28">
        <v>44538</v>
      </c>
      <c r="B411" s="12" t="s">
        <v>1989</v>
      </c>
      <c r="C411" s="12" t="s">
        <v>1823</v>
      </c>
      <c r="D411" s="5" t="s">
        <v>1675</v>
      </c>
      <c r="E411" s="12">
        <v>423</v>
      </c>
      <c r="F411" s="11" t="s">
        <v>3406</v>
      </c>
      <c r="G411" s="12" t="s">
        <v>7</v>
      </c>
      <c r="H411" s="12" t="s">
        <v>14</v>
      </c>
      <c r="I411" s="14" t="s">
        <v>4258</v>
      </c>
      <c r="J411" s="12" t="s">
        <v>1545</v>
      </c>
      <c r="K411" s="12" t="str">
        <f t="shared" si="26"/>
        <v>Closed</v>
      </c>
      <c r="L411" s="13">
        <v>44570</v>
      </c>
      <c r="M411" s="12" t="s">
        <v>271</v>
      </c>
      <c r="N411" s="12" t="s">
        <v>4427</v>
      </c>
      <c r="O411" s="12" t="s">
        <v>2445</v>
      </c>
      <c r="P411" s="12" t="s">
        <v>3790</v>
      </c>
      <c r="Q411" s="12"/>
      <c r="R411" s="12"/>
      <c r="S411" s="12"/>
      <c r="T411" s="12"/>
      <c r="U411" s="12" t="str">
        <f t="shared" si="27"/>
        <v>Corrected</v>
      </c>
      <c r="V411" s="12" t="str">
        <f t="shared" si="24"/>
        <v>GUAN Jialin</v>
      </c>
      <c r="W411" s="13">
        <f t="shared" si="25"/>
        <v>44570</v>
      </c>
    </row>
    <row r="412" spans="1:23" ht="14.4" customHeight="1" x14ac:dyDescent="0.3">
      <c r="A412" s="28">
        <v>44538</v>
      </c>
      <c r="B412" s="12" t="s">
        <v>1989</v>
      </c>
      <c r="C412" s="12" t="s">
        <v>1823</v>
      </c>
      <c r="D412" s="5" t="s">
        <v>1675</v>
      </c>
      <c r="E412" s="12">
        <v>423</v>
      </c>
      <c r="F412" s="11" t="s">
        <v>3407</v>
      </c>
      <c r="G412" s="12" t="s">
        <v>7</v>
      </c>
      <c r="H412" s="12" t="s">
        <v>14</v>
      </c>
      <c r="I412" s="14" t="s">
        <v>4259</v>
      </c>
      <c r="J412" s="12" t="s">
        <v>1545</v>
      </c>
      <c r="K412" s="12" t="str">
        <f t="shared" si="26"/>
        <v>Closed</v>
      </c>
      <c r="L412" s="13">
        <v>44570</v>
      </c>
      <c r="M412" s="12" t="s">
        <v>271</v>
      </c>
      <c r="N412" s="12" t="s">
        <v>4427</v>
      </c>
      <c r="O412" s="12" t="s">
        <v>2546</v>
      </c>
      <c r="P412" s="12" t="s">
        <v>3790</v>
      </c>
      <c r="Q412" s="12"/>
      <c r="R412" s="12"/>
      <c r="S412" s="12"/>
      <c r="T412" s="12"/>
      <c r="U412" s="12" t="str">
        <f t="shared" si="27"/>
        <v>Corrected</v>
      </c>
      <c r="V412" s="12" t="str">
        <f t="shared" si="24"/>
        <v>GUAN Jialin</v>
      </c>
      <c r="W412" s="13">
        <f t="shared" si="25"/>
        <v>44570</v>
      </c>
    </row>
    <row r="413" spans="1:23" ht="14.4" customHeight="1" x14ac:dyDescent="0.3">
      <c r="A413" s="28">
        <v>44538</v>
      </c>
      <c r="B413" s="12" t="s">
        <v>1989</v>
      </c>
      <c r="C413" s="12" t="s">
        <v>1823</v>
      </c>
      <c r="D413" s="5" t="s">
        <v>1675</v>
      </c>
      <c r="E413" s="12">
        <v>423</v>
      </c>
      <c r="F413" s="11" t="s">
        <v>3408</v>
      </c>
      <c r="G413" s="12" t="s">
        <v>7</v>
      </c>
      <c r="H413" s="12" t="s">
        <v>14</v>
      </c>
      <c r="I413" s="14" t="s">
        <v>4259</v>
      </c>
      <c r="J413" s="12" t="s">
        <v>1545</v>
      </c>
      <c r="K413" s="12" t="str">
        <f t="shared" si="26"/>
        <v>Closed</v>
      </c>
      <c r="L413" s="13">
        <v>44570</v>
      </c>
      <c r="M413" s="12" t="s">
        <v>271</v>
      </c>
      <c r="N413" s="12" t="s">
        <v>4427</v>
      </c>
      <c r="O413" s="12" t="s">
        <v>2546</v>
      </c>
      <c r="P413" s="12" t="s">
        <v>3790</v>
      </c>
      <c r="Q413" s="12"/>
      <c r="R413" s="12"/>
      <c r="S413" s="12"/>
      <c r="T413" s="12"/>
      <c r="U413" s="12" t="str">
        <f t="shared" si="27"/>
        <v>Corrected</v>
      </c>
      <c r="V413" s="12" t="str">
        <f t="shared" si="24"/>
        <v>GUAN Jialin</v>
      </c>
      <c r="W413" s="13">
        <f t="shared" si="25"/>
        <v>44570</v>
      </c>
    </row>
    <row r="414" spans="1:23" ht="14.4" customHeight="1" x14ac:dyDescent="0.3">
      <c r="A414" s="28">
        <v>44538</v>
      </c>
      <c r="B414" s="12" t="s">
        <v>1990</v>
      </c>
      <c r="C414" s="12" t="s">
        <v>1542</v>
      </c>
      <c r="D414" s="5" t="s">
        <v>1991</v>
      </c>
      <c r="E414" s="12">
        <v>605</v>
      </c>
      <c r="F414" s="14" t="s">
        <v>4260</v>
      </c>
      <c r="G414" s="12"/>
      <c r="H414" s="12" t="s">
        <v>11</v>
      </c>
      <c r="I414" s="11" t="s">
        <v>1992</v>
      </c>
      <c r="J414" s="12" t="s">
        <v>1545</v>
      </c>
      <c r="K414" s="12" t="str">
        <f t="shared" si="26"/>
        <v>Closed</v>
      </c>
      <c r="L414" s="13">
        <v>44551</v>
      </c>
      <c r="M414" s="12"/>
      <c r="N414" s="12"/>
      <c r="O414" s="12"/>
      <c r="P414" s="12" t="s">
        <v>3790</v>
      </c>
      <c r="Q414" s="12"/>
      <c r="R414" s="12"/>
      <c r="S414" s="12"/>
      <c r="T414" s="12"/>
      <c r="U414" s="12" t="str">
        <f t="shared" si="27"/>
        <v>Corrected</v>
      </c>
      <c r="V414" s="12" t="str">
        <f t="shared" si="24"/>
        <v>FIRDUS Ahmad</v>
      </c>
      <c r="W414" s="13">
        <f t="shared" si="25"/>
        <v>44551</v>
      </c>
    </row>
    <row r="415" spans="1:23" ht="14.4" customHeight="1" x14ac:dyDescent="0.3">
      <c r="A415" s="28">
        <v>44538</v>
      </c>
      <c r="B415" s="12" t="s">
        <v>1993</v>
      </c>
      <c r="C415" s="12" t="s">
        <v>1542</v>
      </c>
      <c r="D415" s="5" t="s">
        <v>1991</v>
      </c>
      <c r="E415" s="12">
        <v>605</v>
      </c>
      <c r="F415" s="11" t="s">
        <v>3409</v>
      </c>
      <c r="G415" s="12" t="s">
        <v>7</v>
      </c>
      <c r="H415" s="12" t="s">
        <v>14</v>
      </c>
      <c r="I415" s="11" t="s">
        <v>1994</v>
      </c>
      <c r="J415" s="12" t="s">
        <v>1545</v>
      </c>
      <c r="K415" s="12" t="str">
        <f t="shared" si="26"/>
        <v>Closed</v>
      </c>
      <c r="L415" s="13">
        <v>44588</v>
      </c>
      <c r="M415" s="12"/>
      <c r="N415" s="12" t="s">
        <v>4427</v>
      </c>
      <c r="O415" s="12" t="s">
        <v>2546</v>
      </c>
      <c r="P415" s="12" t="s">
        <v>3790</v>
      </c>
      <c r="Q415" s="12"/>
      <c r="R415" s="12"/>
      <c r="S415" s="12"/>
      <c r="T415" s="12"/>
      <c r="U415" s="12" t="str">
        <f t="shared" si="27"/>
        <v>Corrected</v>
      </c>
      <c r="V415" s="12" t="str">
        <f t="shared" si="24"/>
        <v>GUAN Jialin</v>
      </c>
      <c r="W415" s="13">
        <f t="shared" si="25"/>
        <v>44588</v>
      </c>
    </row>
    <row r="416" spans="1:23" ht="14.4" customHeight="1" x14ac:dyDescent="0.3">
      <c r="A416" s="28">
        <v>44538</v>
      </c>
      <c r="B416" s="12" t="s">
        <v>1993</v>
      </c>
      <c r="C416" s="12" t="s">
        <v>1542</v>
      </c>
      <c r="D416" s="5" t="s">
        <v>1991</v>
      </c>
      <c r="E416" s="12">
        <v>605</v>
      </c>
      <c r="F416" s="11" t="s">
        <v>3410</v>
      </c>
      <c r="G416" s="12" t="s">
        <v>7</v>
      </c>
      <c r="H416" s="12" t="s">
        <v>14</v>
      </c>
      <c r="I416" s="11" t="s">
        <v>1994</v>
      </c>
      <c r="J416" s="12" t="s">
        <v>1545</v>
      </c>
      <c r="K416" s="12" t="str">
        <f t="shared" si="26"/>
        <v>Closed</v>
      </c>
      <c r="L416" s="13">
        <v>44588</v>
      </c>
      <c r="M416" s="12"/>
      <c r="N416" s="12" t="s">
        <v>4427</v>
      </c>
      <c r="O416" s="12" t="s">
        <v>3411</v>
      </c>
      <c r="P416" s="12" t="s">
        <v>3790</v>
      </c>
      <c r="Q416" s="12"/>
      <c r="R416" s="12"/>
      <c r="S416" s="12"/>
      <c r="T416" s="12"/>
      <c r="U416" s="12" t="str">
        <f t="shared" si="27"/>
        <v>Corrected</v>
      </c>
      <c r="V416" s="12" t="str">
        <f t="shared" si="24"/>
        <v>GUAN Jialin</v>
      </c>
      <c r="W416" s="13">
        <f t="shared" si="25"/>
        <v>44588</v>
      </c>
    </row>
    <row r="417" spans="1:23" ht="14.4" customHeight="1" x14ac:dyDescent="0.3">
      <c r="A417" s="28">
        <v>44538</v>
      </c>
      <c r="B417" s="12" t="s">
        <v>1995</v>
      </c>
      <c r="C417" s="12" t="s">
        <v>1542</v>
      </c>
      <c r="D417" s="5" t="s">
        <v>1996</v>
      </c>
      <c r="E417" s="12">
        <v>606</v>
      </c>
      <c r="F417" s="11" t="s">
        <v>1997</v>
      </c>
      <c r="G417" s="12"/>
      <c r="H417" s="12" t="s">
        <v>14</v>
      </c>
      <c r="I417" s="11" t="s">
        <v>1625</v>
      </c>
      <c r="J417" s="12" t="s">
        <v>1545</v>
      </c>
      <c r="K417" s="12" t="str">
        <f t="shared" si="26"/>
        <v>Closed</v>
      </c>
      <c r="L417" s="13">
        <v>44557</v>
      </c>
      <c r="M417" s="12"/>
      <c r="N417" s="12" t="s">
        <v>4427</v>
      </c>
      <c r="O417" s="12" t="s">
        <v>3411</v>
      </c>
      <c r="P417" s="12" t="s">
        <v>3790</v>
      </c>
      <c r="Q417" s="12"/>
      <c r="R417" s="12"/>
      <c r="S417" s="12"/>
      <c r="T417" s="12"/>
      <c r="U417" s="12" t="str">
        <f t="shared" si="27"/>
        <v>Corrected</v>
      </c>
      <c r="V417" s="12" t="str">
        <f t="shared" si="24"/>
        <v>GUAN Jialin</v>
      </c>
      <c r="W417" s="13">
        <f t="shared" si="25"/>
        <v>44557</v>
      </c>
    </row>
    <row r="418" spans="1:23" ht="14.4" customHeight="1" x14ac:dyDescent="0.3">
      <c r="A418" s="28">
        <v>44538</v>
      </c>
      <c r="B418" s="12" t="s">
        <v>1998</v>
      </c>
      <c r="C418" s="12" t="s">
        <v>1542</v>
      </c>
      <c r="D418" s="5" t="s">
        <v>1999</v>
      </c>
      <c r="E418" s="12">
        <v>621</v>
      </c>
      <c r="F418" s="11" t="s">
        <v>2000</v>
      </c>
      <c r="G418" s="12"/>
      <c r="H418" s="12" t="s">
        <v>14</v>
      </c>
      <c r="I418" s="11" t="s">
        <v>1625</v>
      </c>
      <c r="J418" s="12" t="s">
        <v>1545</v>
      </c>
      <c r="K418" s="12" t="str">
        <f t="shared" si="26"/>
        <v>Closed</v>
      </c>
      <c r="L418" s="13">
        <v>44554</v>
      </c>
      <c r="M418" s="12" t="s">
        <v>2001</v>
      </c>
      <c r="N418" s="12" t="s">
        <v>4427</v>
      </c>
      <c r="O418" s="12" t="s">
        <v>3411</v>
      </c>
      <c r="P418" s="12" t="s">
        <v>3790</v>
      </c>
      <c r="Q418" s="12"/>
      <c r="R418" s="12"/>
      <c r="S418" s="12"/>
      <c r="T418" s="12"/>
      <c r="U418" s="12" t="str">
        <f t="shared" si="27"/>
        <v>Corrected</v>
      </c>
      <c r="V418" s="12" t="str">
        <f t="shared" si="24"/>
        <v>GUAN Jialin</v>
      </c>
      <c r="W418" s="13">
        <f t="shared" si="25"/>
        <v>44554</v>
      </c>
    </row>
    <row r="419" spans="1:23" ht="14.4" customHeight="1" x14ac:dyDescent="0.3">
      <c r="A419" s="28">
        <v>44538</v>
      </c>
      <c r="B419" s="12" t="s">
        <v>2002</v>
      </c>
      <c r="C419" s="12" t="s">
        <v>1542</v>
      </c>
      <c r="D419" s="5" t="s">
        <v>2003</v>
      </c>
      <c r="E419" s="12">
        <v>403</v>
      </c>
      <c r="F419" s="11" t="s">
        <v>2004</v>
      </c>
      <c r="G419" s="12"/>
      <c r="H419" s="12" t="s">
        <v>9</v>
      </c>
      <c r="I419" s="11" t="s">
        <v>2005</v>
      </c>
      <c r="J419" s="12" t="s">
        <v>1545</v>
      </c>
      <c r="K419" s="12" t="str">
        <f t="shared" si="26"/>
        <v>Closed</v>
      </c>
      <c r="L419" s="13">
        <v>44546</v>
      </c>
      <c r="M419" s="12"/>
      <c r="N419" s="12"/>
      <c r="O419" s="12"/>
      <c r="P419" s="12" t="s">
        <v>3790</v>
      </c>
      <c r="Q419" s="12"/>
      <c r="R419" s="12"/>
      <c r="S419" s="12"/>
      <c r="T419" s="12"/>
      <c r="U419" s="12" t="str">
        <f t="shared" si="27"/>
        <v>Corrected</v>
      </c>
      <c r="V419" s="12" t="str">
        <f t="shared" si="24"/>
        <v>KHAN Jahan</v>
      </c>
      <c r="W419" s="13">
        <f t="shared" si="25"/>
        <v>44546</v>
      </c>
    </row>
    <row r="420" spans="1:23" ht="14.4" customHeight="1" x14ac:dyDescent="0.3">
      <c r="A420" s="28">
        <v>44538</v>
      </c>
      <c r="B420" s="12" t="s">
        <v>2006</v>
      </c>
      <c r="C420" s="12" t="s">
        <v>1542</v>
      </c>
      <c r="D420" s="5" t="s">
        <v>2003</v>
      </c>
      <c r="E420" s="12">
        <v>403</v>
      </c>
      <c r="F420" s="14" t="s">
        <v>4261</v>
      </c>
      <c r="G420" s="12"/>
      <c r="H420" s="12" t="s">
        <v>14</v>
      </c>
      <c r="I420" s="11" t="s">
        <v>2007</v>
      </c>
      <c r="J420" s="12" t="s">
        <v>1574</v>
      </c>
      <c r="K420" s="12" t="str">
        <f t="shared" si="26"/>
        <v>Closed</v>
      </c>
      <c r="L420" s="13">
        <v>44563</v>
      </c>
      <c r="M420" s="12"/>
      <c r="N420" s="12"/>
      <c r="O420" s="12"/>
      <c r="P420" s="12" t="s">
        <v>3790</v>
      </c>
      <c r="Q420" s="12"/>
      <c r="R420" s="12"/>
      <c r="S420" s="12"/>
      <c r="T420" s="13" t="s">
        <v>1547</v>
      </c>
      <c r="U420" s="12" t="str">
        <f t="shared" si="27"/>
        <v>NFF</v>
      </c>
      <c r="V420" s="12" t="str">
        <f t="shared" si="24"/>
        <v>GUAN Jialin</v>
      </c>
      <c r="W420" s="13">
        <f t="shared" si="25"/>
        <v>44563</v>
      </c>
    </row>
    <row r="421" spans="1:23" ht="14.4" customHeight="1" x14ac:dyDescent="0.3">
      <c r="A421" s="28">
        <v>44538</v>
      </c>
      <c r="B421" s="12" t="s">
        <v>2008</v>
      </c>
      <c r="C421" s="12" t="s">
        <v>1542</v>
      </c>
      <c r="D421" s="5" t="s">
        <v>2003</v>
      </c>
      <c r="E421" s="12">
        <v>403</v>
      </c>
      <c r="F421" s="11" t="s">
        <v>2009</v>
      </c>
      <c r="G421" s="12"/>
      <c r="H421" s="12" t="s">
        <v>19</v>
      </c>
      <c r="I421" s="11" t="s">
        <v>2010</v>
      </c>
      <c r="J421" s="12" t="s">
        <v>1545</v>
      </c>
      <c r="K421" s="12" t="str">
        <f t="shared" si="26"/>
        <v>Closed</v>
      </c>
      <c r="L421" s="13">
        <v>44551</v>
      </c>
      <c r="M421" s="12"/>
      <c r="N421" s="12"/>
      <c r="O421" s="12"/>
      <c r="P421" s="12" t="s">
        <v>3790</v>
      </c>
      <c r="Q421" s="12"/>
      <c r="R421" s="12"/>
      <c r="S421" s="12"/>
      <c r="T421" s="12"/>
      <c r="U421" s="12" t="str">
        <f t="shared" si="27"/>
        <v>Corrected</v>
      </c>
      <c r="V421" s="12" t="str">
        <f t="shared" si="24"/>
        <v>DAOUDI Mohamed</v>
      </c>
      <c r="W421" s="13">
        <f t="shared" si="25"/>
        <v>44551</v>
      </c>
    </row>
    <row r="422" spans="1:23" ht="14.4" customHeight="1" x14ac:dyDescent="0.3">
      <c r="A422" s="28">
        <v>44538</v>
      </c>
      <c r="B422" s="12" t="s">
        <v>2011</v>
      </c>
      <c r="C422" s="12" t="s">
        <v>1542</v>
      </c>
      <c r="D422" s="5" t="s">
        <v>2012</v>
      </c>
      <c r="E422" s="12">
        <v>407</v>
      </c>
      <c r="F422" s="14" t="s">
        <v>4262</v>
      </c>
      <c r="G422" s="12"/>
      <c r="H422" s="12" t="s">
        <v>14</v>
      </c>
      <c r="I422" s="11" t="s">
        <v>3412</v>
      </c>
      <c r="J422" s="12" t="s">
        <v>1545</v>
      </c>
      <c r="K422" s="12" t="str">
        <f t="shared" si="26"/>
        <v>Closed</v>
      </c>
      <c r="L422" s="13">
        <v>44570</v>
      </c>
      <c r="M422" s="12"/>
      <c r="N422" s="12" t="s">
        <v>4427</v>
      </c>
      <c r="O422" s="12" t="s">
        <v>2445</v>
      </c>
      <c r="P422" s="12" t="s">
        <v>3790</v>
      </c>
      <c r="Q422" s="12"/>
      <c r="R422" s="12"/>
      <c r="S422" s="12"/>
      <c r="T422" s="12"/>
      <c r="U422" s="12" t="str">
        <f t="shared" si="27"/>
        <v>Corrected</v>
      </c>
      <c r="V422" s="12" t="str">
        <f t="shared" si="24"/>
        <v>GUAN Jialin</v>
      </c>
      <c r="W422" s="13">
        <f t="shared" si="25"/>
        <v>44570</v>
      </c>
    </row>
    <row r="423" spans="1:23" ht="14.4" customHeight="1" x14ac:dyDescent="0.3">
      <c r="A423" s="28">
        <v>44538</v>
      </c>
      <c r="B423" s="12" t="s">
        <v>2013</v>
      </c>
      <c r="C423" s="12" t="s">
        <v>1542</v>
      </c>
      <c r="D423" s="5" t="s">
        <v>2014</v>
      </c>
      <c r="E423" s="12">
        <v>602</v>
      </c>
      <c r="F423" s="11" t="s">
        <v>2015</v>
      </c>
      <c r="G423" s="12"/>
      <c r="H423" s="12" t="s">
        <v>14</v>
      </c>
      <c r="I423" s="11" t="s">
        <v>3412</v>
      </c>
      <c r="J423" s="12" t="s">
        <v>1545</v>
      </c>
      <c r="K423" s="12" t="str">
        <f t="shared" si="26"/>
        <v>Closed</v>
      </c>
      <c r="L423" s="13">
        <v>44570</v>
      </c>
      <c r="M423" s="12"/>
      <c r="N423" s="12" t="s">
        <v>4427</v>
      </c>
      <c r="O423" s="12" t="s">
        <v>2445</v>
      </c>
      <c r="P423" s="12" t="s">
        <v>3790</v>
      </c>
      <c r="Q423" s="12"/>
      <c r="R423" s="12"/>
      <c r="S423" s="12"/>
      <c r="T423" s="12"/>
      <c r="U423" s="12" t="str">
        <f t="shared" si="27"/>
        <v>Corrected</v>
      </c>
      <c r="V423" s="12" t="str">
        <f t="shared" si="24"/>
        <v>GUAN Jialin</v>
      </c>
      <c r="W423" s="13">
        <f t="shared" si="25"/>
        <v>44570</v>
      </c>
    </row>
    <row r="424" spans="1:23" ht="14.4" customHeight="1" x14ac:dyDescent="0.3">
      <c r="A424" s="28">
        <v>44538</v>
      </c>
      <c r="B424" s="12" t="s">
        <v>2016</v>
      </c>
      <c r="C424" s="12" t="s">
        <v>1542</v>
      </c>
      <c r="D424" s="5" t="s">
        <v>2017</v>
      </c>
      <c r="E424" s="12">
        <v>617</v>
      </c>
      <c r="F424" s="11" t="s">
        <v>3413</v>
      </c>
      <c r="G424" s="12"/>
      <c r="H424" s="12" t="s">
        <v>14</v>
      </c>
      <c r="I424" s="14" t="s">
        <v>4263</v>
      </c>
      <c r="J424" s="12" t="s">
        <v>1545</v>
      </c>
      <c r="K424" s="12" t="str">
        <f t="shared" si="26"/>
        <v>Closed</v>
      </c>
      <c r="L424" s="13">
        <v>44570</v>
      </c>
      <c r="M424" s="12" t="s">
        <v>257</v>
      </c>
      <c r="N424" s="12" t="s">
        <v>4427</v>
      </c>
      <c r="O424" s="12" t="s">
        <v>2546</v>
      </c>
      <c r="P424" s="12" t="s">
        <v>3790</v>
      </c>
      <c r="Q424" s="12"/>
      <c r="R424" s="12"/>
      <c r="S424" s="12"/>
      <c r="T424" s="13" t="s">
        <v>1547</v>
      </c>
      <c r="U424" s="12" t="str">
        <f t="shared" si="27"/>
        <v>Corrected</v>
      </c>
      <c r="V424" s="12" t="str">
        <f t="shared" si="24"/>
        <v>GUAN Jialin</v>
      </c>
      <c r="W424" s="13">
        <f t="shared" si="25"/>
        <v>44570</v>
      </c>
    </row>
    <row r="425" spans="1:23" ht="14.4" customHeight="1" x14ac:dyDescent="0.3">
      <c r="A425" s="28">
        <v>44538</v>
      </c>
      <c r="B425" s="12" t="s">
        <v>2016</v>
      </c>
      <c r="C425" s="12" t="s">
        <v>1542</v>
      </c>
      <c r="D425" s="5" t="s">
        <v>2017</v>
      </c>
      <c r="E425" s="12">
        <v>617</v>
      </c>
      <c r="F425" s="11" t="s">
        <v>3414</v>
      </c>
      <c r="G425" s="12"/>
      <c r="H425" s="12" t="s">
        <v>14</v>
      </c>
      <c r="I425" s="14" t="s">
        <v>4264</v>
      </c>
      <c r="J425" s="12" t="s">
        <v>1545</v>
      </c>
      <c r="K425" s="12" t="str">
        <f t="shared" si="26"/>
        <v>Closed</v>
      </c>
      <c r="L425" s="13">
        <v>44570</v>
      </c>
      <c r="M425" s="12" t="s">
        <v>257</v>
      </c>
      <c r="N425" s="12" t="s">
        <v>4427</v>
      </c>
      <c r="O425" s="12" t="s">
        <v>2546</v>
      </c>
      <c r="P425" s="12" t="s">
        <v>3790</v>
      </c>
      <c r="Q425" s="12"/>
      <c r="R425" s="12"/>
      <c r="S425" s="12"/>
      <c r="T425" s="13" t="s">
        <v>1547</v>
      </c>
      <c r="U425" s="12" t="str">
        <f t="shared" si="27"/>
        <v>Corrected</v>
      </c>
      <c r="V425" s="12" t="str">
        <f t="shared" si="24"/>
        <v>GUAN Jialin</v>
      </c>
      <c r="W425" s="13">
        <f t="shared" si="25"/>
        <v>44570</v>
      </c>
    </row>
    <row r="426" spans="1:23" ht="43.2" customHeight="1" x14ac:dyDescent="0.3">
      <c r="A426" s="28">
        <v>44538</v>
      </c>
      <c r="B426" s="12" t="s">
        <v>2018</v>
      </c>
      <c r="C426" s="12" t="s">
        <v>1542</v>
      </c>
      <c r="D426" s="5" t="s">
        <v>2019</v>
      </c>
      <c r="E426" s="12">
        <v>624</v>
      </c>
      <c r="F426" s="11" t="s">
        <v>2020</v>
      </c>
      <c r="G426" s="12"/>
      <c r="H426" s="12" t="s">
        <v>14</v>
      </c>
      <c r="I426" s="11" t="s">
        <v>2021</v>
      </c>
      <c r="J426" s="12" t="s">
        <v>1574</v>
      </c>
      <c r="K426" s="12" t="str">
        <f t="shared" si="26"/>
        <v>Closed</v>
      </c>
      <c r="L426" s="13">
        <v>44545</v>
      </c>
      <c r="M426" s="12"/>
      <c r="N426" s="12"/>
      <c r="O426" s="12"/>
      <c r="P426" s="12" t="s">
        <v>3790</v>
      </c>
      <c r="Q426" s="12"/>
      <c r="R426" s="12"/>
      <c r="S426" s="12"/>
      <c r="T426" s="12"/>
      <c r="U426" s="12" t="str">
        <f t="shared" si="27"/>
        <v>NFF</v>
      </c>
      <c r="V426" s="12" t="str">
        <f t="shared" si="24"/>
        <v>GUAN Jialin</v>
      </c>
      <c r="W426" s="13">
        <f t="shared" si="25"/>
        <v>44545</v>
      </c>
    </row>
    <row r="427" spans="1:23" ht="14.4" customHeight="1" x14ac:dyDescent="0.3">
      <c r="A427" s="28">
        <v>44538</v>
      </c>
      <c r="B427" s="12" t="s">
        <v>2022</v>
      </c>
      <c r="C427" s="12" t="s">
        <v>1542</v>
      </c>
      <c r="D427" s="5" t="s">
        <v>2023</v>
      </c>
      <c r="E427" s="12">
        <v>415</v>
      </c>
      <c r="F427" s="11" t="s">
        <v>2024</v>
      </c>
      <c r="G427" s="12" t="s">
        <v>7</v>
      </c>
      <c r="H427" s="12" t="s">
        <v>9</v>
      </c>
      <c r="I427" s="11"/>
      <c r="J427" s="12" t="s">
        <v>1609</v>
      </c>
      <c r="K427" s="12" t="str">
        <f t="shared" si="26"/>
        <v>Open</v>
      </c>
      <c r="L427" s="13"/>
      <c r="M427" s="12" t="s">
        <v>437</v>
      </c>
      <c r="N427" s="12"/>
      <c r="O427" s="12"/>
      <c r="P427" s="12" t="s">
        <v>3790</v>
      </c>
      <c r="Q427" s="12"/>
      <c r="R427" s="12" t="s">
        <v>5</v>
      </c>
      <c r="S427" s="12" t="s">
        <v>3</v>
      </c>
      <c r="T427" s="13" t="s">
        <v>1547</v>
      </c>
      <c r="U427" s="12" t="str">
        <f t="shared" si="27"/>
        <v>No Material</v>
      </c>
      <c r="V427" s="12" t="str">
        <f t="shared" si="24"/>
        <v>SUKIMAN Zamhuri</v>
      </c>
      <c r="W427" s="13" t="str">
        <f t="shared" si="25"/>
        <v/>
      </c>
    </row>
    <row r="428" spans="1:23" ht="14.4" customHeight="1" x14ac:dyDescent="0.3">
      <c r="A428" s="28">
        <v>44538</v>
      </c>
      <c r="B428" s="12" t="s">
        <v>2025</v>
      </c>
      <c r="C428" s="12" t="s">
        <v>1542</v>
      </c>
      <c r="D428" s="5" t="s">
        <v>1991</v>
      </c>
      <c r="E428" s="12">
        <v>605</v>
      </c>
      <c r="F428" s="11" t="s">
        <v>2026</v>
      </c>
      <c r="G428" s="12" t="s">
        <v>7</v>
      </c>
      <c r="H428" s="12" t="s">
        <v>11</v>
      </c>
      <c r="I428" s="11"/>
      <c r="J428" s="12" t="s">
        <v>1545</v>
      </c>
      <c r="K428" s="12" t="str">
        <f t="shared" si="26"/>
        <v>Closed</v>
      </c>
      <c r="L428" s="13">
        <v>44551</v>
      </c>
      <c r="M428" s="12" t="s">
        <v>2027</v>
      </c>
      <c r="N428" s="12"/>
      <c r="O428" s="12"/>
      <c r="P428" s="12" t="s">
        <v>3790</v>
      </c>
      <c r="Q428" s="12"/>
      <c r="R428" s="12"/>
      <c r="S428" s="12"/>
      <c r="T428" s="12"/>
      <c r="U428" s="12" t="str">
        <f t="shared" si="27"/>
        <v>Corrected</v>
      </c>
      <c r="V428" s="12" t="str">
        <f t="shared" si="24"/>
        <v>FIRDUS Ahmad</v>
      </c>
      <c r="W428" s="13">
        <f t="shared" si="25"/>
        <v>44551</v>
      </c>
    </row>
    <row r="429" spans="1:23" ht="14.4" customHeight="1" x14ac:dyDescent="0.3">
      <c r="A429" s="28">
        <v>44538</v>
      </c>
      <c r="B429" s="12" t="s">
        <v>2028</v>
      </c>
      <c r="C429" s="12" t="s">
        <v>1542</v>
      </c>
      <c r="D429" s="5" t="s">
        <v>1991</v>
      </c>
      <c r="E429" s="12">
        <v>605</v>
      </c>
      <c r="F429" s="11" t="s">
        <v>2029</v>
      </c>
      <c r="G429" s="12" t="s">
        <v>7</v>
      </c>
      <c r="H429" s="12" t="s">
        <v>11</v>
      </c>
      <c r="I429" s="11"/>
      <c r="J429" s="12" t="s">
        <v>1545</v>
      </c>
      <c r="K429" s="12" t="str">
        <f t="shared" si="26"/>
        <v>Closed</v>
      </c>
      <c r="L429" s="13">
        <v>44551</v>
      </c>
      <c r="M429" s="12" t="s">
        <v>2030</v>
      </c>
      <c r="N429" s="12"/>
      <c r="O429" s="12"/>
      <c r="P429" s="12" t="s">
        <v>3790</v>
      </c>
      <c r="Q429" s="12"/>
      <c r="R429" s="12"/>
      <c r="S429" s="12"/>
      <c r="T429" s="12"/>
      <c r="U429" s="12" t="str">
        <f t="shared" si="27"/>
        <v>Corrected</v>
      </c>
      <c r="V429" s="12" t="str">
        <f t="shared" si="24"/>
        <v>FIRDUS Ahmad</v>
      </c>
      <c r="W429" s="13">
        <f t="shared" si="25"/>
        <v>44551</v>
      </c>
    </row>
    <row r="430" spans="1:23" ht="14.4" customHeight="1" x14ac:dyDescent="0.3">
      <c r="A430" s="28">
        <v>44538</v>
      </c>
      <c r="B430" s="12" t="s">
        <v>2031</v>
      </c>
      <c r="C430" s="12" t="s">
        <v>1542</v>
      </c>
      <c r="D430" s="5" t="s">
        <v>1996</v>
      </c>
      <c r="E430" s="12">
        <v>606</v>
      </c>
      <c r="F430" s="11" t="s">
        <v>2032</v>
      </c>
      <c r="G430" s="12" t="s">
        <v>7</v>
      </c>
      <c r="H430" s="12" t="s">
        <v>9</v>
      </c>
      <c r="I430" s="11"/>
      <c r="J430" s="12" t="s">
        <v>1545</v>
      </c>
      <c r="K430" s="12" t="str">
        <f t="shared" si="26"/>
        <v>Closed</v>
      </c>
      <c r="L430" s="13">
        <v>44551</v>
      </c>
      <c r="M430" s="12" t="s">
        <v>294</v>
      </c>
      <c r="N430" s="12"/>
      <c r="O430" s="12"/>
      <c r="P430" s="12" t="s">
        <v>3790</v>
      </c>
      <c r="Q430" s="12"/>
      <c r="R430" s="12"/>
      <c r="S430" s="12"/>
      <c r="T430" s="13" t="s">
        <v>1547</v>
      </c>
      <c r="U430" s="12" t="str">
        <f t="shared" si="27"/>
        <v>Corrected</v>
      </c>
      <c r="V430" s="12" t="str">
        <f t="shared" si="24"/>
        <v>KHAN Jahan</v>
      </c>
      <c r="W430" s="13">
        <f t="shared" si="25"/>
        <v>44551</v>
      </c>
    </row>
    <row r="431" spans="1:23" ht="14.4" customHeight="1" x14ac:dyDescent="0.3">
      <c r="A431" s="28">
        <v>44538</v>
      </c>
      <c r="B431" s="12" t="s">
        <v>2033</v>
      </c>
      <c r="C431" s="12" t="s">
        <v>1542</v>
      </c>
      <c r="D431" s="5" t="s">
        <v>1996</v>
      </c>
      <c r="E431" s="12">
        <v>606</v>
      </c>
      <c r="F431" s="11" t="s">
        <v>2034</v>
      </c>
      <c r="G431" s="12" t="s">
        <v>7</v>
      </c>
      <c r="H431" s="12" t="s">
        <v>9</v>
      </c>
      <c r="I431" s="11"/>
      <c r="J431" s="12" t="s">
        <v>1609</v>
      </c>
      <c r="K431" s="12" t="str">
        <f t="shared" si="26"/>
        <v>Open</v>
      </c>
      <c r="L431" s="13"/>
      <c r="M431" s="12" t="s">
        <v>434</v>
      </c>
      <c r="N431" s="12"/>
      <c r="O431" s="12"/>
      <c r="P431" s="12" t="s">
        <v>3790</v>
      </c>
      <c r="Q431" s="12"/>
      <c r="R431" s="12" t="s">
        <v>5</v>
      </c>
      <c r="S431" s="12" t="s">
        <v>3</v>
      </c>
      <c r="T431" s="13" t="s">
        <v>1547</v>
      </c>
      <c r="U431" s="12" t="str">
        <f t="shared" si="27"/>
        <v>No Material</v>
      </c>
      <c r="V431" s="12" t="str">
        <f t="shared" si="24"/>
        <v>SUKIMAN Zamhuri</v>
      </c>
      <c r="W431" s="13" t="str">
        <f t="shared" si="25"/>
        <v/>
      </c>
    </row>
    <row r="432" spans="1:23" ht="14.4" customHeight="1" x14ac:dyDescent="0.3">
      <c r="A432" s="28">
        <v>44538</v>
      </c>
      <c r="B432" s="12" t="s">
        <v>2035</v>
      </c>
      <c r="C432" s="12" t="s">
        <v>1542</v>
      </c>
      <c r="D432" s="5" t="s">
        <v>1996</v>
      </c>
      <c r="E432" s="12">
        <v>606</v>
      </c>
      <c r="F432" s="11" t="s">
        <v>2036</v>
      </c>
      <c r="G432" s="12" t="s">
        <v>7</v>
      </c>
      <c r="H432" s="12" t="s">
        <v>9</v>
      </c>
      <c r="I432" s="11"/>
      <c r="J432" s="12" t="s">
        <v>1609</v>
      </c>
      <c r="K432" s="12" t="str">
        <f t="shared" si="26"/>
        <v>Open</v>
      </c>
      <c r="L432" s="13"/>
      <c r="M432" s="12" t="s">
        <v>350</v>
      </c>
      <c r="N432" s="12"/>
      <c r="O432" s="12" t="s">
        <v>1675</v>
      </c>
      <c r="P432" s="12" t="s">
        <v>3790</v>
      </c>
      <c r="Q432" s="12"/>
      <c r="R432" s="12" t="s">
        <v>1545</v>
      </c>
      <c r="S432" s="12" t="s">
        <v>6</v>
      </c>
      <c r="T432" s="13">
        <v>44676</v>
      </c>
      <c r="U432" s="12" t="str">
        <f t="shared" si="27"/>
        <v>Corrected</v>
      </c>
      <c r="V432" s="12" t="str">
        <f t="shared" si="24"/>
        <v>MUHAMMAD ALIF BIN ALI</v>
      </c>
      <c r="W432" s="13">
        <f t="shared" si="25"/>
        <v>44676</v>
      </c>
    </row>
    <row r="433" spans="1:23" ht="14.4" customHeight="1" x14ac:dyDescent="0.3">
      <c r="A433" s="28">
        <v>44538</v>
      </c>
      <c r="B433" s="12" t="s">
        <v>2040</v>
      </c>
      <c r="C433" s="12" t="s">
        <v>1542</v>
      </c>
      <c r="D433" s="5" t="s">
        <v>2003</v>
      </c>
      <c r="E433" s="12">
        <v>403</v>
      </c>
      <c r="F433" s="11" t="s">
        <v>2041</v>
      </c>
      <c r="G433" s="12" t="s">
        <v>7</v>
      </c>
      <c r="H433" s="12" t="s">
        <v>19</v>
      </c>
      <c r="I433" s="11" t="s">
        <v>2042</v>
      </c>
      <c r="J433" s="12" t="s">
        <v>1609</v>
      </c>
      <c r="K433" s="12" t="str">
        <f t="shared" si="26"/>
        <v>Open</v>
      </c>
      <c r="L433" s="13"/>
      <c r="M433" s="12" t="s">
        <v>444</v>
      </c>
      <c r="N433" s="12"/>
      <c r="O433" s="12"/>
      <c r="P433" s="12" t="s">
        <v>3790</v>
      </c>
      <c r="Q433" s="12"/>
      <c r="R433" s="12" t="s">
        <v>1545</v>
      </c>
      <c r="S433" s="12" t="s">
        <v>15</v>
      </c>
      <c r="T433" s="25">
        <v>44644</v>
      </c>
      <c r="U433" s="12" t="str">
        <f t="shared" si="27"/>
        <v>Corrected</v>
      </c>
      <c r="V433" s="12" t="str">
        <f t="shared" si="24"/>
        <v>Imran Rasheed</v>
      </c>
      <c r="W433" s="13">
        <f t="shared" si="25"/>
        <v>44644</v>
      </c>
    </row>
    <row r="434" spans="1:23" ht="14.4" customHeight="1" x14ac:dyDescent="0.3">
      <c r="A434" s="28">
        <v>44538</v>
      </c>
      <c r="B434" s="12" t="s">
        <v>2043</v>
      </c>
      <c r="C434" s="12" t="s">
        <v>1542</v>
      </c>
      <c r="D434" s="5" t="s">
        <v>2012</v>
      </c>
      <c r="E434" s="12">
        <v>407</v>
      </c>
      <c r="F434" s="14" t="s">
        <v>4265</v>
      </c>
      <c r="G434" s="12" t="s">
        <v>7</v>
      </c>
      <c r="H434" s="12" t="s">
        <v>9</v>
      </c>
      <c r="I434" s="11" t="s">
        <v>2044</v>
      </c>
      <c r="J434" s="12" t="s">
        <v>1545</v>
      </c>
      <c r="K434" s="12" t="str">
        <f t="shared" si="26"/>
        <v>Closed</v>
      </c>
      <c r="L434" s="13">
        <v>44551</v>
      </c>
      <c r="M434" s="12" t="s">
        <v>344</v>
      </c>
      <c r="N434" s="12"/>
      <c r="O434" s="12"/>
      <c r="P434" s="12" t="s">
        <v>3790</v>
      </c>
      <c r="Q434" s="12"/>
      <c r="R434" s="12"/>
      <c r="S434" s="12"/>
      <c r="T434" s="12"/>
      <c r="U434" s="12" t="str">
        <f t="shared" si="27"/>
        <v>Corrected</v>
      </c>
      <c r="V434" s="12" t="str">
        <f t="shared" si="24"/>
        <v>KHAN Jahan</v>
      </c>
      <c r="W434" s="13">
        <f t="shared" si="25"/>
        <v>44551</v>
      </c>
    </row>
    <row r="435" spans="1:23" ht="14.4" customHeight="1" x14ac:dyDescent="0.3">
      <c r="A435" s="28">
        <v>44538</v>
      </c>
      <c r="B435" s="12" t="s">
        <v>2045</v>
      </c>
      <c r="C435" s="12" t="s">
        <v>1542</v>
      </c>
      <c r="D435" s="5" t="s">
        <v>2017</v>
      </c>
      <c r="E435" s="12">
        <v>617</v>
      </c>
      <c r="F435" s="14" t="s">
        <v>4266</v>
      </c>
      <c r="G435" s="12" t="s">
        <v>7</v>
      </c>
      <c r="H435" s="12" t="s">
        <v>9</v>
      </c>
      <c r="I435" s="11"/>
      <c r="J435" s="12" t="s">
        <v>1545</v>
      </c>
      <c r="K435" s="12" t="str">
        <f t="shared" si="26"/>
        <v>Closed</v>
      </c>
      <c r="L435" s="13">
        <v>44551</v>
      </c>
      <c r="M435" s="12" t="s">
        <v>2046</v>
      </c>
      <c r="N435" s="12"/>
      <c r="O435" s="12"/>
      <c r="P435" s="12" t="s">
        <v>3790</v>
      </c>
      <c r="Q435" s="12"/>
      <c r="R435" s="12"/>
      <c r="S435" s="12"/>
      <c r="T435" s="13" t="s">
        <v>1547</v>
      </c>
      <c r="U435" s="12" t="str">
        <f t="shared" si="27"/>
        <v>Corrected</v>
      </c>
      <c r="V435" s="12" t="str">
        <f t="shared" si="24"/>
        <v>KHAN Jahan</v>
      </c>
      <c r="W435" s="13">
        <f t="shared" si="25"/>
        <v>44551</v>
      </c>
    </row>
    <row r="436" spans="1:23" ht="14.4" customHeight="1" x14ac:dyDescent="0.3">
      <c r="A436" s="28">
        <v>44538</v>
      </c>
      <c r="B436" s="12" t="s">
        <v>1363</v>
      </c>
      <c r="C436" s="12" t="s">
        <v>1542</v>
      </c>
      <c r="D436" s="5" t="s">
        <v>2054</v>
      </c>
      <c r="E436" s="12">
        <v>604</v>
      </c>
      <c r="F436" s="11" t="s">
        <v>2055</v>
      </c>
      <c r="G436" s="12" t="s">
        <v>7</v>
      </c>
      <c r="H436" s="12" t="s">
        <v>19</v>
      </c>
      <c r="I436" s="11" t="s">
        <v>2056</v>
      </c>
      <c r="J436" s="12" t="s">
        <v>1609</v>
      </c>
      <c r="K436" s="12" t="str">
        <f t="shared" si="26"/>
        <v>Open</v>
      </c>
      <c r="L436" s="13"/>
      <c r="M436" s="12"/>
      <c r="N436" s="12" t="s">
        <v>1652</v>
      </c>
      <c r="O436" s="12"/>
      <c r="P436" s="12" t="s">
        <v>3790</v>
      </c>
      <c r="Q436" s="12"/>
      <c r="R436" s="12" t="s">
        <v>1545</v>
      </c>
      <c r="S436" s="12" t="s">
        <v>15</v>
      </c>
      <c r="T436" s="25">
        <v>44648</v>
      </c>
      <c r="U436" s="12" t="str">
        <f t="shared" si="27"/>
        <v>Corrected</v>
      </c>
      <c r="V436" s="12" t="str">
        <f t="shared" si="24"/>
        <v>Imran Rasheed</v>
      </c>
      <c r="W436" s="13">
        <f t="shared" si="25"/>
        <v>44648</v>
      </c>
    </row>
    <row r="437" spans="1:23" ht="14.4" customHeight="1" x14ac:dyDescent="0.3">
      <c r="A437" s="28">
        <v>44538</v>
      </c>
      <c r="B437" s="12" t="s">
        <v>2057</v>
      </c>
      <c r="C437" s="12" t="s">
        <v>1542</v>
      </c>
      <c r="D437" s="5" t="s">
        <v>2019</v>
      </c>
      <c r="E437" s="12">
        <v>624</v>
      </c>
      <c r="F437" s="11" t="s">
        <v>2058</v>
      </c>
      <c r="G437" s="12" t="s">
        <v>4</v>
      </c>
      <c r="H437" s="12" t="s">
        <v>9</v>
      </c>
      <c r="I437" s="11"/>
      <c r="J437" s="12" t="s">
        <v>1574</v>
      </c>
      <c r="K437" s="12" t="str">
        <f t="shared" si="26"/>
        <v>Closed</v>
      </c>
      <c r="L437" s="13">
        <v>44542</v>
      </c>
      <c r="M437" s="12"/>
      <c r="N437" s="12"/>
      <c r="O437" s="12"/>
      <c r="P437" s="12" t="s">
        <v>3790</v>
      </c>
      <c r="Q437" s="12"/>
      <c r="R437" s="12"/>
      <c r="S437" s="12"/>
      <c r="T437" s="13" t="s">
        <v>1547</v>
      </c>
      <c r="U437" s="12" t="str">
        <f t="shared" si="27"/>
        <v>NFF</v>
      </c>
      <c r="V437" s="12" t="str">
        <f t="shared" si="24"/>
        <v>KHAN Jahan</v>
      </c>
      <c r="W437" s="13">
        <f t="shared" si="25"/>
        <v>44542</v>
      </c>
    </row>
    <row r="438" spans="1:23" ht="14.4" customHeight="1" x14ac:dyDescent="0.3">
      <c r="A438" s="28">
        <v>44539</v>
      </c>
      <c r="B438" s="12" t="s">
        <v>2059</v>
      </c>
      <c r="C438" s="12" t="s">
        <v>1542</v>
      </c>
      <c r="D438" s="5" t="s">
        <v>1722</v>
      </c>
      <c r="E438" s="12">
        <v>616</v>
      </c>
      <c r="F438" s="11" t="s">
        <v>2060</v>
      </c>
      <c r="G438" s="12"/>
      <c r="H438" s="12" t="s">
        <v>14</v>
      </c>
      <c r="I438" s="11" t="s">
        <v>2062</v>
      </c>
      <c r="J438" s="12" t="s">
        <v>1545</v>
      </c>
      <c r="K438" s="12" t="str">
        <f t="shared" si="26"/>
        <v>Closed</v>
      </c>
      <c r="L438" s="13">
        <v>44553</v>
      </c>
      <c r="M438" s="12" t="s">
        <v>2061</v>
      </c>
      <c r="N438" s="12"/>
      <c r="O438" s="12"/>
      <c r="P438" s="12" t="s">
        <v>3790</v>
      </c>
      <c r="Q438" s="12"/>
      <c r="R438" s="12"/>
      <c r="S438" s="12"/>
      <c r="T438" s="13" t="s">
        <v>1547</v>
      </c>
      <c r="U438" s="12" t="str">
        <f t="shared" si="27"/>
        <v>Corrected</v>
      </c>
      <c r="V438" s="12" t="str">
        <f t="shared" si="24"/>
        <v>GUAN Jialin</v>
      </c>
      <c r="W438" s="13">
        <f t="shared" si="25"/>
        <v>44553</v>
      </c>
    </row>
    <row r="439" spans="1:23" ht="14.4" customHeight="1" x14ac:dyDescent="0.3">
      <c r="A439" s="28">
        <v>44539</v>
      </c>
      <c r="B439" s="12" t="s">
        <v>2063</v>
      </c>
      <c r="C439" s="12" t="s">
        <v>1542</v>
      </c>
      <c r="D439" s="5" t="s">
        <v>2064</v>
      </c>
      <c r="E439" s="12">
        <v>610</v>
      </c>
      <c r="F439" s="14" t="s">
        <v>4267</v>
      </c>
      <c r="G439" s="12"/>
      <c r="H439" s="12" t="s">
        <v>14</v>
      </c>
      <c r="I439" s="11" t="s">
        <v>2065</v>
      </c>
      <c r="J439" s="12" t="s">
        <v>1545</v>
      </c>
      <c r="K439" s="12" t="str">
        <f t="shared" si="26"/>
        <v>Closed</v>
      </c>
      <c r="L439" s="13">
        <v>44555</v>
      </c>
      <c r="M439" s="12"/>
      <c r="N439" s="12"/>
      <c r="O439" s="12"/>
      <c r="P439" s="12" t="s">
        <v>3790</v>
      </c>
      <c r="Q439" s="12"/>
      <c r="R439" s="12"/>
      <c r="S439" s="12"/>
      <c r="T439" s="12"/>
      <c r="U439" s="12" t="str">
        <f t="shared" si="27"/>
        <v>Corrected</v>
      </c>
      <c r="V439" s="12" t="str">
        <f t="shared" si="24"/>
        <v>GUAN Jialin</v>
      </c>
      <c r="W439" s="13">
        <f t="shared" si="25"/>
        <v>44555</v>
      </c>
    </row>
    <row r="440" spans="1:23" ht="14.4" customHeight="1" x14ac:dyDescent="0.3">
      <c r="A440" s="28">
        <v>44539</v>
      </c>
      <c r="B440" s="12" t="s">
        <v>2066</v>
      </c>
      <c r="C440" s="12" t="s">
        <v>1690</v>
      </c>
      <c r="D440" s="5" t="s">
        <v>1722</v>
      </c>
      <c r="E440" s="12">
        <v>601</v>
      </c>
      <c r="F440" s="11" t="s">
        <v>2067</v>
      </c>
      <c r="G440" s="12" t="s">
        <v>7</v>
      </c>
      <c r="H440" s="12" t="s">
        <v>19</v>
      </c>
      <c r="I440" s="11" t="s">
        <v>2068</v>
      </c>
      <c r="J440" s="12" t="s">
        <v>1609</v>
      </c>
      <c r="K440" s="12" t="str">
        <f t="shared" si="26"/>
        <v>Open</v>
      </c>
      <c r="L440" s="13"/>
      <c r="M440" s="12" t="s">
        <v>384</v>
      </c>
      <c r="N440" s="12"/>
      <c r="O440" s="12"/>
      <c r="P440" s="12" t="s">
        <v>3790</v>
      </c>
      <c r="Q440" s="12"/>
      <c r="R440" s="12" t="s">
        <v>5</v>
      </c>
      <c r="S440" s="12" t="s">
        <v>3</v>
      </c>
      <c r="T440" s="13"/>
      <c r="U440" s="12" t="str">
        <f t="shared" si="27"/>
        <v>No Material</v>
      </c>
      <c r="V440" s="12" t="str">
        <f t="shared" si="24"/>
        <v>SUKIMAN Zamhuri</v>
      </c>
      <c r="W440" s="13" t="str">
        <f t="shared" si="25"/>
        <v/>
      </c>
    </row>
    <row r="441" spans="1:23" ht="14.4" customHeight="1" x14ac:dyDescent="0.3">
      <c r="A441" s="28">
        <v>44539</v>
      </c>
      <c r="B441" s="12" t="s">
        <v>2069</v>
      </c>
      <c r="C441" s="12" t="s">
        <v>1542</v>
      </c>
      <c r="D441" s="5" t="s">
        <v>2064</v>
      </c>
      <c r="E441" s="12">
        <v>610</v>
      </c>
      <c r="F441" s="11" t="s">
        <v>2070</v>
      </c>
      <c r="G441" s="12" t="s">
        <v>7</v>
      </c>
      <c r="H441" s="12" t="s">
        <v>9</v>
      </c>
      <c r="I441" s="11"/>
      <c r="J441" s="12" t="s">
        <v>1609</v>
      </c>
      <c r="K441" s="12" t="str">
        <f t="shared" si="26"/>
        <v>Open</v>
      </c>
      <c r="L441" s="13">
        <v>44699</v>
      </c>
      <c r="M441" s="12" t="s">
        <v>390</v>
      </c>
      <c r="N441" s="12"/>
      <c r="O441" s="12"/>
      <c r="P441" s="12" t="s">
        <v>3790</v>
      </c>
      <c r="Q441" s="12"/>
      <c r="R441" s="12" t="s">
        <v>1545</v>
      </c>
      <c r="S441" s="12" t="s">
        <v>3</v>
      </c>
      <c r="T441" s="29">
        <v>44699</v>
      </c>
      <c r="U441" s="12" t="str">
        <f t="shared" si="27"/>
        <v>Corrected</v>
      </c>
      <c r="V441" s="12" t="str">
        <f t="shared" si="24"/>
        <v>SUKIMAN Zamhuri</v>
      </c>
      <c r="W441" s="13">
        <f t="shared" si="25"/>
        <v>44699</v>
      </c>
    </row>
    <row r="442" spans="1:23" ht="14.4" customHeight="1" x14ac:dyDescent="0.3">
      <c r="A442" s="28">
        <v>44539</v>
      </c>
      <c r="B442" s="12" t="s">
        <v>2077</v>
      </c>
      <c r="C442" s="12" t="s">
        <v>1542</v>
      </c>
      <c r="D442" s="5" t="s">
        <v>2078</v>
      </c>
      <c r="E442" s="12">
        <v>618</v>
      </c>
      <c r="F442" s="14" t="s">
        <v>4268</v>
      </c>
      <c r="G442" s="12" t="s">
        <v>7</v>
      </c>
      <c r="H442" s="12" t="s">
        <v>9</v>
      </c>
      <c r="I442" s="11"/>
      <c r="J442" s="12" t="s">
        <v>1609</v>
      </c>
      <c r="K442" s="12" t="str">
        <f t="shared" si="26"/>
        <v>Open</v>
      </c>
      <c r="L442" s="13"/>
      <c r="M442" s="12" t="s">
        <v>440</v>
      </c>
      <c r="N442" s="12"/>
      <c r="O442" s="12"/>
      <c r="P442" s="12" t="s">
        <v>3790</v>
      </c>
      <c r="Q442" s="12"/>
      <c r="R442" s="12" t="s">
        <v>5</v>
      </c>
      <c r="S442" s="12" t="s">
        <v>3</v>
      </c>
      <c r="T442" s="12"/>
      <c r="U442" s="12" t="str">
        <f t="shared" si="27"/>
        <v>No Material</v>
      </c>
      <c r="V442" s="12" t="str">
        <f t="shared" si="24"/>
        <v>SUKIMAN Zamhuri</v>
      </c>
      <c r="W442" s="13" t="str">
        <f t="shared" si="25"/>
        <v/>
      </c>
    </row>
    <row r="443" spans="1:23" ht="14.4" customHeight="1" x14ac:dyDescent="0.3">
      <c r="A443" s="28">
        <v>44539</v>
      </c>
      <c r="B443" s="12" t="s">
        <v>2079</v>
      </c>
      <c r="C443" s="12" t="s">
        <v>1542</v>
      </c>
      <c r="D443" s="5" t="s">
        <v>2080</v>
      </c>
      <c r="E443" s="12">
        <v>622</v>
      </c>
      <c r="F443" s="11" t="s">
        <v>2081</v>
      </c>
      <c r="G443" s="12" t="s">
        <v>7</v>
      </c>
      <c r="H443" s="12" t="s">
        <v>9</v>
      </c>
      <c r="I443" s="11"/>
      <c r="J443" s="12" t="s">
        <v>1609</v>
      </c>
      <c r="K443" s="12" t="str">
        <f t="shared" si="26"/>
        <v>Open</v>
      </c>
      <c r="L443" s="13"/>
      <c r="M443" s="12" t="s">
        <v>442</v>
      </c>
      <c r="N443" s="12"/>
      <c r="O443" s="12"/>
      <c r="P443" s="12" t="s">
        <v>3790</v>
      </c>
      <c r="Q443" s="12"/>
      <c r="R443" s="12" t="s">
        <v>5</v>
      </c>
      <c r="S443" s="12" t="s">
        <v>3</v>
      </c>
      <c r="T443" s="12"/>
      <c r="U443" s="12" t="str">
        <f t="shared" si="27"/>
        <v>No Material</v>
      </c>
      <c r="V443" s="12" t="str">
        <f t="shared" si="24"/>
        <v>SUKIMAN Zamhuri</v>
      </c>
      <c r="W443" s="13" t="str">
        <f t="shared" si="25"/>
        <v/>
      </c>
    </row>
    <row r="444" spans="1:23" ht="14.4" customHeight="1" x14ac:dyDescent="0.3">
      <c r="A444" s="28">
        <v>44539</v>
      </c>
      <c r="B444" s="12" t="s">
        <v>2082</v>
      </c>
      <c r="C444" s="12" t="s">
        <v>1690</v>
      </c>
      <c r="D444" s="5" t="s">
        <v>1722</v>
      </c>
      <c r="E444" s="12">
        <v>617</v>
      </c>
      <c r="F444" s="11" t="s">
        <v>2083</v>
      </c>
      <c r="G444" s="12"/>
      <c r="H444" s="12" t="s">
        <v>11</v>
      </c>
      <c r="I444" s="11" t="s">
        <v>3580</v>
      </c>
      <c r="J444" s="12" t="s">
        <v>1574</v>
      </c>
      <c r="K444" s="12" t="str">
        <f t="shared" si="26"/>
        <v>Closed</v>
      </c>
      <c r="L444" s="13">
        <v>44565</v>
      </c>
      <c r="M444" s="12"/>
      <c r="N444" s="12" t="s">
        <v>2528</v>
      </c>
      <c r="O444" s="12"/>
      <c r="P444" s="12" t="s">
        <v>3790</v>
      </c>
      <c r="Q444" s="12"/>
      <c r="R444" s="12"/>
      <c r="S444" s="12"/>
      <c r="T444" s="13" t="s">
        <v>1547</v>
      </c>
      <c r="U444" s="12" t="str">
        <f t="shared" si="27"/>
        <v>NFF</v>
      </c>
      <c r="V444" s="12" t="str">
        <f t="shared" si="24"/>
        <v>FIRDUS Ahmad</v>
      </c>
      <c r="W444" s="13">
        <f t="shared" si="25"/>
        <v>44565</v>
      </c>
    </row>
    <row r="445" spans="1:23" ht="14.4" customHeight="1" x14ac:dyDescent="0.3">
      <c r="A445" s="28">
        <v>44539</v>
      </c>
      <c r="B445" s="12" t="s">
        <v>2087</v>
      </c>
      <c r="C445" s="12" t="s">
        <v>1542</v>
      </c>
      <c r="D445" s="5" t="s">
        <v>2088</v>
      </c>
      <c r="E445" s="12">
        <v>612</v>
      </c>
      <c r="F445" s="11" t="s">
        <v>2081</v>
      </c>
      <c r="G445" s="12"/>
      <c r="H445" s="12" t="s">
        <v>9</v>
      </c>
      <c r="I445" s="11"/>
      <c r="J445" s="12" t="s">
        <v>1574</v>
      </c>
      <c r="K445" s="12" t="str">
        <f t="shared" si="26"/>
        <v>Closed</v>
      </c>
      <c r="L445" s="13">
        <v>44552</v>
      </c>
      <c r="M445" s="12"/>
      <c r="N445" s="12"/>
      <c r="O445" s="12"/>
      <c r="P445" s="12" t="s">
        <v>3790</v>
      </c>
      <c r="Q445" s="12"/>
      <c r="R445" s="12"/>
      <c r="S445" s="12"/>
      <c r="T445" s="12"/>
      <c r="U445" s="12" t="str">
        <f t="shared" si="27"/>
        <v>NFF</v>
      </c>
      <c r="V445" s="12" t="str">
        <f t="shared" si="24"/>
        <v>KHAN Jahan</v>
      </c>
      <c r="W445" s="13">
        <f t="shared" si="25"/>
        <v>44552</v>
      </c>
    </row>
    <row r="446" spans="1:23" ht="14.4" customHeight="1" x14ac:dyDescent="0.3">
      <c r="A446" s="28">
        <v>44542</v>
      </c>
      <c r="B446" s="12" t="s">
        <v>2089</v>
      </c>
      <c r="C446" s="12" t="s">
        <v>1542</v>
      </c>
      <c r="D446" s="5" t="s">
        <v>2090</v>
      </c>
      <c r="E446" s="12">
        <v>408</v>
      </c>
      <c r="F446" s="11" t="s">
        <v>2091</v>
      </c>
      <c r="G446" s="12"/>
      <c r="H446" s="12" t="s">
        <v>19</v>
      </c>
      <c r="I446" s="11" t="s">
        <v>2092</v>
      </c>
      <c r="J446" s="12" t="s">
        <v>1545</v>
      </c>
      <c r="K446" s="12" t="str">
        <f t="shared" si="26"/>
        <v>Closed</v>
      </c>
      <c r="L446" s="13">
        <v>44553</v>
      </c>
      <c r="M446" s="12"/>
      <c r="N446" s="12"/>
      <c r="O446" s="12"/>
      <c r="P446" s="12" t="s">
        <v>3790</v>
      </c>
      <c r="Q446" s="12"/>
      <c r="R446" s="12"/>
      <c r="S446" s="12"/>
      <c r="T446" s="12"/>
      <c r="U446" s="12" t="str">
        <f t="shared" si="27"/>
        <v>Corrected</v>
      </c>
      <c r="V446" s="12" t="str">
        <f t="shared" si="24"/>
        <v>DAOUDI Mohamed</v>
      </c>
      <c r="W446" s="13">
        <f t="shared" si="25"/>
        <v>44553</v>
      </c>
    </row>
    <row r="447" spans="1:23" ht="14.4" customHeight="1" x14ac:dyDescent="0.3">
      <c r="A447" s="28">
        <v>44542</v>
      </c>
      <c r="B447" s="12" t="s">
        <v>2093</v>
      </c>
      <c r="C447" s="12" t="s">
        <v>1542</v>
      </c>
      <c r="D447" s="5" t="s">
        <v>2094</v>
      </c>
      <c r="E447" s="12">
        <v>409</v>
      </c>
      <c r="F447" s="14" t="s">
        <v>4269</v>
      </c>
      <c r="G447" s="12"/>
      <c r="H447" s="12" t="s">
        <v>14</v>
      </c>
      <c r="I447" s="11" t="s">
        <v>1625</v>
      </c>
      <c r="J447" s="12" t="s">
        <v>1545</v>
      </c>
      <c r="K447" s="12" t="str">
        <f t="shared" si="26"/>
        <v>Closed</v>
      </c>
      <c r="L447" s="13">
        <v>44557</v>
      </c>
      <c r="M447" s="12"/>
      <c r="N447" s="12"/>
      <c r="O447" s="12"/>
      <c r="P447" s="12" t="s">
        <v>3790</v>
      </c>
      <c r="Q447" s="12"/>
      <c r="R447" s="12"/>
      <c r="S447" s="12"/>
      <c r="T447" s="13" t="s">
        <v>1547</v>
      </c>
      <c r="U447" s="12" t="str">
        <f t="shared" si="27"/>
        <v>Corrected</v>
      </c>
      <c r="V447" s="12" t="str">
        <f t="shared" ref="V447:V510" si="28">IF(AND(J447="Corrective Action Required",R447="Corrected"),S447, IF(AND(J447="Corrective Action Required",R447&lt;&gt;"Corrected"),S447,H447))</f>
        <v>GUAN Jialin</v>
      </c>
      <c r="W447" s="13">
        <f t="shared" ref="W447:W510" si="29">IF(OR(J447="Corrected",J447="NFF"),L447, IF(AND(J447="Corrective Action Required",R447="Corrected"),T447,""))</f>
        <v>44557</v>
      </c>
    </row>
    <row r="448" spans="1:23" ht="14.4" customHeight="1" x14ac:dyDescent="0.3">
      <c r="A448" s="28">
        <v>44542</v>
      </c>
      <c r="B448" s="12" t="s">
        <v>2095</v>
      </c>
      <c r="C448" s="12" t="s">
        <v>1542</v>
      </c>
      <c r="D448" s="5" t="s">
        <v>2096</v>
      </c>
      <c r="E448" s="12">
        <v>611</v>
      </c>
      <c r="F448" s="11" t="s">
        <v>3415</v>
      </c>
      <c r="G448" s="12"/>
      <c r="H448" s="12" t="s">
        <v>14</v>
      </c>
      <c r="I448" s="11" t="s">
        <v>3416</v>
      </c>
      <c r="J448" s="12" t="s">
        <v>1545</v>
      </c>
      <c r="K448" s="12" t="str">
        <f t="shared" ref="K448:K511" si="30">IF(J448="Corrected","Closed",IF(J448="NFF","Closed","Open"))</f>
        <v>Closed</v>
      </c>
      <c r="L448" s="13">
        <v>44571</v>
      </c>
      <c r="M448" s="12" t="s">
        <v>2097</v>
      </c>
      <c r="N448" s="12" t="s">
        <v>4430</v>
      </c>
      <c r="O448" s="12" t="s">
        <v>3417</v>
      </c>
      <c r="P448" s="12" t="s">
        <v>3790</v>
      </c>
      <c r="Q448" s="12"/>
      <c r="R448" s="12"/>
      <c r="S448" s="12"/>
      <c r="T448" s="12"/>
      <c r="U448" s="12" t="str">
        <f t="shared" si="27"/>
        <v>Corrected</v>
      </c>
      <c r="V448" s="12" t="str">
        <f t="shared" si="28"/>
        <v>GUAN Jialin</v>
      </c>
      <c r="W448" s="13">
        <f t="shared" si="29"/>
        <v>44571</v>
      </c>
    </row>
    <row r="449" spans="1:23" ht="43.2" customHeight="1" x14ac:dyDescent="0.3">
      <c r="A449" s="28">
        <v>44542</v>
      </c>
      <c r="B449" s="12" t="s">
        <v>2095</v>
      </c>
      <c r="C449" s="12" t="s">
        <v>1542</v>
      </c>
      <c r="D449" s="5" t="s">
        <v>2096</v>
      </c>
      <c r="E449" s="12">
        <v>611</v>
      </c>
      <c r="F449" s="11" t="s">
        <v>3418</v>
      </c>
      <c r="G449" s="12"/>
      <c r="H449" s="12" t="s">
        <v>14</v>
      </c>
      <c r="I449" s="11" t="s">
        <v>3419</v>
      </c>
      <c r="J449" s="12" t="s">
        <v>1545</v>
      </c>
      <c r="K449" s="12" t="str">
        <f t="shared" si="30"/>
        <v>Closed</v>
      </c>
      <c r="L449" s="13">
        <v>44571</v>
      </c>
      <c r="M449" s="12" t="s">
        <v>2097</v>
      </c>
      <c r="N449" s="12" t="s">
        <v>4427</v>
      </c>
      <c r="O449" s="12" t="s">
        <v>3258</v>
      </c>
      <c r="P449" s="12" t="s">
        <v>3790</v>
      </c>
      <c r="Q449" s="12"/>
      <c r="R449" s="12"/>
      <c r="S449" s="12"/>
      <c r="T449" s="12"/>
      <c r="U449" s="12" t="str">
        <f t="shared" si="27"/>
        <v>Corrected</v>
      </c>
      <c r="V449" s="12" t="str">
        <f t="shared" si="28"/>
        <v>GUAN Jialin</v>
      </c>
      <c r="W449" s="13">
        <f t="shared" si="29"/>
        <v>44571</v>
      </c>
    </row>
    <row r="450" spans="1:23" ht="14.4" customHeight="1" x14ac:dyDescent="0.3">
      <c r="A450" s="28">
        <v>44542</v>
      </c>
      <c r="B450" s="12" t="s">
        <v>2095</v>
      </c>
      <c r="C450" s="12" t="s">
        <v>1542</v>
      </c>
      <c r="D450" s="5" t="s">
        <v>2096</v>
      </c>
      <c r="E450" s="12">
        <v>611</v>
      </c>
      <c r="F450" s="11" t="s">
        <v>3420</v>
      </c>
      <c r="G450" s="12"/>
      <c r="H450" s="12" t="s">
        <v>14</v>
      </c>
      <c r="I450" s="11" t="s">
        <v>3421</v>
      </c>
      <c r="J450" s="12" t="s">
        <v>1545</v>
      </c>
      <c r="K450" s="12" t="str">
        <f t="shared" si="30"/>
        <v>Closed</v>
      </c>
      <c r="L450" s="13">
        <v>44571</v>
      </c>
      <c r="M450" s="12" t="s">
        <v>2097</v>
      </c>
      <c r="N450" s="12" t="s">
        <v>4427</v>
      </c>
      <c r="O450" s="12" t="s">
        <v>3258</v>
      </c>
      <c r="P450" s="12" t="s">
        <v>3790</v>
      </c>
      <c r="Q450" s="12"/>
      <c r="R450" s="12"/>
      <c r="S450" s="12"/>
      <c r="T450" s="12"/>
      <c r="U450" s="12" t="str">
        <f t="shared" si="27"/>
        <v>Corrected</v>
      </c>
      <c r="V450" s="12" t="str">
        <f t="shared" si="28"/>
        <v>GUAN Jialin</v>
      </c>
      <c r="W450" s="13">
        <f t="shared" si="29"/>
        <v>44571</v>
      </c>
    </row>
    <row r="451" spans="1:23" ht="14.4" customHeight="1" x14ac:dyDescent="0.3">
      <c r="A451" s="28">
        <v>44542</v>
      </c>
      <c r="B451" s="12" t="s">
        <v>2098</v>
      </c>
      <c r="C451" s="12" t="s">
        <v>1542</v>
      </c>
      <c r="D451" s="5" t="s">
        <v>2099</v>
      </c>
      <c r="E451" s="12">
        <v>614</v>
      </c>
      <c r="F451" s="14" t="s">
        <v>4270</v>
      </c>
      <c r="G451" s="12"/>
      <c r="H451" s="12" t="s">
        <v>14</v>
      </c>
      <c r="I451" s="11" t="s">
        <v>2100</v>
      </c>
      <c r="J451" s="12" t="s">
        <v>1545</v>
      </c>
      <c r="K451" s="12" t="str">
        <f t="shared" si="30"/>
        <v>Closed</v>
      </c>
      <c r="L451" s="13">
        <v>44560</v>
      </c>
      <c r="M451" s="12" t="s">
        <v>281</v>
      </c>
      <c r="N451" s="12"/>
      <c r="O451" s="12"/>
      <c r="P451" s="12" t="s">
        <v>3790</v>
      </c>
      <c r="Q451" s="12"/>
      <c r="R451" s="12"/>
      <c r="S451" s="12"/>
      <c r="T451" s="12"/>
      <c r="U451" s="12" t="str">
        <f t="shared" ref="U451:U514" si="31">IF(AND(J451="Corrective Action Required",R451="Corrected"),"Corrected", IF(AND(J451="Corrective Action Required",R451&lt;&gt;"Corrected"),R451,J451))</f>
        <v>Corrected</v>
      </c>
      <c r="V451" s="12" t="str">
        <f t="shared" si="28"/>
        <v>GUAN Jialin</v>
      </c>
      <c r="W451" s="13">
        <f t="shared" si="29"/>
        <v>44560</v>
      </c>
    </row>
    <row r="452" spans="1:23" ht="14.4" customHeight="1" x14ac:dyDescent="0.3">
      <c r="A452" s="28">
        <v>44542</v>
      </c>
      <c r="B452" s="12" t="s">
        <v>2101</v>
      </c>
      <c r="C452" s="12" t="s">
        <v>1542</v>
      </c>
      <c r="D452" s="5" t="s">
        <v>2102</v>
      </c>
      <c r="E452" s="12">
        <v>404</v>
      </c>
      <c r="F452" s="11" t="s">
        <v>2103</v>
      </c>
      <c r="G452" s="12" t="s">
        <v>7</v>
      </c>
      <c r="H452" s="12" t="s">
        <v>11</v>
      </c>
      <c r="I452" s="11"/>
      <c r="J452" s="12" t="s">
        <v>1609</v>
      </c>
      <c r="K452" s="12" t="str">
        <f t="shared" si="30"/>
        <v>Open</v>
      </c>
      <c r="L452" s="13"/>
      <c r="M452" s="12" t="s">
        <v>428</v>
      </c>
      <c r="N452" s="12"/>
      <c r="O452" s="12"/>
      <c r="P452" s="12" t="s">
        <v>3790</v>
      </c>
      <c r="Q452" s="12"/>
      <c r="R452" s="12" t="s">
        <v>5</v>
      </c>
      <c r="S452" s="12" t="s">
        <v>3</v>
      </c>
      <c r="T452" s="12"/>
      <c r="U452" s="12" t="str">
        <f t="shared" si="31"/>
        <v>No Material</v>
      </c>
      <c r="V452" s="12" t="str">
        <f t="shared" si="28"/>
        <v>SUKIMAN Zamhuri</v>
      </c>
      <c r="W452" s="13" t="str">
        <f t="shared" si="29"/>
        <v/>
      </c>
    </row>
    <row r="453" spans="1:23" ht="14.4" customHeight="1" x14ac:dyDescent="0.3">
      <c r="A453" s="28">
        <v>44542</v>
      </c>
      <c r="B453" s="12" t="s">
        <v>2104</v>
      </c>
      <c r="C453" s="12" t="s">
        <v>1542</v>
      </c>
      <c r="D453" s="5" t="s">
        <v>2102</v>
      </c>
      <c r="E453" s="12">
        <v>404</v>
      </c>
      <c r="F453" s="14" t="s">
        <v>4271</v>
      </c>
      <c r="G453" s="12" t="s">
        <v>7</v>
      </c>
      <c r="H453" s="12" t="s">
        <v>9</v>
      </c>
      <c r="I453" s="11"/>
      <c r="J453" s="12" t="s">
        <v>1545</v>
      </c>
      <c r="K453" s="12" t="str">
        <f t="shared" si="30"/>
        <v>Closed</v>
      </c>
      <c r="L453" s="13">
        <v>44551</v>
      </c>
      <c r="M453" s="12" t="s">
        <v>410</v>
      </c>
      <c r="N453" s="12"/>
      <c r="O453" s="12"/>
      <c r="P453" s="12" t="s">
        <v>3790</v>
      </c>
      <c r="Q453" s="12"/>
      <c r="R453" s="12" t="s">
        <v>1545</v>
      </c>
      <c r="S453" s="12" t="s">
        <v>22</v>
      </c>
      <c r="T453" s="13">
        <v>44630</v>
      </c>
      <c r="U453" s="12" t="str">
        <f t="shared" si="31"/>
        <v>Corrected</v>
      </c>
      <c r="V453" s="12" t="str">
        <f t="shared" si="28"/>
        <v>KHAN Jahan</v>
      </c>
      <c r="W453" s="13">
        <f t="shared" si="29"/>
        <v>44551</v>
      </c>
    </row>
    <row r="454" spans="1:23" ht="14.4" customHeight="1" x14ac:dyDescent="0.3">
      <c r="A454" s="28">
        <v>44542</v>
      </c>
      <c r="B454" s="12" t="s">
        <v>2105</v>
      </c>
      <c r="C454" s="12" t="s">
        <v>1542</v>
      </c>
      <c r="D454" s="5" t="s">
        <v>2102</v>
      </c>
      <c r="E454" s="12">
        <v>404</v>
      </c>
      <c r="F454" s="11" t="s">
        <v>2106</v>
      </c>
      <c r="G454" s="12" t="s">
        <v>7</v>
      </c>
      <c r="H454" s="12" t="s">
        <v>9</v>
      </c>
      <c r="I454" s="11"/>
      <c r="J454" s="12" t="s">
        <v>1545</v>
      </c>
      <c r="K454" s="12" t="str">
        <f t="shared" si="30"/>
        <v>Closed</v>
      </c>
      <c r="L454" s="13">
        <v>44551</v>
      </c>
      <c r="M454" s="12" t="s">
        <v>341</v>
      </c>
      <c r="N454" s="12"/>
      <c r="O454" s="12"/>
      <c r="P454" s="12" t="s">
        <v>3790</v>
      </c>
      <c r="Q454" s="12"/>
      <c r="R454" s="12"/>
      <c r="S454" s="12"/>
      <c r="T454" s="13" t="s">
        <v>1547</v>
      </c>
      <c r="U454" s="12" t="str">
        <f t="shared" si="31"/>
        <v>Corrected</v>
      </c>
      <c r="V454" s="12" t="str">
        <f t="shared" si="28"/>
        <v>KHAN Jahan</v>
      </c>
      <c r="W454" s="13">
        <f t="shared" si="29"/>
        <v>44551</v>
      </c>
    </row>
    <row r="455" spans="1:23" x14ac:dyDescent="0.3">
      <c r="A455" s="28">
        <v>44542</v>
      </c>
      <c r="B455" s="12" t="s">
        <v>2107</v>
      </c>
      <c r="C455" s="12" t="s">
        <v>1542</v>
      </c>
      <c r="D455" s="5" t="s">
        <v>2094</v>
      </c>
      <c r="E455" s="12">
        <v>409</v>
      </c>
      <c r="F455" s="11" t="s">
        <v>2108</v>
      </c>
      <c r="G455" s="12" t="s">
        <v>7</v>
      </c>
      <c r="H455" s="12" t="s">
        <v>9</v>
      </c>
      <c r="I455" s="11" t="s">
        <v>2109</v>
      </c>
      <c r="J455" s="12" t="s">
        <v>1545</v>
      </c>
      <c r="K455" s="12" t="str">
        <f t="shared" si="30"/>
        <v>Closed</v>
      </c>
      <c r="L455" s="13">
        <v>44551</v>
      </c>
      <c r="M455" s="12" t="s">
        <v>305</v>
      </c>
      <c r="N455" s="12"/>
      <c r="O455" s="12"/>
      <c r="P455" s="12" t="s">
        <v>3790</v>
      </c>
      <c r="Q455" s="12"/>
      <c r="R455" s="12"/>
      <c r="S455" s="12"/>
      <c r="T455" s="12"/>
      <c r="U455" s="12" t="str">
        <f t="shared" si="31"/>
        <v>Corrected</v>
      </c>
      <c r="V455" s="12" t="str">
        <f t="shared" si="28"/>
        <v>KHAN Jahan</v>
      </c>
      <c r="W455" s="13">
        <f t="shared" si="29"/>
        <v>44551</v>
      </c>
    </row>
    <row r="456" spans="1:23" ht="14.4" customHeight="1" x14ac:dyDescent="0.3">
      <c r="A456" s="28">
        <v>44542</v>
      </c>
      <c r="B456" s="12" t="s">
        <v>2110</v>
      </c>
      <c r="C456" s="12" t="s">
        <v>1542</v>
      </c>
      <c r="D456" s="5" t="s">
        <v>2096</v>
      </c>
      <c r="E456" s="12">
        <v>611</v>
      </c>
      <c r="F456" s="11" t="s">
        <v>2111</v>
      </c>
      <c r="G456" s="12" t="s">
        <v>7</v>
      </c>
      <c r="H456" s="12" t="s">
        <v>9</v>
      </c>
      <c r="I456" s="11"/>
      <c r="J456" s="12" t="s">
        <v>1609</v>
      </c>
      <c r="K456" s="12" t="str">
        <f t="shared" si="30"/>
        <v>Open</v>
      </c>
      <c r="L456" s="13"/>
      <c r="M456" s="12" t="s">
        <v>401</v>
      </c>
      <c r="N456" s="12"/>
      <c r="O456" s="12"/>
      <c r="P456" s="12" t="s">
        <v>3790</v>
      </c>
      <c r="Q456" s="12"/>
      <c r="R456" s="12" t="s">
        <v>1545</v>
      </c>
      <c r="S456" s="12" t="s">
        <v>3</v>
      </c>
      <c r="T456" s="29">
        <v>44703</v>
      </c>
      <c r="U456" s="12" t="str">
        <f t="shared" si="31"/>
        <v>Corrected</v>
      </c>
      <c r="V456" s="12" t="str">
        <f t="shared" si="28"/>
        <v>SUKIMAN Zamhuri</v>
      </c>
      <c r="W456" s="13">
        <f t="shared" si="29"/>
        <v>44703</v>
      </c>
    </row>
    <row r="457" spans="1:23" ht="14.4" customHeight="1" x14ac:dyDescent="0.3">
      <c r="A457" s="28">
        <v>44542</v>
      </c>
      <c r="B457" s="12" t="s">
        <v>2112</v>
      </c>
      <c r="C457" s="12" t="s">
        <v>1542</v>
      </c>
      <c r="D457" s="5" t="s">
        <v>2096</v>
      </c>
      <c r="E457" s="12">
        <v>611</v>
      </c>
      <c r="F457" s="14" t="s">
        <v>4272</v>
      </c>
      <c r="G457" s="12" t="s">
        <v>7</v>
      </c>
      <c r="H457" s="12" t="s">
        <v>9</v>
      </c>
      <c r="I457" s="11" t="s">
        <v>2113</v>
      </c>
      <c r="J457" s="12" t="s">
        <v>1545</v>
      </c>
      <c r="K457" s="12" t="str">
        <f t="shared" si="30"/>
        <v>Closed</v>
      </c>
      <c r="L457" s="13">
        <v>44551</v>
      </c>
      <c r="M457" s="12" t="s">
        <v>311</v>
      </c>
      <c r="N457" s="12"/>
      <c r="O457" s="12"/>
      <c r="P457" s="12" t="s">
        <v>3790</v>
      </c>
      <c r="Q457" s="12"/>
      <c r="R457" s="12"/>
      <c r="S457" s="12"/>
      <c r="T457" s="13" t="s">
        <v>1547</v>
      </c>
      <c r="U457" s="12" t="str">
        <f t="shared" si="31"/>
        <v>Corrected</v>
      </c>
      <c r="V457" s="12" t="str">
        <f t="shared" si="28"/>
        <v>KHAN Jahan</v>
      </c>
      <c r="W457" s="13">
        <f t="shared" si="29"/>
        <v>44551</v>
      </c>
    </row>
    <row r="458" spans="1:23" ht="43.2" customHeight="1" x14ac:dyDescent="0.3">
      <c r="A458" s="28">
        <v>44542</v>
      </c>
      <c r="B458" s="12" t="s">
        <v>2114</v>
      </c>
      <c r="C458" s="12" t="s">
        <v>1542</v>
      </c>
      <c r="D458" s="5" t="s">
        <v>2096</v>
      </c>
      <c r="E458" s="12">
        <v>611</v>
      </c>
      <c r="F458" s="11" t="s">
        <v>2115</v>
      </c>
      <c r="G458" s="12" t="s">
        <v>1</v>
      </c>
      <c r="H458" s="12" t="s">
        <v>19</v>
      </c>
      <c r="I458" s="11" t="s">
        <v>2116</v>
      </c>
      <c r="J458" s="12" t="s">
        <v>1545</v>
      </c>
      <c r="K458" s="12" t="str">
        <f t="shared" si="30"/>
        <v>Closed</v>
      </c>
      <c r="L458" s="13">
        <v>44551</v>
      </c>
      <c r="M458" s="12" t="s">
        <v>398</v>
      </c>
      <c r="N458" s="12"/>
      <c r="O458" s="12"/>
      <c r="P458" s="12" t="s">
        <v>3790</v>
      </c>
      <c r="Q458" s="12"/>
      <c r="R458" s="12"/>
      <c r="S458" s="12"/>
      <c r="T458" s="12"/>
      <c r="U458" s="12" t="str">
        <f t="shared" si="31"/>
        <v>Corrected</v>
      </c>
      <c r="V458" s="12" t="str">
        <f t="shared" si="28"/>
        <v>DAOUDI Mohamed</v>
      </c>
      <c r="W458" s="13">
        <f t="shared" si="29"/>
        <v>44551</v>
      </c>
    </row>
    <row r="459" spans="1:23" ht="14.4" customHeight="1" x14ac:dyDescent="0.3">
      <c r="A459" s="28">
        <v>44543</v>
      </c>
      <c r="B459" s="12" t="s">
        <v>2121</v>
      </c>
      <c r="C459" s="12" t="s">
        <v>1823</v>
      </c>
      <c r="D459" s="5" t="s">
        <v>1675</v>
      </c>
      <c r="E459" s="12">
        <v>608</v>
      </c>
      <c r="F459" s="11" t="s">
        <v>3422</v>
      </c>
      <c r="G459" s="12" t="s">
        <v>7</v>
      </c>
      <c r="H459" s="12" t="s">
        <v>14</v>
      </c>
      <c r="I459" s="11" t="s">
        <v>2122</v>
      </c>
      <c r="J459" s="12" t="s">
        <v>1545</v>
      </c>
      <c r="K459" s="12" t="str">
        <f t="shared" si="30"/>
        <v>Closed</v>
      </c>
      <c r="L459" s="13">
        <v>44580</v>
      </c>
      <c r="M459" s="12" t="s">
        <v>302</v>
      </c>
      <c r="N459" s="12" t="s">
        <v>4427</v>
      </c>
      <c r="O459" s="12" t="s">
        <v>3258</v>
      </c>
      <c r="P459" s="12" t="s">
        <v>3790</v>
      </c>
      <c r="Q459" s="12"/>
      <c r="R459" s="12"/>
      <c r="S459" s="12"/>
      <c r="T459" s="12"/>
      <c r="U459" s="12" t="str">
        <f t="shared" si="31"/>
        <v>Corrected</v>
      </c>
      <c r="V459" s="12" t="str">
        <f t="shared" si="28"/>
        <v>GUAN Jialin</v>
      </c>
      <c r="W459" s="13">
        <f t="shared" si="29"/>
        <v>44580</v>
      </c>
    </row>
    <row r="460" spans="1:23" ht="14.4" customHeight="1" x14ac:dyDescent="0.3">
      <c r="A460" s="28">
        <v>44543</v>
      </c>
      <c r="B460" s="12" t="s">
        <v>2121</v>
      </c>
      <c r="C460" s="12" t="s">
        <v>1823</v>
      </c>
      <c r="D460" s="5" t="s">
        <v>1675</v>
      </c>
      <c r="E460" s="12">
        <v>608</v>
      </c>
      <c r="F460" s="11" t="s">
        <v>3423</v>
      </c>
      <c r="G460" s="12" t="s">
        <v>7</v>
      </c>
      <c r="H460" s="12" t="s">
        <v>14</v>
      </c>
      <c r="I460" s="11" t="s">
        <v>2122</v>
      </c>
      <c r="J460" s="12" t="s">
        <v>1545</v>
      </c>
      <c r="K460" s="12" t="str">
        <f t="shared" si="30"/>
        <v>Closed</v>
      </c>
      <c r="L460" s="13">
        <v>44580</v>
      </c>
      <c r="M460" s="12" t="s">
        <v>302</v>
      </c>
      <c r="N460" s="12" t="s">
        <v>4427</v>
      </c>
      <c r="O460" s="12" t="s">
        <v>3411</v>
      </c>
      <c r="P460" s="12" t="s">
        <v>3790</v>
      </c>
      <c r="Q460" s="12"/>
      <c r="R460" s="12"/>
      <c r="S460" s="12"/>
      <c r="T460" s="12"/>
      <c r="U460" s="12" t="str">
        <f t="shared" si="31"/>
        <v>Corrected</v>
      </c>
      <c r="V460" s="12" t="str">
        <f t="shared" si="28"/>
        <v>GUAN Jialin</v>
      </c>
      <c r="W460" s="13">
        <f t="shared" si="29"/>
        <v>44580</v>
      </c>
    </row>
    <row r="461" spans="1:23" ht="14.4" customHeight="1" x14ac:dyDescent="0.3">
      <c r="A461" s="28">
        <v>44543</v>
      </c>
      <c r="B461" s="12" t="s">
        <v>2121</v>
      </c>
      <c r="C461" s="12" t="s">
        <v>1823</v>
      </c>
      <c r="D461" s="5" t="s">
        <v>1675</v>
      </c>
      <c r="E461" s="12">
        <v>608</v>
      </c>
      <c r="F461" s="11" t="s">
        <v>3424</v>
      </c>
      <c r="G461" s="12" t="s">
        <v>7</v>
      </c>
      <c r="H461" s="12" t="s">
        <v>14</v>
      </c>
      <c r="I461" s="11" t="s">
        <v>2122</v>
      </c>
      <c r="J461" s="12" t="s">
        <v>1545</v>
      </c>
      <c r="K461" s="12" t="str">
        <f t="shared" si="30"/>
        <v>Closed</v>
      </c>
      <c r="L461" s="13">
        <v>44580</v>
      </c>
      <c r="M461" s="12" t="s">
        <v>302</v>
      </c>
      <c r="N461" s="12" t="s">
        <v>4427</v>
      </c>
      <c r="O461" s="12" t="s">
        <v>2546</v>
      </c>
      <c r="P461" s="12" t="s">
        <v>3790</v>
      </c>
      <c r="Q461" s="12"/>
      <c r="R461" s="12"/>
      <c r="S461" s="12"/>
      <c r="T461" s="12"/>
      <c r="U461" s="12" t="str">
        <f t="shared" si="31"/>
        <v>Corrected</v>
      </c>
      <c r="V461" s="12" t="str">
        <f t="shared" si="28"/>
        <v>GUAN Jialin</v>
      </c>
      <c r="W461" s="13">
        <f t="shared" si="29"/>
        <v>44580</v>
      </c>
    </row>
    <row r="462" spans="1:23" ht="14.4" customHeight="1" x14ac:dyDescent="0.3">
      <c r="A462" s="28">
        <v>44543</v>
      </c>
      <c r="B462" s="12" t="s">
        <v>2123</v>
      </c>
      <c r="C462" s="12" t="s">
        <v>1823</v>
      </c>
      <c r="D462" s="5" t="s">
        <v>1675</v>
      </c>
      <c r="E462" s="12">
        <v>626</v>
      </c>
      <c r="F462" s="11" t="s">
        <v>2124</v>
      </c>
      <c r="G462" s="12" t="s">
        <v>7</v>
      </c>
      <c r="H462" s="12" t="s">
        <v>14</v>
      </c>
      <c r="I462" s="11" t="s">
        <v>2125</v>
      </c>
      <c r="J462" s="12" t="s">
        <v>1574</v>
      </c>
      <c r="K462" s="12" t="str">
        <f t="shared" si="30"/>
        <v>Closed</v>
      </c>
      <c r="L462" s="13">
        <v>44587</v>
      </c>
      <c r="M462" s="12" t="s">
        <v>404</v>
      </c>
      <c r="N462" s="12"/>
      <c r="O462" s="12"/>
      <c r="P462" s="12" t="s">
        <v>3790</v>
      </c>
      <c r="Q462" s="12"/>
      <c r="R462" s="12"/>
      <c r="S462" s="12"/>
      <c r="T462" s="12"/>
      <c r="U462" s="12" t="str">
        <f t="shared" si="31"/>
        <v>NFF</v>
      </c>
      <c r="V462" s="12" t="str">
        <f t="shared" si="28"/>
        <v>GUAN Jialin</v>
      </c>
      <c r="W462" s="13">
        <f t="shared" si="29"/>
        <v>44587</v>
      </c>
    </row>
    <row r="463" spans="1:23" ht="14.4" customHeight="1" x14ac:dyDescent="0.3">
      <c r="A463" s="28">
        <v>44543</v>
      </c>
      <c r="B463" s="12" t="s">
        <v>2132</v>
      </c>
      <c r="C463" s="12" t="s">
        <v>1703</v>
      </c>
      <c r="D463" s="5" t="s">
        <v>1675</v>
      </c>
      <c r="E463" s="12">
        <v>625</v>
      </c>
      <c r="F463" s="11" t="s">
        <v>2133</v>
      </c>
      <c r="G463" s="12" t="s">
        <v>1</v>
      </c>
      <c r="H463" s="12" t="s">
        <v>19</v>
      </c>
      <c r="I463" s="11" t="s">
        <v>2134</v>
      </c>
      <c r="J463" s="12" t="s">
        <v>1545</v>
      </c>
      <c r="K463" s="12" t="str">
        <f t="shared" si="30"/>
        <v>Closed</v>
      </c>
      <c r="L463" s="13">
        <v>44551</v>
      </c>
      <c r="M463" s="12" t="s">
        <v>178</v>
      </c>
      <c r="N463" s="12"/>
      <c r="O463" s="12"/>
      <c r="P463" s="12" t="s">
        <v>3790</v>
      </c>
      <c r="Q463" s="12"/>
      <c r="R463" s="12"/>
      <c r="S463" s="12"/>
      <c r="T463" s="12"/>
      <c r="U463" s="12" t="str">
        <f t="shared" si="31"/>
        <v>Corrected</v>
      </c>
      <c r="V463" s="12" t="str">
        <f t="shared" si="28"/>
        <v>DAOUDI Mohamed</v>
      </c>
      <c r="W463" s="13">
        <f t="shared" si="29"/>
        <v>44551</v>
      </c>
    </row>
    <row r="464" spans="1:23" ht="14.4" customHeight="1" x14ac:dyDescent="0.3">
      <c r="A464" s="28">
        <v>44544</v>
      </c>
      <c r="B464" s="12" t="s">
        <v>2135</v>
      </c>
      <c r="C464" s="12" t="s">
        <v>1542</v>
      </c>
      <c r="D464" s="5" t="s">
        <v>2136</v>
      </c>
      <c r="E464" s="12">
        <v>619</v>
      </c>
      <c r="F464" s="11" t="s">
        <v>2137</v>
      </c>
      <c r="G464" s="12"/>
      <c r="H464" s="12" t="s">
        <v>19</v>
      </c>
      <c r="I464" s="14" t="s">
        <v>4273</v>
      </c>
      <c r="J464" s="12" t="s">
        <v>1545</v>
      </c>
      <c r="K464" s="12" t="str">
        <f t="shared" si="30"/>
        <v>Closed</v>
      </c>
      <c r="L464" s="13">
        <v>44550</v>
      </c>
      <c r="M464" s="12" t="s">
        <v>2138</v>
      </c>
      <c r="N464" s="12"/>
      <c r="O464" s="12"/>
      <c r="P464" s="12" t="s">
        <v>3790</v>
      </c>
      <c r="Q464" s="12"/>
      <c r="R464" s="12"/>
      <c r="S464" s="12"/>
      <c r="T464" s="12"/>
      <c r="U464" s="12" t="str">
        <f t="shared" si="31"/>
        <v>Corrected</v>
      </c>
      <c r="V464" s="12" t="str">
        <f t="shared" si="28"/>
        <v>DAOUDI Mohamed</v>
      </c>
      <c r="W464" s="13">
        <f t="shared" si="29"/>
        <v>44550</v>
      </c>
    </row>
    <row r="465" spans="1:23" ht="14.4" customHeight="1" x14ac:dyDescent="0.3">
      <c r="A465" s="28">
        <v>44544</v>
      </c>
      <c r="B465" s="12" t="s">
        <v>2139</v>
      </c>
      <c r="C465" s="12" t="s">
        <v>1542</v>
      </c>
      <c r="D465" s="5" t="s">
        <v>2140</v>
      </c>
      <c r="E465" s="12">
        <v>413</v>
      </c>
      <c r="F465" s="14" t="s">
        <v>4274</v>
      </c>
      <c r="G465" s="12" t="s">
        <v>7</v>
      </c>
      <c r="H465" s="12" t="s">
        <v>19</v>
      </c>
      <c r="I465" s="11" t="s">
        <v>2141</v>
      </c>
      <c r="J465" s="12" t="s">
        <v>1609</v>
      </c>
      <c r="K465" s="12" t="str">
        <f t="shared" si="30"/>
        <v>Open</v>
      </c>
      <c r="L465" s="13"/>
      <c r="M465" s="12" t="s">
        <v>449</v>
      </c>
      <c r="N465" s="12"/>
      <c r="O465" s="12"/>
      <c r="P465" s="12" t="s">
        <v>3790</v>
      </c>
      <c r="Q465" s="12"/>
      <c r="R465" s="12" t="s">
        <v>5</v>
      </c>
      <c r="S465" s="12" t="s">
        <v>3</v>
      </c>
      <c r="T465" s="12"/>
      <c r="U465" s="12" t="str">
        <f t="shared" si="31"/>
        <v>No Material</v>
      </c>
      <c r="V465" s="12" t="str">
        <f t="shared" si="28"/>
        <v>SUKIMAN Zamhuri</v>
      </c>
      <c r="W465" s="13" t="str">
        <f t="shared" si="29"/>
        <v/>
      </c>
    </row>
    <row r="466" spans="1:23" ht="14.4" customHeight="1" x14ac:dyDescent="0.3">
      <c r="A466" s="28">
        <v>44544</v>
      </c>
      <c r="B466" s="12" t="s">
        <v>2142</v>
      </c>
      <c r="C466" s="12" t="s">
        <v>1542</v>
      </c>
      <c r="D466" s="5" t="s">
        <v>2136</v>
      </c>
      <c r="E466" s="12">
        <v>619</v>
      </c>
      <c r="F466" s="11" t="s">
        <v>2143</v>
      </c>
      <c r="G466" s="12"/>
      <c r="H466" s="12" t="s">
        <v>11</v>
      </c>
      <c r="I466" s="11" t="s">
        <v>3581</v>
      </c>
      <c r="J466" s="12" t="s">
        <v>1574</v>
      </c>
      <c r="K466" s="12" t="str">
        <f t="shared" si="30"/>
        <v>Closed</v>
      </c>
      <c r="L466" s="13">
        <v>44569</v>
      </c>
      <c r="M466" s="12"/>
      <c r="N466" s="12" t="s">
        <v>4429</v>
      </c>
      <c r="O466" s="12"/>
      <c r="P466" s="12" t="s">
        <v>3790</v>
      </c>
      <c r="Q466" s="12"/>
      <c r="R466" s="12"/>
      <c r="S466" s="12"/>
      <c r="T466" s="12"/>
      <c r="U466" s="12" t="str">
        <f t="shared" si="31"/>
        <v>NFF</v>
      </c>
      <c r="V466" s="12" t="str">
        <f t="shared" si="28"/>
        <v>FIRDUS Ahmad</v>
      </c>
      <c r="W466" s="13">
        <f t="shared" si="29"/>
        <v>44569</v>
      </c>
    </row>
    <row r="467" spans="1:23" ht="14.4" customHeight="1" x14ac:dyDescent="0.3">
      <c r="A467" s="28">
        <v>44544</v>
      </c>
      <c r="B467" s="12" t="s">
        <v>2144</v>
      </c>
      <c r="C467" s="12" t="s">
        <v>1542</v>
      </c>
      <c r="D467" s="5" t="s">
        <v>2145</v>
      </c>
      <c r="E467" s="12">
        <v>406</v>
      </c>
      <c r="F467" s="11" t="s">
        <v>2146</v>
      </c>
      <c r="G467" s="12" t="s">
        <v>7</v>
      </c>
      <c r="H467" s="12" t="s">
        <v>18</v>
      </c>
      <c r="I467" s="11"/>
      <c r="J467" s="12" t="s">
        <v>1574</v>
      </c>
      <c r="K467" s="12" t="str">
        <f t="shared" si="30"/>
        <v>Closed</v>
      </c>
      <c r="L467" s="13">
        <v>44591</v>
      </c>
      <c r="M467" s="12"/>
      <c r="N467" s="12"/>
      <c r="O467" s="12"/>
      <c r="P467" s="12" t="s">
        <v>3790</v>
      </c>
      <c r="Q467" s="12"/>
      <c r="R467" s="12"/>
      <c r="S467" s="12"/>
      <c r="T467" s="13" t="s">
        <v>1547</v>
      </c>
      <c r="U467" s="12" t="str">
        <f t="shared" si="31"/>
        <v>NFF</v>
      </c>
      <c r="V467" s="12" t="str">
        <f t="shared" si="28"/>
        <v>BENAYED Elie</v>
      </c>
      <c r="W467" s="13">
        <f t="shared" si="29"/>
        <v>44591</v>
      </c>
    </row>
    <row r="468" spans="1:23" ht="14.4" customHeight="1" x14ac:dyDescent="0.3">
      <c r="A468" s="28">
        <v>44545</v>
      </c>
      <c r="B468" s="12" t="s">
        <v>2147</v>
      </c>
      <c r="C468" s="12" t="s">
        <v>1823</v>
      </c>
      <c r="D468" s="5" t="s">
        <v>1675</v>
      </c>
      <c r="E468" s="12">
        <v>624</v>
      </c>
      <c r="F468" s="11" t="s">
        <v>2148</v>
      </c>
      <c r="G468" s="12"/>
      <c r="H468" s="12" t="s">
        <v>14</v>
      </c>
      <c r="I468" s="11" t="s">
        <v>2149</v>
      </c>
      <c r="J468" s="12" t="s">
        <v>1545</v>
      </c>
      <c r="K468" s="12" t="str">
        <f t="shared" si="30"/>
        <v>Closed</v>
      </c>
      <c r="L468" s="13">
        <v>44563</v>
      </c>
      <c r="M468" s="12" t="s">
        <v>220</v>
      </c>
      <c r="N468" s="12" t="s">
        <v>4427</v>
      </c>
      <c r="O468" s="12" t="s">
        <v>2546</v>
      </c>
      <c r="P468" s="12" t="s">
        <v>3790</v>
      </c>
      <c r="Q468" s="12"/>
      <c r="R468" s="12"/>
      <c r="S468" s="12"/>
      <c r="T468" s="12"/>
      <c r="U468" s="12" t="str">
        <f t="shared" si="31"/>
        <v>Corrected</v>
      </c>
      <c r="V468" s="12" t="str">
        <f t="shared" si="28"/>
        <v>GUAN Jialin</v>
      </c>
      <c r="W468" s="13">
        <f t="shared" si="29"/>
        <v>44563</v>
      </c>
    </row>
    <row r="469" spans="1:23" ht="14.4" customHeight="1" x14ac:dyDescent="0.3">
      <c r="A469" s="28">
        <v>44545</v>
      </c>
      <c r="B469" s="12" t="s">
        <v>2150</v>
      </c>
      <c r="C469" s="12" t="s">
        <v>1542</v>
      </c>
      <c r="D469" s="5" t="s">
        <v>2151</v>
      </c>
      <c r="E469" s="12">
        <v>416</v>
      </c>
      <c r="F469" s="11" t="s">
        <v>2152</v>
      </c>
      <c r="G469" s="12"/>
      <c r="H469" s="12" t="s">
        <v>9</v>
      </c>
      <c r="I469" s="11" t="s">
        <v>2153</v>
      </c>
      <c r="J469" s="12" t="s">
        <v>1545</v>
      </c>
      <c r="K469" s="12" t="str">
        <f t="shared" si="30"/>
        <v>Closed</v>
      </c>
      <c r="L469" s="13">
        <v>44560</v>
      </c>
      <c r="M469" s="12"/>
      <c r="N469" s="12"/>
      <c r="O469" s="12"/>
      <c r="P469" s="12" t="s">
        <v>3790</v>
      </c>
      <c r="Q469" s="12"/>
      <c r="R469" s="12"/>
      <c r="S469" s="12"/>
      <c r="T469" s="13" t="s">
        <v>1547</v>
      </c>
      <c r="U469" s="12" t="str">
        <f t="shared" si="31"/>
        <v>Corrected</v>
      </c>
      <c r="V469" s="12" t="str">
        <f t="shared" si="28"/>
        <v>KHAN Jahan</v>
      </c>
      <c r="W469" s="13">
        <f t="shared" si="29"/>
        <v>44560</v>
      </c>
    </row>
    <row r="470" spans="1:23" ht="14.4" customHeight="1" x14ac:dyDescent="0.3">
      <c r="A470" s="28">
        <v>44545</v>
      </c>
      <c r="B470" s="12" t="s">
        <v>2154</v>
      </c>
      <c r="C470" s="12" t="s">
        <v>1542</v>
      </c>
      <c r="D470" s="5" t="s">
        <v>2155</v>
      </c>
      <c r="E470" s="12">
        <v>424</v>
      </c>
      <c r="F470" s="11" t="s">
        <v>2156</v>
      </c>
      <c r="G470" s="12"/>
      <c r="H470" s="12" t="s">
        <v>9</v>
      </c>
      <c r="I470" s="11" t="s">
        <v>2157</v>
      </c>
      <c r="J470" s="12" t="s">
        <v>1545</v>
      </c>
      <c r="K470" s="12" t="str">
        <f t="shared" si="30"/>
        <v>Closed</v>
      </c>
      <c r="L470" s="13">
        <v>44549</v>
      </c>
      <c r="M470" s="12"/>
      <c r="N470" s="12"/>
      <c r="O470" s="12"/>
      <c r="P470" s="12" t="s">
        <v>3790</v>
      </c>
      <c r="Q470" s="12"/>
      <c r="R470" s="12"/>
      <c r="S470" s="12"/>
      <c r="T470" s="12"/>
      <c r="U470" s="12" t="str">
        <f t="shared" si="31"/>
        <v>Corrected</v>
      </c>
      <c r="V470" s="12" t="str">
        <f t="shared" si="28"/>
        <v>KHAN Jahan</v>
      </c>
      <c r="W470" s="13">
        <f t="shared" si="29"/>
        <v>44549</v>
      </c>
    </row>
    <row r="471" spans="1:23" ht="14.4" customHeight="1" x14ac:dyDescent="0.3">
      <c r="A471" s="28">
        <v>44545</v>
      </c>
      <c r="B471" s="12" t="s">
        <v>2158</v>
      </c>
      <c r="C471" s="12" t="s">
        <v>1542</v>
      </c>
      <c r="D471" s="5" t="s">
        <v>2155</v>
      </c>
      <c r="E471" s="12">
        <v>424</v>
      </c>
      <c r="F471" s="11" t="s">
        <v>2159</v>
      </c>
      <c r="G471" s="12"/>
      <c r="H471" s="12" t="s">
        <v>14</v>
      </c>
      <c r="I471" s="11" t="s">
        <v>1994</v>
      </c>
      <c r="J471" s="12" t="s">
        <v>1545</v>
      </c>
      <c r="K471" s="12" t="str">
        <f t="shared" si="30"/>
        <v>Closed</v>
      </c>
      <c r="L471" s="13">
        <v>44560</v>
      </c>
      <c r="M471" s="12"/>
      <c r="N471" s="12"/>
      <c r="O471" s="12"/>
      <c r="P471" s="12" t="s">
        <v>3790</v>
      </c>
      <c r="Q471" s="12"/>
      <c r="R471" s="12"/>
      <c r="S471" s="12"/>
      <c r="T471" s="12"/>
      <c r="U471" s="12" t="str">
        <f t="shared" si="31"/>
        <v>Corrected</v>
      </c>
      <c r="V471" s="12" t="str">
        <f t="shared" si="28"/>
        <v>GUAN Jialin</v>
      </c>
      <c r="W471" s="13">
        <f t="shared" si="29"/>
        <v>44560</v>
      </c>
    </row>
    <row r="472" spans="1:23" ht="14.4" customHeight="1" x14ac:dyDescent="0.3">
      <c r="A472" s="28">
        <v>44545</v>
      </c>
      <c r="B472" s="12" t="s">
        <v>2160</v>
      </c>
      <c r="C472" s="12" t="s">
        <v>1542</v>
      </c>
      <c r="D472" s="5" t="s">
        <v>2155</v>
      </c>
      <c r="E472" s="12">
        <v>424</v>
      </c>
      <c r="F472" s="11" t="s">
        <v>2161</v>
      </c>
      <c r="G472" s="12"/>
      <c r="H472" s="12" t="s">
        <v>19</v>
      </c>
      <c r="I472" s="11" t="s">
        <v>2162</v>
      </c>
      <c r="J472" s="12" t="s">
        <v>1545</v>
      </c>
      <c r="K472" s="12" t="str">
        <f t="shared" si="30"/>
        <v>Closed</v>
      </c>
      <c r="L472" s="13">
        <v>44551</v>
      </c>
      <c r="M472" s="12"/>
      <c r="N472" s="12"/>
      <c r="O472" s="12"/>
      <c r="P472" s="12" t="s">
        <v>3790</v>
      </c>
      <c r="Q472" s="12"/>
      <c r="R472" s="12"/>
      <c r="S472" s="12"/>
      <c r="T472" s="12"/>
      <c r="U472" s="12" t="str">
        <f t="shared" si="31"/>
        <v>Corrected</v>
      </c>
      <c r="V472" s="12" t="str">
        <f t="shared" si="28"/>
        <v>DAOUDI Mohamed</v>
      </c>
      <c r="W472" s="13">
        <f t="shared" si="29"/>
        <v>44551</v>
      </c>
    </row>
    <row r="473" spans="1:23" ht="14.4" customHeight="1" x14ac:dyDescent="0.3">
      <c r="A473" s="28">
        <v>44545</v>
      </c>
      <c r="B473" s="12" t="s">
        <v>2163</v>
      </c>
      <c r="C473" s="12" t="s">
        <v>1823</v>
      </c>
      <c r="D473" s="5" t="s">
        <v>1675</v>
      </c>
      <c r="E473" s="12">
        <v>612</v>
      </c>
      <c r="F473" s="11" t="s">
        <v>3425</v>
      </c>
      <c r="G473" s="12" t="s">
        <v>7</v>
      </c>
      <c r="H473" s="12" t="s">
        <v>14</v>
      </c>
      <c r="I473" s="11" t="s">
        <v>2122</v>
      </c>
      <c r="J473" s="12" t="s">
        <v>1545</v>
      </c>
      <c r="K473" s="12" t="str">
        <f t="shared" si="30"/>
        <v>Closed</v>
      </c>
      <c r="L473" s="13">
        <v>44580</v>
      </c>
      <c r="M473" s="12" t="s">
        <v>413</v>
      </c>
      <c r="N473" s="12" t="s">
        <v>4427</v>
      </c>
      <c r="O473" s="12" t="s">
        <v>3411</v>
      </c>
      <c r="P473" s="12" t="s">
        <v>3790</v>
      </c>
      <c r="Q473" s="12"/>
      <c r="R473" s="12" t="s">
        <v>1545</v>
      </c>
      <c r="S473" s="12" t="s">
        <v>6</v>
      </c>
      <c r="T473" s="13">
        <v>44623</v>
      </c>
      <c r="U473" s="12" t="str">
        <f t="shared" si="31"/>
        <v>Corrected</v>
      </c>
      <c r="V473" s="12" t="str">
        <f t="shared" si="28"/>
        <v>GUAN Jialin</v>
      </c>
      <c r="W473" s="13">
        <f t="shared" si="29"/>
        <v>44580</v>
      </c>
    </row>
    <row r="474" spans="1:23" ht="14.4" customHeight="1" x14ac:dyDescent="0.3">
      <c r="A474" s="28">
        <v>44545</v>
      </c>
      <c r="B474" s="12" t="s">
        <v>2163</v>
      </c>
      <c r="C474" s="12" t="s">
        <v>1823</v>
      </c>
      <c r="D474" s="5" t="s">
        <v>1675</v>
      </c>
      <c r="E474" s="12">
        <v>612</v>
      </c>
      <c r="F474" s="11" t="s">
        <v>322</v>
      </c>
      <c r="G474" s="12" t="s">
        <v>7</v>
      </c>
      <c r="H474" s="12" t="s">
        <v>14</v>
      </c>
      <c r="I474" s="11" t="s">
        <v>2122</v>
      </c>
      <c r="J474" s="12" t="s">
        <v>1545</v>
      </c>
      <c r="K474" s="12" t="str">
        <f t="shared" si="30"/>
        <v>Closed</v>
      </c>
      <c r="L474" s="13">
        <v>44580</v>
      </c>
      <c r="M474" s="12" t="s">
        <v>413</v>
      </c>
      <c r="N474" s="12" t="s">
        <v>4427</v>
      </c>
      <c r="O474" s="12" t="s">
        <v>3411</v>
      </c>
      <c r="P474" s="12" t="s">
        <v>3790</v>
      </c>
      <c r="Q474" s="12"/>
      <c r="R474" s="12"/>
      <c r="S474" s="12"/>
      <c r="T474" s="12"/>
      <c r="U474" s="12" t="str">
        <f t="shared" si="31"/>
        <v>Corrected</v>
      </c>
      <c r="V474" s="12" t="str">
        <f t="shared" si="28"/>
        <v>GUAN Jialin</v>
      </c>
      <c r="W474" s="13">
        <f t="shared" si="29"/>
        <v>44580</v>
      </c>
    </row>
    <row r="475" spans="1:23" ht="14.4" customHeight="1" x14ac:dyDescent="0.3">
      <c r="A475" s="28">
        <v>44545</v>
      </c>
      <c r="B475" s="12" t="s">
        <v>2163</v>
      </c>
      <c r="C475" s="12" t="s">
        <v>1823</v>
      </c>
      <c r="D475" s="5" t="s">
        <v>1675</v>
      </c>
      <c r="E475" s="12">
        <v>612</v>
      </c>
      <c r="F475" s="11" t="s">
        <v>319</v>
      </c>
      <c r="G475" s="12" t="s">
        <v>7</v>
      </c>
      <c r="H475" s="12" t="s">
        <v>14</v>
      </c>
      <c r="I475" s="11" t="s">
        <v>2122</v>
      </c>
      <c r="J475" s="12" t="s">
        <v>1545</v>
      </c>
      <c r="K475" s="12" t="str">
        <f t="shared" si="30"/>
        <v>Closed</v>
      </c>
      <c r="L475" s="13">
        <v>44580</v>
      </c>
      <c r="M475" s="12" t="s">
        <v>413</v>
      </c>
      <c r="N475" s="12" t="s">
        <v>4427</v>
      </c>
      <c r="O475" s="12" t="s">
        <v>3411</v>
      </c>
      <c r="P475" s="12" t="s">
        <v>3790</v>
      </c>
      <c r="Q475" s="12"/>
      <c r="R475" s="12"/>
      <c r="S475" s="12"/>
      <c r="T475" s="12"/>
      <c r="U475" s="12" t="str">
        <f t="shared" si="31"/>
        <v>Corrected</v>
      </c>
      <c r="V475" s="12" t="str">
        <f t="shared" si="28"/>
        <v>GUAN Jialin</v>
      </c>
      <c r="W475" s="13">
        <f t="shared" si="29"/>
        <v>44580</v>
      </c>
    </row>
    <row r="476" spans="1:23" ht="14.4" customHeight="1" x14ac:dyDescent="0.3">
      <c r="A476" s="28">
        <v>44545</v>
      </c>
      <c r="B476" s="12" t="s">
        <v>2163</v>
      </c>
      <c r="C476" s="12" t="s">
        <v>1823</v>
      </c>
      <c r="D476" s="5" t="s">
        <v>1675</v>
      </c>
      <c r="E476" s="12">
        <v>612</v>
      </c>
      <c r="F476" s="11" t="s">
        <v>3426</v>
      </c>
      <c r="G476" s="12" t="s">
        <v>7</v>
      </c>
      <c r="H476" s="12" t="s">
        <v>14</v>
      </c>
      <c r="I476" s="11" t="s">
        <v>2122</v>
      </c>
      <c r="J476" s="12" t="s">
        <v>1545</v>
      </c>
      <c r="K476" s="12" t="str">
        <f t="shared" si="30"/>
        <v>Closed</v>
      </c>
      <c r="L476" s="13">
        <v>44580</v>
      </c>
      <c r="M476" s="12" t="s">
        <v>413</v>
      </c>
      <c r="N476" s="12" t="s">
        <v>4427</v>
      </c>
      <c r="O476" s="12" t="s">
        <v>3411</v>
      </c>
      <c r="P476" s="12" t="s">
        <v>3790</v>
      </c>
      <c r="Q476" s="12"/>
      <c r="R476" s="12"/>
      <c r="S476" s="12"/>
      <c r="T476" s="12"/>
      <c r="U476" s="12" t="str">
        <f t="shared" si="31"/>
        <v>Corrected</v>
      </c>
      <c r="V476" s="12" t="str">
        <f t="shared" si="28"/>
        <v>GUAN Jialin</v>
      </c>
      <c r="W476" s="13">
        <f t="shared" si="29"/>
        <v>44580</v>
      </c>
    </row>
    <row r="477" spans="1:23" ht="14.4" customHeight="1" x14ac:dyDescent="0.3">
      <c r="A477" s="28">
        <v>44545</v>
      </c>
      <c r="B477" s="12" t="s">
        <v>2163</v>
      </c>
      <c r="C477" s="12" t="s">
        <v>1823</v>
      </c>
      <c r="D477" s="5" t="s">
        <v>1675</v>
      </c>
      <c r="E477" s="12">
        <v>612</v>
      </c>
      <c r="F477" s="11" t="s">
        <v>3427</v>
      </c>
      <c r="G477" s="12" t="s">
        <v>7</v>
      </c>
      <c r="H477" s="12" t="s">
        <v>14</v>
      </c>
      <c r="I477" s="11" t="s">
        <v>2122</v>
      </c>
      <c r="J477" s="12" t="s">
        <v>1545</v>
      </c>
      <c r="K477" s="12" t="str">
        <f t="shared" si="30"/>
        <v>Closed</v>
      </c>
      <c r="L477" s="13">
        <v>44580</v>
      </c>
      <c r="M477" s="12" t="s">
        <v>413</v>
      </c>
      <c r="N477" s="12" t="s">
        <v>4427</v>
      </c>
      <c r="O477" s="12" t="s">
        <v>3411</v>
      </c>
      <c r="P477" s="12" t="s">
        <v>3790</v>
      </c>
      <c r="Q477" s="12"/>
      <c r="R477" s="12"/>
      <c r="S477" s="12"/>
      <c r="T477" s="12"/>
      <c r="U477" s="12" t="str">
        <f t="shared" si="31"/>
        <v>Corrected</v>
      </c>
      <c r="V477" s="12" t="str">
        <f t="shared" si="28"/>
        <v>GUAN Jialin</v>
      </c>
      <c r="W477" s="13">
        <f t="shared" si="29"/>
        <v>44580</v>
      </c>
    </row>
    <row r="478" spans="1:23" ht="28.95" customHeight="1" x14ac:dyDescent="0.3">
      <c r="A478" s="28">
        <v>44545</v>
      </c>
      <c r="B478" s="12" t="s">
        <v>2164</v>
      </c>
      <c r="C478" s="12" t="s">
        <v>1542</v>
      </c>
      <c r="D478" s="5" t="s">
        <v>2165</v>
      </c>
      <c r="E478" s="12">
        <v>613</v>
      </c>
      <c r="F478" s="11" t="s">
        <v>2166</v>
      </c>
      <c r="G478" s="12" t="s">
        <v>7</v>
      </c>
      <c r="H478" s="12" t="s">
        <v>14</v>
      </c>
      <c r="I478" s="11" t="s">
        <v>2125</v>
      </c>
      <c r="J478" s="12" t="s">
        <v>1545</v>
      </c>
      <c r="K478" s="12" t="str">
        <f t="shared" si="30"/>
        <v>Closed</v>
      </c>
      <c r="L478" s="13">
        <v>44588</v>
      </c>
      <c r="M478" s="12" t="s">
        <v>2167</v>
      </c>
      <c r="N478" s="12" t="s">
        <v>4427</v>
      </c>
      <c r="O478" s="12" t="s">
        <v>3411</v>
      </c>
      <c r="P478" s="12" t="s">
        <v>3790</v>
      </c>
      <c r="Q478" s="12"/>
      <c r="R478" s="12"/>
      <c r="S478" s="12"/>
      <c r="T478" s="12"/>
      <c r="U478" s="12" t="str">
        <f t="shared" si="31"/>
        <v>Corrected</v>
      </c>
      <c r="V478" s="12" t="str">
        <f t="shared" si="28"/>
        <v>GUAN Jialin</v>
      </c>
      <c r="W478" s="13">
        <f t="shared" si="29"/>
        <v>44588</v>
      </c>
    </row>
    <row r="479" spans="1:23" ht="14.4" customHeight="1" x14ac:dyDescent="0.3">
      <c r="A479" s="28">
        <v>44545</v>
      </c>
      <c r="B479" s="12" t="s">
        <v>2168</v>
      </c>
      <c r="C479" s="12" t="s">
        <v>1542</v>
      </c>
      <c r="D479" s="5" t="s">
        <v>2155</v>
      </c>
      <c r="E479" s="12">
        <v>424</v>
      </c>
      <c r="F479" s="14" t="s">
        <v>4275</v>
      </c>
      <c r="G479" s="12"/>
      <c r="H479" s="12" t="s">
        <v>11</v>
      </c>
      <c r="I479" s="11" t="s">
        <v>3582</v>
      </c>
      <c r="J479" s="12" t="s">
        <v>1574</v>
      </c>
      <c r="K479" s="12" t="str">
        <f t="shared" si="30"/>
        <v>Closed</v>
      </c>
      <c r="L479" s="13">
        <v>44569</v>
      </c>
      <c r="M479" s="12"/>
      <c r="N479" s="12" t="s">
        <v>2528</v>
      </c>
      <c r="O479" s="12"/>
      <c r="P479" s="12" t="s">
        <v>3790</v>
      </c>
      <c r="Q479" s="12"/>
      <c r="R479" s="12"/>
      <c r="S479" s="12"/>
      <c r="T479" s="12"/>
      <c r="U479" s="12" t="str">
        <f t="shared" si="31"/>
        <v>NFF</v>
      </c>
      <c r="V479" s="12" t="str">
        <f t="shared" si="28"/>
        <v>FIRDUS Ahmad</v>
      </c>
      <c r="W479" s="13">
        <f t="shared" si="29"/>
        <v>44569</v>
      </c>
    </row>
    <row r="480" spans="1:23" ht="43.2" customHeight="1" x14ac:dyDescent="0.3">
      <c r="A480" s="28">
        <v>44545</v>
      </c>
      <c r="B480" s="12" t="s">
        <v>2169</v>
      </c>
      <c r="C480" s="12" t="s">
        <v>1542</v>
      </c>
      <c r="D480" s="5" t="s">
        <v>2165</v>
      </c>
      <c r="E480" s="12">
        <v>613</v>
      </c>
      <c r="F480" s="11" t="s">
        <v>2170</v>
      </c>
      <c r="G480" s="12"/>
      <c r="H480" s="12" t="s">
        <v>11</v>
      </c>
      <c r="I480" s="11" t="s">
        <v>3583</v>
      </c>
      <c r="J480" s="12" t="s">
        <v>1574</v>
      </c>
      <c r="K480" s="12" t="str">
        <f t="shared" si="30"/>
        <v>Closed</v>
      </c>
      <c r="L480" s="13">
        <v>44571</v>
      </c>
      <c r="M480" s="12"/>
      <c r="N480" s="12"/>
      <c r="O480" s="12"/>
      <c r="P480" s="12" t="s">
        <v>3790</v>
      </c>
      <c r="Q480" s="12"/>
      <c r="R480" s="12"/>
      <c r="S480" s="12"/>
      <c r="T480" s="12"/>
      <c r="U480" s="12" t="str">
        <f t="shared" si="31"/>
        <v>NFF</v>
      </c>
      <c r="V480" s="12" t="str">
        <f t="shared" si="28"/>
        <v>FIRDUS Ahmad</v>
      </c>
      <c r="W480" s="13">
        <f t="shared" si="29"/>
        <v>44571</v>
      </c>
    </row>
    <row r="481" spans="1:23" ht="43.2" customHeight="1" x14ac:dyDescent="0.3">
      <c r="A481" s="28">
        <v>44545</v>
      </c>
      <c r="B481" s="12" t="s">
        <v>2171</v>
      </c>
      <c r="C481" s="12" t="s">
        <v>1542</v>
      </c>
      <c r="D481" s="5" t="s">
        <v>2172</v>
      </c>
      <c r="E481" s="12">
        <v>626</v>
      </c>
      <c r="F481" s="11" t="s">
        <v>2146</v>
      </c>
      <c r="G481" s="12"/>
      <c r="H481" s="12" t="s">
        <v>9</v>
      </c>
      <c r="I481" s="11"/>
      <c r="J481" s="12" t="s">
        <v>1574</v>
      </c>
      <c r="K481" s="12" t="str">
        <f t="shared" si="30"/>
        <v>Closed</v>
      </c>
      <c r="L481" s="13">
        <v>44563</v>
      </c>
      <c r="M481" s="12"/>
      <c r="N481" s="12"/>
      <c r="O481" s="12"/>
      <c r="P481" s="12" t="s">
        <v>3790</v>
      </c>
      <c r="Q481" s="12"/>
      <c r="R481" s="12"/>
      <c r="S481" s="12"/>
      <c r="T481" s="12"/>
      <c r="U481" s="12" t="str">
        <f t="shared" si="31"/>
        <v>NFF</v>
      </c>
      <c r="V481" s="12" t="str">
        <f t="shared" si="28"/>
        <v>KHAN Jahan</v>
      </c>
      <c r="W481" s="13">
        <f t="shared" si="29"/>
        <v>44563</v>
      </c>
    </row>
    <row r="482" spans="1:23" ht="14.4" customHeight="1" x14ac:dyDescent="0.3">
      <c r="A482" s="28">
        <v>44545</v>
      </c>
      <c r="B482" s="12" t="s">
        <v>2173</v>
      </c>
      <c r="C482" s="12" t="s">
        <v>1542</v>
      </c>
      <c r="D482" s="5" t="s">
        <v>2174</v>
      </c>
      <c r="E482" s="12">
        <v>414</v>
      </c>
      <c r="F482" s="11" t="s">
        <v>2175</v>
      </c>
      <c r="G482" s="12" t="s">
        <v>7</v>
      </c>
      <c r="H482" s="12" t="s">
        <v>19</v>
      </c>
      <c r="I482" s="11" t="s">
        <v>3436</v>
      </c>
      <c r="J482" s="12" t="s">
        <v>1609</v>
      </c>
      <c r="K482" s="12" t="str">
        <f t="shared" si="30"/>
        <v>Open</v>
      </c>
      <c r="L482" s="13"/>
      <c r="M482" s="12"/>
      <c r="N482" s="12" t="s">
        <v>1652</v>
      </c>
      <c r="O482" s="12"/>
      <c r="P482" s="12" t="s">
        <v>3790</v>
      </c>
      <c r="Q482" s="12"/>
      <c r="R482" s="12" t="s">
        <v>5</v>
      </c>
      <c r="S482" s="12" t="s">
        <v>3</v>
      </c>
      <c r="T482" s="12"/>
      <c r="U482" s="12" t="str">
        <f t="shared" si="31"/>
        <v>No Material</v>
      </c>
      <c r="V482" s="12" t="str">
        <f t="shared" si="28"/>
        <v>SUKIMAN Zamhuri</v>
      </c>
      <c r="W482" s="13" t="str">
        <f t="shared" si="29"/>
        <v/>
      </c>
    </row>
    <row r="483" spans="1:23" ht="43.2" customHeight="1" x14ac:dyDescent="0.3">
      <c r="A483" s="28">
        <v>44545</v>
      </c>
      <c r="B483" s="12" t="s">
        <v>989</v>
      </c>
      <c r="C483" s="12" t="s">
        <v>1542</v>
      </c>
      <c r="D483" s="5" t="s">
        <v>2174</v>
      </c>
      <c r="E483" s="12">
        <v>414</v>
      </c>
      <c r="F483" s="11" t="s">
        <v>991</v>
      </c>
      <c r="G483" s="12" t="s">
        <v>7</v>
      </c>
      <c r="H483" s="12" t="s">
        <v>9</v>
      </c>
      <c r="I483" s="11" t="s">
        <v>2176</v>
      </c>
      <c r="J483" s="12" t="s">
        <v>1545</v>
      </c>
      <c r="K483" s="12" t="str">
        <f t="shared" si="30"/>
        <v>Closed</v>
      </c>
      <c r="L483" s="13">
        <v>44574</v>
      </c>
      <c r="M483" s="12"/>
      <c r="N483" s="12" t="s">
        <v>2517</v>
      </c>
      <c r="O483" s="12"/>
      <c r="P483" s="12" t="s">
        <v>3790</v>
      </c>
      <c r="Q483" s="12"/>
      <c r="R483" s="12"/>
      <c r="S483" s="12"/>
      <c r="T483" s="12"/>
      <c r="U483" s="12" t="str">
        <f t="shared" si="31"/>
        <v>Corrected</v>
      </c>
      <c r="V483" s="12" t="str">
        <f t="shared" si="28"/>
        <v>KHAN Jahan</v>
      </c>
      <c r="W483" s="13">
        <f t="shared" si="29"/>
        <v>44574</v>
      </c>
    </row>
    <row r="484" spans="1:23" ht="14.4" customHeight="1" x14ac:dyDescent="0.3">
      <c r="A484" s="28">
        <v>44546</v>
      </c>
      <c r="B484" s="12" t="s">
        <v>2181</v>
      </c>
      <c r="C484" s="12" t="s">
        <v>1823</v>
      </c>
      <c r="D484" s="5" t="s">
        <v>1675</v>
      </c>
      <c r="E484" s="12">
        <v>609</v>
      </c>
      <c r="F484" s="11" t="s">
        <v>224</v>
      </c>
      <c r="G484" s="12"/>
      <c r="H484" s="12" t="s">
        <v>14</v>
      </c>
      <c r="I484" s="11" t="s">
        <v>1994</v>
      </c>
      <c r="J484" s="12" t="s">
        <v>1545</v>
      </c>
      <c r="K484" s="12" t="str">
        <f t="shared" si="30"/>
        <v>Closed</v>
      </c>
      <c r="L484" s="13">
        <v>44560</v>
      </c>
      <c r="M484" s="12" t="s">
        <v>2182</v>
      </c>
      <c r="N484" s="12"/>
      <c r="O484" s="12"/>
      <c r="P484" s="12" t="s">
        <v>3790</v>
      </c>
      <c r="Q484" s="12"/>
      <c r="R484" s="12"/>
      <c r="S484" s="12"/>
      <c r="T484" s="12"/>
      <c r="U484" s="12" t="str">
        <f t="shared" si="31"/>
        <v>Corrected</v>
      </c>
      <c r="V484" s="12" t="str">
        <f t="shared" si="28"/>
        <v>GUAN Jialin</v>
      </c>
      <c r="W484" s="13">
        <f t="shared" si="29"/>
        <v>44560</v>
      </c>
    </row>
    <row r="485" spans="1:23" ht="43.2" customHeight="1" x14ac:dyDescent="0.3">
      <c r="A485" s="28">
        <v>44546</v>
      </c>
      <c r="B485" s="12" t="s">
        <v>2183</v>
      </c>
      <c r="C485" s="12" t="s">
        <v>1823</v>
      </c>
      <c r="D485" s="5" t="s">
        <v>1675</v>
      </c>
      <c r="E485" s="12">
        <v>602</v>
      </c>
      <c r="F485" s="11" t="s">
        <v>2184</v>
      </c>
      <c r="G485" s="12"/>
      <c r="H485" s="12" t="s">
        <v>14</v>
      </c>
      <c r="I485" s="11" t="s">
        <v>1994</v>
      </c>
      <c r="J485" s="12" t="s">
        <v>1545</v>
      </c>
      <c r="K485" s="12" t="str">
        <f t="shared" si="30"/>
        <v>Closed</v>
      </c>
      <c r="L485" s="13">
        <v>44560</v>
      </c>
      <c r="M485" s="12" t="s">
        <v>2185</v>
      </c>
      <c r="N485" s="12"/>
      <c r="O485" s="12"/>
      <c r="P485" s="12" t="s">
        <v>3790</v>
      </c>
      <c r="Q485" s="12"/>
      <c r="R485" s="12"/>
      <c r="S485" s="12"/>
      <c r="T485" s="12"/>
      <c r="U485" s="12" t="str">
        <f t="shared" si="31"/>
        <v>Corrected</v>
      </c>
      <c r="V485" s="12" t="str">
        <f t="shared" si="28"/>
        <v>GUAN Jialin</v>
      </c>
      <c r="W485" s="13">
        <f t="shared" si="29"/>
        <v>44560</v>
      </c>
    </row>
    <row r="486" spans="1:23" ht="14.4" customHeight="1" x14ac:dyDescent="0.3">
      <c r="A486" s="28">
        <v>44546</v>
      </c>
      <c r="B486" s="12" t="s">
        <v>2186</v>
      </c>
      <c r="C486" s="12" t="s">
        <v>1823</v>
      </c>
      <c r="D486" s="5" t="s">
        <v>1675</v>
      </c>
      <c r="E486" s="12">
        <v>416</v>
      </c>
      <c r="F486" s="11" t="s">
        <v>2187</v>
      </c>
      <c r="G486" s="12" t="s">
        <v>7</v>
      </c>
      <c r="H486" s="12" t="s">
        <v>14</v>
      </c>
      <c r="I486" s="11" t="s">
        <v>1548</v>
      </c>
      <c r="J486" s="12" t="s">
        <v>1545</v>
      </c>
      <c r="K486" s="12" t="str">
        <f t="shared" si="30"/>
        <v>Closed</v>
      </c>
      <c r="L486" s="13">
        <v>44580</v>
      </c>
      <c r="M486" s="12" t="s">
        <v>422</v>
      </c>
      <c r="N486" s="12" t="s">
        <v>4427</v>
      </c>
      <c r="O486" s="12" t="s">
        <v>3411</v>
      </c>
      <c r="P486" s="12" t="s">
        <v>3790</v>
      </c>
      <c r="Q486" s="12"/>
      <c r="R486" s="12"/>
      <c r="S486" s="12"/>
      <c r="T486" s="12"/>
      <c r="U486" s="12" t="str">
        <f t="shared" si="31"/>
        <v>Corrected</v>
      </c>
      <c r="V486" s="12" t="str">
        <f t="shared" si="28"/>
        <v>GUAN Jialin</v>
      </c>
      <c r="W486" s="13">
        <f t="shared" si="29"/>
        <v>44580</v>
      </c>
    </row>
    <row r="487" spans="1:23" ht="14.4" customHeight="1" x14ac:dyDescent="0.3">
      <c r="A487" s="28">
        <v>44549</v>
      </c>
      <c r="B487" s="12" t="s">
        <v>2195</v>
      </c>
      <c r="C487" s="12" t="s">
        <v>1823</v>
      </c>
      <c r="D487" s="5" t="s">
        <v>1675</v>
      </c>
      <c r="E487" s="5" t="s">
        <v>4276</v>
      </c>
      <c r="F487" s="11" t="s">
        <v>2196</v>
      </c>
      <c r="G487" s="12"/>
      <c r="H487" s="12" t="s">
        <v>17</v>
      </c>
      <c r="I487" s="11" t="s">
        <v>2197</v>
      </c>
      <c r="J487" s="12" t="s">
        <v>1545</v>
      </c>
      <c r="K487" s="12" t="str">
        <f t="shared" si="30"/>
        <v>Closed</v>
      </c>
      <c r="L487" s="13">
        <v>44551</v>
      </c>
      <c r="M487" s="12"/>
      <c r="N487" s="12"/>
      <c r="O487" s="12"/>
      <c r="P487" s="12" t="s">
        <v>3790</v>
      </c>
      <c r="Q487" s="12"/>
      <c r="R487" s="12"/>
      <c r="S487" s="12"/>
      <c r="T487" s="12"/>
      <c r="U487" s="12" t="str">
        <f t="shared" si="31"/>
        <v>Corrected</v>
      </c>
      <c r="V487" s="12" t="str">
        <f t="shared" si="28"/>
        <v>FATHI Charafeddine</v>
      </c>
      <c r="W487" s="13">
        <f t="shared" si="29"/>
        <v>44551</v>
      </c>
    </row>
    <row r="488" spans="1:23" ht="14.4" customHeight="1" x14ac:dyDescent="0.3">
      <c r="A488" s="28">
        <v>44549</v>
      </c>
      <c r="B488" s="12" t="s">
        <v>2198</v>
      </c>
      <c r="C488" s="12" t="s">
        <v>1823</v>
      </c>
      <c r="D488" s="5" t="s">
        <v>1675</v>
      </c>
      <c r="E488" s="12">
        <v>610</v>
      </c>
      <c r="F488" s="11" t="s">
        <v>2199</v>
      </c>
      <c r="G488" s="12"/>
      <c r="H488" s="12" t="s">
        <v>17</v>
      </c>
      <c r="I488" s="11"/>
      <c r="J488" s="12" t="s">
        <v>1574</v>
      </c>
      <c r="K488" s="12" t="str">
        <f t="shared" si="30"/>
        <v>Closed</v>
      </c>
      <c r="L488" s="13"/>
      <c r="M488" s="12"/>
      <c r="N488" s="12"/>
      <c r="O488" s="12"/>
      <c r="P488" s="12" t="s">
        <v>3790</v>
      </c>
      <c r="Q488" s="12"/>
      <c r="R488" s="12"/>
      <c r="S488" s="12"/>
      <c r="T488" s="12"/>
      <c r="U488" s="12" t="str">
        <f t="shared" si="31"/>
        <v>NFF</v>
      </c>
      <c r="V488" s="12" t="str">
        <f t="shared" si="28"/>
        <v>FATHI Charafeddine</v>
      </c>
      <c r="W488" s="13"/>
    </row>
    <row r="489" spans="1:23" ht="14.4" customHeight="1" x14ac:dyDescent="0.3">
      <c r="A489" s="28">
        <v>44549</v>
      </c>
      <c r="B489" s="12" t="s">
        <v>2200</v>
      </c>
      <c r="C489" s="12" t="s">
        <v>1823</v>
      </c>
      <c r="D489" s="5" t="s">
        <v>1675</v>
      </c>
      <c r="E489" s="12">
        <v>403</v>
      </c>
      <c r="F489" s="11" t="s">
        <v>2201</v>
      </c>
      <c r="G489" s="12"/>
      <c r="H489" s="12" t="s">
        <v>19</v>
      </c>
      <c r="I489" s="11" t="s">
        <v>2202</v>
      </c>
      <c r="J489" s="12" t="s">
        <v>1574</v>
      </c>
      <c r="K489" s="12" t="str">
        <f t="shared" si="30"/>
        <v>Closed</v>
      </c>
      <c r="L489" s="13">
        <v>44549</v>
      </c>
      <c r="M489" s="12"/>
      <c r="N489" s="12"/>
      <c r="O489" s="12"/>
      <c r="P489" s="12" t="s">
        <v>3790</v>
      </c>
      <c r="Q489" s="12"/>
      <c r="R489" s="12"/>
      <c r="S489" s="12"/>
      <c r="T489" s="12"/>
      <c r="U489" s="12" t="str">
        <f t="shared" si="31"/>
        <v>NFF</v>
      </c>
      <c r="V489" s="12" t="str">
        <f t="shared" si="28"/>
        <v>DAOUDI Mohamed</v>
      </c>
      <c r="W489" s="13">
        <f t="shared" si="29"/>
        <v>44549</v>
      </c>
    </row>
    <row r="490" spans="1:23" ht="14.4" customHeight="1" x14ac:dyDescent="0.3">
      <c r="A490" s="28">
        <v>44550</v>
      </c>
      <c r="B490" s="12" t="s">
        <v>2203</v>
      </c>
      <c r="C490" s="12" t="s">
        <v>1703</v>
      </c>
      <c r="D490" s="5" t="s">
        <v>1675</v>
      </c>
      <c r="E490" s="12">
        <v>608</v>
      </c>
      <c r="F490" s="11" t="s">
        <v>2204</v>
      </c>
      <c r="G490" s="12"/>
      <c r="H490" s="12" t="s">
        <v>11</v>
      </c>
      <c r="I490" s="14" t="s">
        <v>4277</v>
      </c>
      <c r="J490" s="12" t="s">
        <v>1545</v>
      </c>
      <c r="K490" s="12" t="str">
        <f t="shared" si="30"/>
        <v>Closed</v>
      </c>
      <c r="L490" s="13">
        <v>44551</v>
      </c>
      <c r="M490" s="12"/>
      <c r="N490" s="12"/>
      <c r="O490" s="12"/>
      <c r="P490" s="12" t="s">
        <v>3790</v>
      </c>
      <c r="Q490" s="12"/>
      <c r="R490" s="12"/>
      <c r="S490" s="12"/>
      <c r="T490" s="13" t="s">
        <v>1547</v>
      </c>
      <c r="U490" s="12" t="str">
        <f t="shared" si="31"/>
        <v>Corrected</v>
      </c>
      <c r="V490" s="12" t="str">
        <f t="shared" si="28"/>
        <v>FIRDUS Ahmad</v>
      </c>
      <c r="W490" s="13">
        <f t="shared" si="29"/>
        <v>44551</v>
      </c>
    </row>
    <row r="491" spans="1:23" ht="14.4" customHeight="1" x14ac:dyDescent="0.3">
      <c r="A491" s="28">
        <v>44550</v>
      </c>
      <c r="B491" s="12" t="s">
        <v>2205</v>
      </c>
      <c r="C491" s="12" t="s">
        <v>1542</v>
      </c>
      <c r="D491" s="5" t="s">
        <v>2206</v>
      </c>
      <c r="E491" s="12">
        <v>412</v>
      </c>
      <c r="F491" s="11" t="s">
        <v>2207</v>
      </c>
      <c r="G491" s="12"/>
      <c r="H491" s="12" t="s">
        <v>9</v>
      </c>
      <c r="I491" s="11" t="s">
        <v>2208</v>
      </c>
      <c r="J491" s="12" t="s">
        <v>1545</v>
      </c>
      <c r="K491" s="12" t="str">
        <f t="shared" si="30"/>
        <v>Closed</v>
      </c>
      <c r="L491" s="13">
        <v>44553</v>
      </c>
      <c r="M491" s="12"/>
      <c r="N491" s="12"/>
      <c r="O491" s="12"/>
      <c r="P491" s="12" t="s">
        <v>3790</v>
      </c>
      <c r="Q491" s="12"/>
      <c r="R491" s="12"/>
      <c r="S491" s="12"/>
      <c r="T491" s="12"/>
      <c r="U491" s="12" t="str">
        <f t="shared" si="31"/>
        <v>Corrected</v>
      </c>
      <c r="V491" s="12" t="str">
        <f t="shared" si="28"/>
        <v>KHAN Jahan</v>
      </c>
      <c r="W491" s="13">
        <f t="shared" si="29"/>
        <v>44553</v>
      </c>
    </row>
    <row r="492" spans="1:23" ht="14.4" customHeight="1" x14ac:dyDescent="0.3">
      <c r="A492" s="28">
        <v>44550</v>
      </c>
      <c r="B492" s="12" t="s">
        <v>2209</v>
      </c>
      <c r="C492" s="12" t="s">
        <v>1542</v>
      </c>
      <c r="D492" s="5" t="s">
        <v>2210</v>
      </c>
      <c r="E492" s="12">
        <v>603</v>
      </c>
      <c r="F492" s="11" t="s">
        <v>2211</v>
      </c>
      <c r="G492" s="12"/>
      <c r="H492" s="12" t="s">
        <v>14</v>
      </c>
      <c r="I492" s="11"/>
      <c r="J492" s="12" t="s">
        <v>1574</v>
      </c>
      <c r="K492" s="12" t="str">
        <f t="shared" si="30"/>
        <v>Closed</v>
      </c>
      <c r="L492" s="13">
        <v>44636</v>
      </c>
      <c r="M492" s="12"/>
      <c r="N492" s="12"/>
      <c r="O492" s="12"/>
      <c r="P492" s="12" t="s">
        <v>3790</v>
      </c>
      <c r="Q492" s="12"/>
      <c r="R492" s="12"/>
      <c r="S492" s="12"/>
      <c r="T492" s="13" t="s">
        <v>1547</v>
      </c>
      <c r="U492" s="12" t="str">
        <f t="shared" si="31"/>
        <v>NFF</v>
      </c>
      <c r="V492" s="12" t="str">
        <f t="shared" si="28"/>
        <v>GUAN Jialin</v>
      </c>
      <c r="W492" s="13">
        <f t="shared" si="29"/>
        <v>44636</v>
      </c>
    </row>
    <row r="493" spans="1:23" ht="14.4" customHeight="1" x14ac:dyDescent="0.3">
      <c r="A493" s="28">
        <v>44550</v>
      </c>
      <c r="B493" s="12" t="s">
        <v>2212</v>
      </c>
      <c r="C493" s="12" t="s">
        <v>1542</v>
      </c>
      <c r="D493" s="5" t="s">
        <v>2210</v>
      </c>
      <c r="E493" s="12">
        <v>603</v>
      </c>
      <c r="F493" s="14" t="s">
        <v>4278</v>
      </c>
      <c r="G493" s="12"/>
      <c r="H493" s="12" t="s">
        <v>9</v>
      </c>
      <c r="I493" s="14" t="s">
        <v>2213</v>
      </c>
      <c r="J493" s="12" t="s">
        <v>1545</v>
      </c>
      <c r="K493" s="12" t="str">
        <f t="shared" si="30"/>
        <v>Closed</v>
      </c>
      <c r="L493" s="13">
        <v>44553</v>
      </c>
      <c r="M493" s="12"/>
      <c r="N493" s="12"/>
      <c r="O493" s="12"/>
      <c r="P493" s="12" t="s">
        <v>3790</v>
      </c>
      <c r="Q493" s="12"/>
      <c r="R493" s="12" t="s">
        <v>1545</v>
      </c>
      <c r="S493" s="12" t="s">
        <v>15</v>
      </c>
      <c r="T493" s="13">
        <v>44600</v>
      </c>
      <c r="U493" s="12" t="str">
        <f t="shared" si="31"/>
        <v>Corrected</v>
      </c>
      <c r="V493" s="12" t="str">
        <f t="shared" si="28"/>
        <v>KHAN Jahan</v>
      </c>
      <c r="W493" s="13">
        <f t="shared" si="29"/>
        <v>44553</v>
      </c>
    </row>
    <row r="494" spans="1:23" ht="43.2" customHeight="1" x14ac:dyDescent="0.3">
      <c r="A494" s="28">
        <v>44550</v>
      </c>
      <c r="B494" s="12" t="s">
        <v>2214</v>
      </c>
      <c r="C494" s="12" t="s">
        <v>1542</v>
      </c>
      <c r="D494" s="5" t="s">
        <v>2210</v>
      </c>
      <c r="E494" s="12">
        <v>608</v>
      </c>
      <c r="F494" s="14" t="s">
        <v>4279</v>
      </c>
      <c r="G494" s="12"/>
      <c r="H494" s="12" t="s">
        <v>9</v>
      </c>
      <c r="I494" s="11" t="s">
        <v>2215</v>
      </c>
      <c r="J494" s="12" t="s">
        <v>1545</v>
      </c>
      <c r="K494" s="12" t="str">
        <f t="shared" si="30"/>
        <v>Closed</v>
      </c>
      <c r="L494" s="13">
        <v>44559</v>
      </c>
      <c r="M494" s="12"/>
      <c r="N494" s="12"/>
      <c r="O494" s="12"/>
      <c r="P494" s="12" t="s">
        <v>3790</v>
      </c>
      <c r="Q494" s="12"/>
      <c r="R494" s="12"/>
      <c r="S494" s="12"/>
      <c r="T494" s="12"/>
      <c r="U494" s="12" t="str">
        <f t="shared" si="31"/>
        <v>Corrected</v>
      </c>
      <c r="V494" s="12" t="str">
        <f t="shared" si="28"/>
        <v>KHAN Jahan</v>
      </c>
      <c r="W494" s="13">
        <f t="shared" si="29"/>
        <v>44559</v>
      </c>
    </row>
    <row r="495" spans="1:23" x14ac:dyDescent="0.3">
      <c r="A495" s="28">
        <v>44550</v>
      </c>
      <c r="B495" s="12" t="s">
        <v>2216</v>
      </c>
      <c r="C495" s="12" t="s">
        <v>1542</v>
      </c>
      <c r="D495" s="5" t="s">
        <v>2210</v>
      </c>
      <c r="E495" s="12">
        <v>608</v>
      </c>
      <c r="F495" s="11" t="s">
        <v>2217</v>
      </c>
      <c r="G495" s="12" t="s">
        <v>7</v>
      </c>
      <c r="H495" s="12" t="s">
        <v>14</v>
      </c>
      <c r="I495" s="11" t="s">
        <v>2218</v>
      </c>
      <c r="J495" s="12" t="s">
        <v>1574</v>
      </c>
      <c r="K495" s="12" t="str">
        <f t="shared" si="30"/>
        <v>Closed</v>
      </c>
      <c r="L495" s="13">
        <v>44580</v>
      </c>
      <c r="M495" s="12"/>
      <c r="N495" s="12"/>
      <c r="O495" s="12"/>
      <c r="P495" s="12" t="s">
        <v>3790</v>
      </c>
      <c r="Q495" s="12"/>
      <c r="R495" s="12"/>
      <c r="S495" s="12"/>
      <c r="T495" s="12"/>
      <c r="U495" s="12" t="str">
        <f t="shared" si="31"/>
        <v>NFF</v>
      </c>
      <c r="V495" s="12" t="str">
        <f t="shared" si="28"/>
        <v>GUAN Jialin</v>
      </c>
      <c r="W495" s="13">
        <f t="shared" si="29"/>
        <v>44580</v>
      </c>
    </row>
    <row r="496" spans="1:23" ht="14.4" customHeight="1" x14ac:dyDescent="0.3">
      <c r="A496" s="28">
        <v>44550</v>
      </c>
      <c r="B496" s="12" t="s">
        <v>2219</v>
      </c>
      <c r="C496" s="12" t="s">
        <v>1542</v>
      </c>
      <c r="D496" s="5" t="s">
        <v>2220</v>
      </c>
      <c r="E496" s="12">
        <v>623</v>
      </c>
      <c r="F496" s="11" t="s">
        <v>2221</v>
      </c>
      <c r="G496" s="12"/>
      <c r="H496" s="12" t="s">
        <v>9</v>
      </c>
      <c r="I496" s="11" t="s">
        <v>2223</v>
      </c>
      <c r="J496" s="12" t="s">
        <v>1545</v>
      </c>
      <c r="K496" s="12" t="str">
        <f t="shared" si="30"/>
        <v>Closed</v>
      </c>
      <c r="L496" s="13">
        <v>44551</v>
      </c>
      <c r="M496" s="12" t="s">
        <v>2222</v>
      </c>
      <c r="N496" s="12"/>
      <c r="O496" s="12"/>
      <c r="P496" s="12" t="s">
        <v>3790</v>
      </c>
      <c r="Q496" s="12"/>
      <c r="R496" s="12"/>
      <c r="S496" s="12"/>
      <c r="T496" s="12"/>
      <c r="U496" s="12" t="str">
        <f t="shared" si="31"/>
        <v>Corrected</v>
      </c>
      <c r="V496" s="12" t="str">
        <f t="shared" si="28"/>
        <v>KHAN Jahan</v>
      </c>
      <c r="W496" s="13">
        <f t="shared" si="29"/>
        <v>44551</v>
      </c>
    </row>
    <row r="497" spans="1:23" ht="14.4" customHeight="1" x14ac:dyDescent="0.3">
      <c r="A497" s="28">
        <v>44550</v>
      </c>
      <c r="B497" s="12" t="s">
        <v>2224</v>
      </c>
      <c r="C497" s="12" t="s">
        <v>1542</v>
      </c>
      <c r="D497" s="5" t="s">
        <v>2220</v>
      </c>
      <c r="E497" s="12">
        <v>623</v>
      </c>
      <c r="F497" s="11" t="s">
        <v>2225</v>
      </c>
      <c r="G497" s="12"/>
      <c r="H497" s="12" t="s">
        <v>14</v>
      </c>
      <c r="I497" s="11" t="s">
        <v>2226</v>
      </c>
      <c r="J497" s="12" t="s">
        <v>1545</v>
      </c>
      <c r="K497" s="12" t="str">
        <f t="shared" si="30"/>
        <v>Closed</v>
      </c>
      <c r="L497" s="13">
        <v>44550</v>
      </c>
      <c r="M497" s="12"/>
      <c r="N497" s="12"/>
      <c r="O497" s="12"/>
      <c r="P497" s="12" t="s">
        <v>3790</v>
      </c>
      <c r="Q497" s="12"/>
      <c r="R497" s="12"/>
      <c r="S497" s="12"/>
      <c r="T497" s="12"/>
      <c r="U497" s="12" t="str">
        <f t="shared" si="31"/>
        <v>Corrected</v>
      </c>
      <c r="V497" s="12" t="str">
        <f t="shared" si="28"/>
        <v>GUAN Jialin</v>
      </c>
      <c r="W497" s="13">
        <f t="shared" si="29"/>
        <v>44550</v>
      </c>
    </row>
    <row r="498" spans="1:23" x14ac:dyDescent="0.3">
      <c r="A498" s="28">
        <v>44550</v>
      </c>
      <c r="B498" s="12" t="s">
        <v>2227</v>
      </c>
      <c r="C498" s="12" t="s">
        <v>1823</v>
      </c>
      <c r="D498" s="5" t="s">
        <v>1675</v>
      </c>
      <c r="E498" s="12">
        <v>412</v>
      </c>
      <c r="F498" s="11" t="s">
        <v>319</v>
      </c>
      <c r="G498" s="12" t="s">
        <v>7</v>
      </c>
      <c r="H498" s="12" t="s">
        <v>14</v>
      </c>
      <c r="I498" s="11" t="s">
        <v>2125</v>
      </c>
      <c r="J498" s="12" t="s">
        <v>1545</v>
      </c>
      <c r="K498" s="12" t="str">
        <f t="shared" si="30"/>
        <v>Closed</v>
      </c>
      <c r="L498" s="13">
        <v>44588</v>
      </c>
      <c r="M498" s="12" t="s">
        <v>317</v>
      </c>
      <c r="N498" s="12" t="s">
        <v>4427</v>
      </c>
      <c r="O498" s="12" t="s">
        <v>3411</v>
      </c>
      <c r="P498" s="12" t="s">
        <v>3790</v>
      </c>
      <c r="Q498" s="12"/>
      <c r="R498" s="12"/>
      <c r="S498" s="12"/>
      <c r="T498" s="12"/>
      <c r="U498" s="12" t="str">
        <f t="shared" si="31"/>
        <v>Corrected</v>
      </c>
      <c r="V498" s="12" t="str">
        <f t="shared" si="28"/>
        <v>GUAN Jialin</v>
      </c>
      <c r="W498" s="13">
        <f t="shared" si="29"/>
        <v>44588</v>
      </c>
    </row>
    <row r="499" spans="1:23" ht="14.4" customHeight="1" x14ac:dyDescent="0.3">
      <c r="A499" s="28">
        <v>44550</v>
      </c>
      <c r="B499" s="12" t="s">
        <v>2228</v>
      </c>
      <c r="C499" s="12" t="s">
        <v>1542</v>
      </c>
      <c r="D499" s="5" t="s">
        <v>2229</v>
      </c>
      <c r="E499" s="12">
        <v>411</v>
      </c>
      <c r="F499" s="11" t="s">
        <v>2230</v>
      </c>
      <c r="G499" s="12" t="s">
        <v>7</v>
      </c>
      <c r="H499" s="12" t="s">
        <v>9</v>
      </c>
      <c r="I499" s="11"/>
      <c r="J499" s="12" t="s">
        <v>1545</v>
      </c>
      <c r="K499" s="12" t="str">
        <f t="shared" si="30"/>
        <v>Closed</v>
      </c>
      <c r="L499" s="13">
        <v>44551</v>
      </c>
      <c r="M499" s="12" t="s">
        <v>284</v>
      </c>
      <c r="N499" s="12"/>
      <c r="O499" s="12"/>
      <c r="P499" s="12" t="s">
        <v>3790</v>
      </c>
      <c r="Q499" s="12"/>
      <c r="R499" s="12"/>
      <c r="S499" s="12"/>
      <c r="T499" s="12"/>
      <c r="U499" s="12" t="str">
        <f t="shared" si="31"/>
        <v>Corrected</v>
      </c>
      <c r="V499" s="12" t="str">
        <f t="shared" si="28"/>
        <v>KHAN Jahan</v>
      </c>
      <c r="W499" s="13">
        <f t="shared" si="29"/>
        <v>44551</v>
      </c>
    </row>
    <row r="500" spans="1:23" ht="14.4" customHeight="1" x14ac:dyDescent="0.3">
      <c r="A500" s="28">
        <v>44550</v>
      </c>
      <c r="B500" s="12" t="s">
        <v>2231</v>
      </c>
      <c r="C500" s="12" t="s">
        <v>1542</v>
      </c>
      <c r="D500" s="5" t="s">
        <v>2232</v>
      </c>
      <c r="E500" s="12">
        <v>609</v>
      </c>
      <c r="F500" s="14" t="s">
        <v>4280</v>
      </c>
      <c r="G500" s="12" t="s">
        <v>7</v>
      </c>
      <c r="H500" s="12" t="s">
        <v>9</v>
      </c>
      <c r="I500" s="11" t="s">
        <v>4389</v>
      </c>
      <c r="J500" s="12" t="s">
        <v>1609</v>
      </c>
      <c r="K500" s="12" t="str">
        <f t="shared" si="30"/>
        <v>Open</v>
      </c>
      <c r="L500" s="13"/>
      <c r="M500" s="12" t="s">
        <v>1330</v>
      </c>
      <c r="N500" s="12"/>
      <c r="O500" s="12"/>
      <c r="P500" s="12" t="s">
        <v>3790</v>
      </c>
      <c r="Q500" s="12"/>
      <c r="R500" s="12" t="s">
        <v>5</v>
      </c>
      <c r="S500" s="12" t="s">
        <v>3</v>
      </c>
      <c r="T500" s="12"/>
      <c r="U500" s="12" t="str">
        <f t="shared" si="31"/>
        <v>No Material</v>
      </c>
      <c r="V500" s="12" t="str">
        <f t="shared" si="28"/>
        <v>SUKIMAN Zamhuri</v>
      </c>
      <c r="W500" s="13" t="str">
        <f t="shared" si="29"/>
        <v/>
      </c>
    </row>
    <row r="501" spans="1:23" ht="14.4" customHeight="1" x14ac:dyDescent="0.3">
      <c r="A501" s="28">
        <v>44550</v>
      </c>
      <c r="B501" s="12" t="s">
        <v>2233</v>
      </c>
      <c r="C501" s="12" t="s">
        <v>1542</v>
      </c>
      <c r="D501" s="5" t="s">
        <v>2232</v>
      </c>
      <c r="E501" s="12">
        <v>609</v>
      </c>
      <c r="F501" s="11" t="s">
        <v>2234</v>
      </c>
      <c r="G501" s="12" t="s">
        <v>7</v>
      </c>
      <c r="H501" s="12" t="s">
        <v>9</v>
      </c>
      <c r="I501" s="14" t="s">
        <v>4390</v>
      </c>
      <c r="J501" s="12" t="s">
        <v>1609</v>
      </c>
      <c r="K501" s="12" t="str">
        <f t="shared" si="30"/>
        <v>Open</v>
      </c>
      <c r="L501" s="13"/>
      <c r="M501" s="12" t="s">
        <v>509</v>
      </c>
      <c r="N501" s="12"/>
      <c r="O501" s="12"/>
      <c r="P501" s="12" t="s">
        <v>3790</v>
      </c>
      <c r="Q501" s="12"/>
      <c r="R501" s="12" t="s">
        <v>5</v>
      </c>
      <c r="S501" s="12" t="s">
        <v>3</v>
      </c>
      <c r="T501" s="12"/>
      <c r="U501" s="12" t="str">
        <f t="shared" si="31"/>
        <v>No Material</v>
      </c>
      <c r="V501" s="12" t="str">
        <f t="shared" si="28"/>
        <v>SUKIMAN Zamhuri</v>
      </c>
      <c r="W501" s="13" t="str">
        <f t="shared" si="29"/>
        <v/>
      </c>
    </row>
    <row r="502" spans="1:23" ht="14.4" customHeight="1" x14ac:dyDescent="0.3">
      <c r="A502" s="28">
        <v>44551</v>
      </c>
      <c r="B502" s="12" t="s">
        <v>2235</v>
      </c>
      <c r="C502" s="12" t="s">
        <v>1823</v>
      </c>
      <c r="D502" s="5"/>
      <c r="E502" s="12">
        <v>618</v>
      </c>
      <c r="F502" s="11" t="s">
        <v>2236</v>
      </c>
      <c r="G502" s="12"/>
      <c r="H502" s="12" t="s">
        <v>14</v>
      </c>
      <c r="I502" s="11" t="s">
        <v>1994</v>
      </c>
      <c r="J502" s="12" t="s">
        <v>1545</v>
      </c>
      <c r="K502" s="12" t="str">
        <f t="shared" si="30"/>
        <v>Closed</v>
      </c>
      <c r="L502" s="13">
        <v>44560</v>
      </c>
      <c r="M502" s="12" t="s">
        <v>2237</v>
      </c>
      <c r="N502" s="12"/>
      <c r="O502" s="12"/>
      <c r="P502" s="12" t="s">
        <v>3790</v>
      </c>
      <c r="Q502" s="12"/>
      <c r="R502" s="12"/>
      <c r="S502" s="12"/>
      <c r="T502" s="13" t="s">
        <v>1547</v>
      </c>
      <c r="U502" s="12" t="str">
        <f t="shared" si="31"/>
        <v>Corrected</v>
      </c>
      <c r="V502" s="12" t="str">
        <f t="shared" si="28"/>
        <v>GUAN Jialin</v>
      </c>
      <c r="W502" s="13">
        <f t="shared" si="29"/>
        <v>44560</v>
      </c>
    </row>
    <row r="503" spans="1:23" ht="14.4" customHeight="1" x14ac:dyDescent="0.3">
      <c r="A503" s="28">
        <v>44551</v>
      </c>
      <c r="B503" s="12" t="s">
        <v>2238</v>
      </c>
      <c r="C503" s="12" t="s">
        <v>1542</v>
      </c>
      <c r="D503" s="5" t="s">
        <v>2239</v>
      </c>
      <c r="E503" s="12">
        <v>605</v>
      </c>
      <c r="F503" s="14" t="s">
        <v>4281</v>
      </c>
      <c r="G503" s="12"/>
      <c r="H503" s="12" t="s">
        <v>9</v>
      </c>
      <c r="I503" s="11" t="s">
        <v>2213</v>
      </c>
      <c r="J503" s="12" t="s">
        <v>1545</v>
      </c>
      <c r="K503" s="12" t="str">
        <f t="shared" si="30"/>
        <v>Closed</v>
      </c>
      <c r="L503" s="13">
        <v>44553</v>
      </c>
      <c r="M503" s="12"/>
      <c r="N503" s="12"/>
      <c r="O503" s="12"/>
      <c r="P503" s="12" t="s">
        <v>3790</v>
      </c>
      <c r="Q503" s="12"/>
      <c r="R503" s="12"/>
      <c r="S503" s="12"/>
      <c r="T503" s="12"/>
      <c r="U503" s="12" t="str">
        <f t="shared" si="31"/>
        <v>Corrected</v>
      </c>
      <c r="V503" s="12" t="str">
        <f t="shared" si="28"/>
        <v>KHAN Jahan</v>
      </c>
      <c r="W503" s="13">
        <f t="shared" si="29"/>
        <v>44553</v>
      </c>
    </row>
    <row r="504" spans="1:23" ht="14.4" customHeight="1" x14ac:dyDescent="0.3">
      <c r="A504" s="28">
        <v>44551</v>
      </c>
      <c r="B504" s="12" t="s">
        <v>2240</v>
      </c>
      <c r="C504" s="12" t="s">
        <v>1542</v>
      </c>
      <c r="D504" s="5" t="s">
        <v>2241</v>
      </c>
      <c r="E504" s="12">
        <v>606</v>
      </c>
      <c r="F504" s="11" t="s">
        <v>2242</v>
      </c>
      <c r="G504" s="12"/>
      <c r="H504" s="12" t="s">
        <v>14</v>
      </c>
      <c r="I504" s="11" t="s">
        <v>1994</v>
      </c>
      <c r="J504" s="12" t="s">
        <v>1545</v>
      </c>
      <c r="K504" s="12" t="str">
        <f t="shared" si="30"/>
        <v>Closed</v>
      </c>
      <c r="L504" s="13">
        <v>44560</v>
      </c>
      <c r="M504" s="12" t="s">
        <v>1811</v>
      </c>
      <c r="N504" s="12"/>
      <c r="O504" s="12"/>
      <c r="P504" s="12" t="s">
        <v>3790</v>
      </c>
      <c r="Q504" s="12"/>
      <c r="R504" s="12"/>
      <c r="S504" s="12"/>
      <c r="T504" s="12"/>
      <c r="U504" s="12" t="str">
        <f t="shared" si="31"/>
        <v>Corrected</v>
      </c>
      <c r="V504" s="12" t="str">
        <f t="shared" si="28"/>
        <v>GUAN Jialin</v>
      </c>
      <c r="W504" s="13">
        <f t="shared" si="29"/>
        <v>44560</v>
      </c>
    </row>
    <row r="505" spans="1:23" ht="14.4" customHeight="1" x14ac:dyDescent="0.3">
      <c r="A505" s="28">
        <v>44551</v>
      </c>
      <c r="B505" s="12" t="s">
        <v>2243</v>
      </c>
      <c r="C505" s="12" t="s">
        <v>1542</v>
      </c>
      <c r="D505" s="5" t="s">
        <v>2244</v>
      </c>
      <c r="E505" s="12">
        <v>415</v>
      </c>
      <c r="F505" s="14" t="s">
        <v>4282</v>
      </c>
      <c r="G505" s="12" t="s">
        <v>7</v>
      </c>
      <c r="H505" s="12" t="s">
        <v>9</v>
      </c>
      <c r="I505" s="11" t="s">
        <v>2245</v>
      </c>
      <c r="J505" s="12" t="s">
        <v>1609</v>
      </c>
      <c r="K505" s="12" t="str">
        <f t="shared" si="30"/>
        <v>Open</v>
      </c>
      <c r="L505" s="13"/>
      <c r="M505" s="12" t="s">
        <v>1326</v>
      </c>
      <c r="N505" s="12"/>
      <c r="O505" s="12"/>
      <c r="P505" s="12" t="s">
        <v>3790</v>
      </c>
      <c r="Q505" s="12"/>
      <c r="R505" s="12" t="s">
        <v>5</v>
      </c>
      <c r="S505" s="12" t="s">
        <v>3</v>
      </c>
      <c r="T505" s="12"/>
      <c r="U505" s="12" t="str">
        <f t="shared" si="31"/>
        <v>No Material</v>
      </c>
      <c r="V505" s="12" t="str">
        <f t="shared" si="28"/>
        <v>SUKIMAN Zamhuri</v>
      </c>
      <c r="W505" s="13" t="str">
        <f t="shared" si="29"/>
        <v/>
      </c>
    </row>
    <row r="506" spans="1:23" ht="14.4" customHeight="1" x14ac:dyDescent="0.3">
      <c r="A506" s="28">
        <v>44551</v>
      </c>
      <c r="B506" s="12" t="s">
        <v>2246</v>
      </c>
      <c r="C506" s="12" t="s">
        <v>1542</v>
      </c>
      <c r="D506" s="5" t="s">
        <v>2247</v>
      </c>
      <c r="E506" s="12">
        <v>604</v>
      </c>
      <c r="F506" s="11" t="s">
        <v>2248</v>
      </c>
      <c r="G506" s="12" t="s">
        <v>4</v>
      </c>
      <c r="H506" s="12" t="s">
        <v>19</v>
      </c>
      <c r="I506" s="14" t="s">
        <v>4283</v>
      </c>
      <c r="J506" s="12" t="s">
        <v>1574</v>
      </c>
      <c r="K506" s="12" t="str">
        <f t="shared" si="30"/>
        <v>Closed</v>
      </c>
      <c r="L506" s="13">
        <v>44588</v>
      </c>
      <c r="M506" s="12"/>
      <c r="N506" s="12"/>
      <c r="O506" s="12"/>
      <c r="P506" s="12" t="s">
        <v>3790</v>
      </c>
      <c r="Q506" s="12"/>
      <c r="R506" s="12"/>
      <c r="S506" s="12"/>
      <c r="T506" s="12"/>
      <c r="U506" s="12" t="str">
        <f t="shared" si="31"/>
        <v>NFF</v>
      </c>
      <c r="V506" s="12" t="str">
        <f t="shared" si="28"/>
        <v>DAOUDI Mohamed</v>
      </c>
      <c r="W506" s="13">
        <f t="shared" si="29"/>
        <v>44588</v>
      </c>
    </row>
    <row r="507" spans="1:23" ht="43.2" customHeight="1" x14ac:dyDescent="0.3">
      <c r="A507" s="28">
        <v>44551</v>
      </c>
      <c r="B507" s="12" t="s">
        <v>2249</v>
      </c>
      <c r="C507" s="12" t="s">
        <v>1542</v>
      </c>
      <c r="D507" s="5" t="s">
        <v>2239</v>
      </c>
      <c r="E507" s="12">
        <v>605</v>
      </c>
      <c r="F507" s="11" t="s">
        <v>2250</v>
      </c>
      <c r="G507" s="12" t="s">
        <v>7</v>
      </c>
      <c r="H507" s="12" t="s">
        <v>19</v>
      </c>
      <c r="I507" s="11" t="s">
        <v>2251</v>
      </c>
      <c r="J507" s="12" t="s">
        <v>1609</v>
      </c>
      <c r="K507" s="12" t="str">
        <f t="shared" si="30"/>
        <v>Open</v>
      </c>
      <c r="L507" s="13"/>
      <c r="M507" s="12"/>
      <c r="N507" s="12"/>
      <c r="O507" s="12"/>
      <c r="P507" s="12" t="s">
        <v>3790</v>
      </c>
      <c r="Q507" s="12"/>
      <c r="R507" s="12" t="s">
        <v>3566</v>
      </c>
      <c r="S507" s="12" t="s">
        <v>3</v>
      </c>
      <c r="T507" s="12"/>
      <c r="U507" s="12" t="str">
        <f t="shared" si="31"/>
        <v>CM Open</v>
      </c>
      <c r="V507" s="12" t="str">
        <f t="shared" si="28"/>
        <v>SUKIMAN Zamhuri</v>
      </c>
      <c r="W507" s="13" t="str">
        <f t="shared" si="29"/>
        <v/>
      </c>
    </row>
    <row r="508" spans="1:23" ht="14.4" customHeight="1" x14ac:dyDescent="0.3">
      <c r="A508" s="28">
        <v>44551</v>
      </c>
      <c r="B508" s="12" t="s">
        <v>2252</v>
      </c>
      <c r="C508" s="12" t="s">
        <v>1542</v>
      </c>
      <c r="D508" s="5" t="s">
        <v>2241</v>
      </c>
      <c r="E508" s="12">
        <v>606</v>
      </c>
      <c r="F508" s="11" t="s">
        <v>2253</v>
      </c>
      <c r="G508" s="12" t="s">
        <v>7</v>
      </c>
      <c r="H508" s="12" t="s">
        <v>11</v>
      </c>
      <c r="I508" s="14" t="s">
        <v>4284</v>
      </c>
      <c r="J508" s="12" t="s">
        <v>1609</v>
      </c>
      <c r="K508" s="12" t="str">
        <f t="shared" si="30"/>
        <v>Open</v>
      </c>
      <c r="L508" s="13"/>
      <c r="M508" s="12" t="s">
        <v>2254</v>
      </c>
      <c r="N508" s="12"/>
      <c r="O508" s="12"/>
      <c r="P508" s="12" t="s">
        <v>3790</v>
      </c>
      <c r="Q508" s="12"/>
      <c r="R508" s="12" t="s">
        <v>1545</v>
      </c>
      <c r="S508" s="12" t="s">
        <v>15</v>
      </c>
      <c r="T508" s="13">
        <v>44600</v>
      </c>
      <c r="U508" s="12" t="str">
        <f t="shared" si="31"/>
        <v>Corrected</v>
      </c>
      <c r="V508" s="12" t="str">
        <f t="shared" si="28"/>
        <v>Imran Rasheed</v>
      </c>
      <c r="W508" s="13">
        <f t="shared" si="29"/>
        <v>44600</v>
      </c>
    </row>
    <row r="509" spans="1:23" ht="43.2" customHeight="1" x14ac:dyDescent="0.3">
      <c r="A509" s="28">
        <v>44551</v>
      </c>
      <c r="B509" s="12" t="s">
        <v>2255</v>
      </c>
      <c r="C509" s="12" t="s">
        <v>1542</v>
      </c>
      <c r="D509" s="5" t="s">
        <v>2241</v>
      </c>
      <c r="E509" s="12">
        <v>606</v>
      </c>
      <c r="F509" s="11" t="s">
        <v>2248</v>
      </c>
      <c r="G509" s="12" t="s">
        <v>4</v>
      </c>
      <c r="H509" s="12" t="s">
        <v>19</v>
      </c>
      <c r="I509" s="14" t="s">
        <v>4283</v>
      </c>
      <c r="J509" s="12" t="s">
        <v>1574</v>
      </c>
      <c r="K509" s="12" t="str">
        <f t="shared" si="30"/>
        <v>Closed</v>
      </c>
      <c r="L509" s="13">
        <v>44588</v>
      </c>
      <c r="M509" s="12"/>
      <c r="N509" s="12"/>
      <c r="O509" s="12"/>
      <c r="P509" s="12" t="s">
        <v>3790</v>
      </c>
      <c r="Q509" s="12"/>
      <c r="R509" s="12"/>
      <c r="S509" s="12"/>
      <c r="T509" s="12"/>
      <c r="U509" s="12" t="str">
        <f t="shared" si="31"/>
        <v>NFF</v>
      </c>
      <c r="V509" s="12" t="str">
        <f t="shared" si="28"/>
        <v>DAOUDI Mohamed</v>
      </c>
      <c r="W509" s="13">
        <f t="shared" si="29"/>
        <v>44588</v>
      </c>
    </row>
    <row r="510" spans="1:23" ht="43.2" customHeight="1" x14ac:dyDescent="0.3">
      <c r="A510" s="28">
        <v>44552</v>
      </c>
      <c r="B510" s="12" t="s">
        <v>2256</v>
      </c>
      <c r="C510" s="12" t="s">
        <v>1542</v>
      </c>
      <c r="D510" s="5" t="s">
        <v>2257</v>
      </c>
      <c r="E510" s="12">
        <v>403</v>
      </c>
      <c r="F510" s="11" t="s">
        <v>2258</v>
      </c>
      <c r="G510" s="12"/>
      <c r="H510" s="12" t="s">
        <v>9</v>
      </c>
      <c r="I510" s="11" t="s">
        <v>2259</v>
      </c>
      <c r="J510" s="12" t="s">
        <v>1545</v>
      </c>
      <c r="K510" s="12" t="str">
        <f t="shared" si="30"/>
        <v>Closed</v>
      </c>
      <c r="L510" s="13">
        <v>44551</v>
      </c>
      <c r="M510" s="12"/>
      <c r="N510" s="12"/>
      <c r="O510" s="12"/>
      <c r="P510" s="12" t="s">
        <v>3790</v>
      </c>
      <c r="Q510" s="12"/>
      <c r="R510" s="12"/>
      <c r="S510" s="12"/>
      <c r="T510" s="12"/>
      <c r="U510" s="12" t="str">
        <f t="shared" si="31"/>
        <v>Corrected</v>
      </c>
      <c r="V510" s="12" t="str">
        <f t="shared" si="28"/>
        <v>KHAN Jahan</v>
      </c>
      <c r="W510" s="13">
        <f t="shared" si="29"/>
        <v>44551</v>
      </c>
    </row>
    <row r="511" spans="1:23" ht="43.2" customHeight="1" x14ac:dyDescent="0.3">
      <c r="A511" s="28">
        <v>44552</v>
      </c>
      <c r="B511" s="12" t="s">
        <v>2260</v>
      </c>
      <c r="C511" s="12" t="s">
        <v>1542</v>
      </c>
      <c r="D511" s="5" t="s">
        <v>2261</v>
      </c>
      <c r="E511" s="12">
        <v>407</v>
      </c>
      <c r="F511" s="11" t="s">
        <v>2262</v>
      </c>
      <c r="G511" s="12"/>
      <c r="H511" s="12" t="s">
        <v>11</v>
      </c>
      <c r="I511" s="11" t="s">
        <v>2263</v>
      </c>
      <c r="J511" s="12" t="s">
        <v>1574</v>
      </c>
      <c r="K511" s="12" t="str">
        <f t="shared" si="30"/>
        <v>Closed</v>
      </c>
      <c r="L511" s="13">
        <v>44566</v>
      </c>
      <c r="M511" s="12"/>
      <c r="N511" s="12"/>
      <c r="O511" s="12"/>
      <c r="P511" s="12" t="s">
        <v>3790</v>
      </c>
      <c r="Q511" s="12"/>
      <c r="R511" s="12"/>
      <c r="S511" s="12"/>
      <c r="T511" s="12"/>
      <c r="U511" s="12" t="str">
        <f t="shared" si="31"/>
        <v>NFF</v>
      </c>
      <c r="V511" s="12" t="str">
        <f t="shared" ref="V511:V574" si="32">IF(AND(J511="Corrective Action Required",R511="Corrected"),S511, IF(AND(J511="Corrective Action Required",R511&lt;&gt;"Corrected"),S511,H511))</f>
        <v>FIRDUS Ahmad</v>
      </c>
      <c r="W511" s="13">
        <f t="shared" ref="W511:W574" si="33">IF(OR(J511="Corrected",J511="NFF"),L511, IF(AND(J511="Corrective Action Required",R511="Corrected"),T511,""))</f>
        <v>44566</v>
      </c>
    </row>
    <row r="512" spans="1:23" ht="14.4" customHeight="1" x14ac:dyDescent="0.3">
      <c r="A512" s="28">
        <v>44552</v>
      </c>
      <c r="B512" s="12" t="s">
        <v>2264</v>
      </c>
      <c r="C512" s="12" t="s">
        <v>1542</v>
      </c>
      <c r="D512" s="5" t="s">
        <v>2261</v>
      </c>
      <c r="E512" s="12">
        <v>407</v>
      </c>
      <c r="F512" s="11" t="s">
        <v>2265</v>
      </c>
      <c r="G512" s="12"/>
      <c r="H512" s="12" t="s">
        <v>11</v>
      </c>
      <c r="I512" s="11" t="s">
        <v>2266</v>
      </c>
      <c r="J512" s="12" t="s">
        <v>1545</v>
      </c>
      <c r="K512" s="12" t="str">
        <f t="shared" ref="K512:K575" si="34">IF(J512="Corrected","Closed",IF(J512="NFF","Closed","Open"))</f>
        <v>Closed</v>
      </c>
      <c r="L512" s="13">
        <v>44566</v>
      </c>
      <c r="M512" s="12"/>
      <c r="N512" s="12" t="s">
        <v>4429</v>
      </c>
      <c r="O512" s="12"/>
      <c r="P512" s="12" t="s">
        <v>3790</v>
      </c>
      <c r="Q512" s="12"/>
      <c r="R512" s="12"/>
      <c r="S512" s="12"/>
      <c r="T512" s="13" t="s">
        <v>1547</v>
      </c>
      <c r="U512" s="12" t="str">
        <f t="shared" si="31"/>
        <v>Corrected</v>
      </c>
      <c r="V512" s="12" t="str">
        <f t="shared" si="32"/>
        <v>FIRDUS Ahmad</v>
      </c>
      <c r="W512" s="13">
        <f t="shared" si="33"/>
        <v>44566</v>
      </c>
    </row>
    <row r="513" spans="1:23" ht="43.2" customHeight="1" x14ac:dyDescent="0.3">
      <c r="A513" s="28">
        <v>44552</v>
      </c>
      <c r="B513" s="12" t="s">
        <v>2267</v>
      </c>
      <c r="C513" s="12" t="s">
        <v>1542</v>
      </c>
      <c r="D513" s="5" t="s">
        <v>2261</v>
      </c>
      <c r="E513" s="12">
        <v>407</v>
      </c>
      <c r="F513" s="14" t="s">
        <v>4285</v>
      </c>
      <c r="G513" s="12"/>
      <c r="H513" s="12" t="s">
        <v>9</v>
      </c>
      <c r="I513" s="11" t="s">
        <v>2268</v>
      </c>
      <c r="J513" s="12" t="s">
        <v>1545</v>
      </c>
      <c r="K513" s="12" t="str">
        <f t="shared" si="34"/>
        <v>Closed</v>
      </c>
      <c r="L513" s="13">
        <v>44563</v>
      </c>
      <c r="M513" s="12"/>
      <c r="N513" s="12"/>
      <c r="O513" s="12"/>
      <c r="P513" s="12" t="s">
        <v>3790</v>
      </c>
      <c r="Q513" s="12"/>
      <c r="R513" s="12"/>
      <c r="S513" s="12"/>
      <c r="T513" s="13" t="s">
        <v>1547</v>
      </c>
      <c r="U513" s="12" t="str">
        <f t="shared" si="31"/>
        <v>Corrected</v>
      </c>
      <c r="V513" s="12" t="str">
        <f t="shared" si="32"/>
        <v>KHAN Jahan</v>
      </c>
      <c r="W513" s="13">
        <f t="shared" si="33"/>
        <v>44563</v>
      </c>
    </row>
    <row r="514" spans="1:23" ht="43.2" customHeight="1" x14ac:dyDescent="0.3">
      <c r="A514" s="28">
        <v>44552</v>
      </c>
      <c r="B514" s="12" t="s">
        <v>2269</v>
      </c>
      <c r="C514" s="12" t="s">
        <v>1542</v>
      </c>
      <c r="D514" s="5" t="s">
        <v>2270</v>
      </c>
      <c r="E514" s="12">
        <v>617</v>
      </c>
      <c r="F514" s="11" t="s">
        <v>2271</v>
      </c>
      <c r="G514" s="12"/>
      <c r="H514" s="12" t="s">
        <v>9</v>
      </c>
      <c r="I514" s="11" t="s">
        <v>2272</v>
      </c>
      <c r="J514" s="12" t="s">
        <v>1545</v>
      </c>
      <c r="K514" s="12" t="str">
        <f t="shared" si="34"/>
        <v>Closed</v>
      </c>
      <c r="L514" s="13">
        <v>44553</v>
      </c>
      <c r="M514" s="12"/>
      <c r="N514" s="12"/>
      <c r="O514" s="12"/>
      <c r="P514" s="12" t="s">
        <v>3790</v>
      </c>
      <c r="Q514" s="12"/>
      <c r="R514" s="12"/>
      <c r="S514" s="12"/>
      <c r="T514" s="13" t="s">
        <v>1547</v>
      </c>
      <c r="U514" s="12" t="str">
        <f t="shared" si="31"/>
        <v>Corrected</v>
      </c>
      <c r="V514" s="12" t="str">
        <f t="shared" si="32"/>
        <v>KHAN Jahan</v>
      </c>
      <c r="W514" s="13">
        <f t="shared" si="33"/>
        <v>44553</v>
      </c>
    </row>
    <row r="515" spans="1:23" ht="14.4" customHeight="1" x14ac:dyDescent="0.3">
      <c r="A515" s="28">
        <v>44552</v>
      </c>
      <c r="B515" s="12" t="s">
        <v>2273</v>
      </c>
      <c r="C515" s="12" t="s">
        <v>1542</v>
      </c>
      <c r="D515" s="5" t="s">
        <v>2270</v>
      </c>
      <c r="E515" s="12">
        <v>617</v>
      </c>
      <c r="F515" s="11" t="s">
        <v>2274</v>
      </c>
      <c r="G515" s="12"/>
      <c r="H515" s="12" t="s">
        <v>14</v>
      </c>
      <c r="I515" s="11" t="s">
        <v>2275</v>
      </c>
      <c r="J515" s="12" t="s">
        <v>1545</v>
      </c>
      <c r="K515" s="12" t="str">
        <f t="shared" si="34"/>
        <v>Closed</v>
      </c>
      <c r="L515" s="13">
        <v>44563</v>
      </c>
      <c r="M515" s="12"/>
      <c r="N515" s="12" t="s">
        <v>4428</v>
      </c>
      <c r="O515" s="12"/>
      <c r="P515" s="12" t="s">
        <v>3790</v>
      </c>
      <c r="Q515" s="12"/>
      <c r="R515" s="12"/>
      <c r="S515" s="12"/>
      <c r="T515" s="13" t="s">
        <v>1547</v>
      </c>
      <c r="U515" s="12" t="str">
        <f t="shared" ref="U515:U578" si="35">IF(AND(J515="Corrective Action Required",R515="Corrected"),"Corrected", IF(AND(J515="Corrective Action Required",R515&lt;&gt;"Corrected"),R515,J515))</f>
        <v>Corrected</v>
      </c>
      <c r="V515" s="12" t="str">
        <f t="shared" si="32"/>
        <v>GUAN Jialin</v>
      </c>
      <c r="W515" s="13">
        <f t="shared" si="33"/>
        <v>44563</v>
      </c>
    </row>
    <row r="516" spans="1:23" ht="43.2" customHeight="1" x14ac:dyDescent="0.3">
      <c r="A516" s="28">
        <v>44552</v>
      </c>
      <c r="B516" s="12" t="s">
        <v>2280</v>
      </c>
      <c r="C516" s="12" t="s">
        <v>1542</v>
      </c>
      <c r="D516" s="5" t="s">
        <v>2261</v>
      </c>
      <c r="E516" s="12">
        <v>407</v>
      </c>
      <c r="F516" s="11" t="s">
        <v>2281</v>
      </c>
      <c r="G516" s="12" t="s">
        <v>7</v>
      </c>
      <c r="H516" s="12" t="s">
        <v>11</v>
      </c>
      <c r="I516" s="11"/>
      <c r="J516" s="12" t="s">
        <v>1609</v>
      </c>
      <c r="K516" s="12" t="str">
        <f t="shared" si="34"/>
        <v>Open</v>
      </c>
      <c r="L516" s="13"/>
      <c r="M516" s="12" t="s">
        <v>498</v>
      </c>
      <c r="N516" s="12"/>
      <c r="O516" s="12"/>
      <c r="P516" s="12" t="s">
        <v>3790</v>
      </c>
      <c r="Q516" s="12"/>
      <c r="R516" s="12" t="s">
        <v>1545</v>
      </c>
      <c r="S516" s="12" t="s">
        <v>15</v>
      </c>
      <c r="T516" s="13">
        <v>44643</v>
      </c>
      <c r="U516" s="12" t="str">
        <f t="shared" si="35"/>
        <v>Corrected</v>
      </c>
      <c r="V516" s="12" t="str">
        <f t="shared" si="32"/>
        <v>Imran Rasheed</v>
      </c>
      <c r="W516" s="13">
        <f t="shared" si="33"/>
        <v>44643</v>
      </c>
    </row>
    <row r="517" spans="1:23" ht="14.4" customHeight="1" x14ac:dyDescent="0.3">
      <c r="A517" s="28">
        <v>44552</v>
      </c>
      <c r="B517" s="12" t="s">
        <v>2285</v>
      </c>
      <c r="C517" s="12" t="s">
        <v>1542</v>
      </c>
      <c r="D517" s="5" t="s">
        <v>2257</v>
      </c>
      <c r="E517" s="12">
        <v>403</v>
      </c>
      <c r="F517" s="11" t="s">
        <v>2286</v>
      </c>
      <c r="G517" s="12" t="s">
        <v>4</v>
      </c>
      <c r="H517" s="12" t="s">
        <v>11</v>
      </c>
      <c r="I517" s="11"/>
      <c r="J517" s="12" t="s">
        <v>1574</v>
      </c>
      <c r="K517" s="12" t="str">
        <f t="shared" si="34"/>
        <v>Closed</v>
      </c>
      <c r="L517" s="13">
        <v>44567</v>
      </c>
      <c r="M517" s="12"/>
      <c r="N517" s="12"/>
      <c r="O517" s="12"/>
      <c r="P517" s="12" t="s">
        <v>3790</v>
      </c>
      <c r="Q517" s="12"/>
      <c r="R517" s="12"/>
      <c r="S517" s="12"/>
      <c r="T517" s="12"/>
      <c r="U517" s="12" t="str">
        <f t="shared" si="35"/>
        <v>NFF</v>
      </c>
      <c r="V517" s="12" t="str">
        <f t="shared" si="32"/>
        <v>FIRDUS Ahmad</v>
      </c>
      <c r="W517" s="13">
        <f t="shared" si="33"/>
        <v>44567</v>
      </c>
    </row>
    <row r="518" spans="1:23" ht="14.4" customHeight="1" x14ac:dyDescent="0.3">
      <c r="A518" s="28">
        <v>44553</v>
      </c>
      <c r="B518" s="12" t="s">
        <v>2287</v>
      </c>
      <c r="C518" s="12" t="s">
        <v>1542</v>
      </c>
      <c r="D518" s="5" t="s">
        <v>1675</v>
      </c>
      <c r="E518" s="12">
        <v>410</v>
      </c>
      <c r="F518" s="11" t="s">
        <v>2288</v>
      </c>
      <c r="G518" s="12" t="s">
        <v>7</v>
      </c>
      <c r="H518" s="12" t="s">
        <v>14</v>
      </c>
      <c r="I518" s="11" t="s">
        <v>2125</v>
      </c>
      <c r="J518" s="12" t="s">
        <v>1545</v>
      </c>
      <c r="K518" s="12" t="str">
        <f t="shared" si="34"/>
        <v>Closed</v>
      </c>
      <c r="L518" s="13">
        <v>44588</v>
      </c>
      <c r="M518" s="12" t="s">
        <v>452</v>
      </c>
      <c r="N518" s="12" t="s">
        <v>4427</v>
      </c>
      <c r="O518" s="12" t="s">
        <v>3411</v>
      </c>
      <c r="P518" s="12" t="s">
        <v>3790</v>
      </c>
      <c r="Q518" s="12"/>
      <c r="R518" s="12"/>
      <c r="S518" s="12"/>
      <c r="T518" s="12"/>
      <c r="U518" s="12" t="str">
        <f t="shared" si="35"/>
        <v>Corrected</v>
      </c>
      <c r="V518" s="12" t="str">
        <f t="shared" si="32"/>
        <v>GUAN Jialin</v>
      </c>
      <c r="W518" s="13">
        <f t="shared" si="33"/>
        <v>44588</v>
      </c>
    </row>
    <row r="519" spans="1:23" ht="14.4" customHeight="1" x14ac:dyDescent="0.3">
      <c r="A519" s="28">
        <v>44553</v>
      </c>
      <c r="B519" s="12" t="s">
        <v>2289</v>
      </c>
      <c r="C519" s="12" t="s">
        <v>1690</v>
      </c>
      <c r="D519" s="5" t="s">
        <v>1722</v>
      </c>
      <c r="E519" s="12">
        <v>624</v>
      </c>
      <c r="F519" s="11" t="s">
        <v>2290</v>
      </c>
      <c r="G519" s="12"/>
      <c r="H519" s="12" t="s">
        <v>9</v>
      </c>
      <c r="I519" s="11" t="s">
        <v>2291</v>
      </c>
      <c r="J519" s="12" t="s">
        <v>1574</v>
      </c>
      <c r="K519" s="12" t="str">
        <f t="shared" si="34"/>
        <v>Closed</v>
      </c>
      <c r="L519" s="13">
        <v>44553</v>
      </c>
      <c r="M519" s="12"/>
      <c r="N519" s="12"/>
      <c r="O519" s="12"/>
      <c r="P519" s="12" t="s">
        <v>3790</v>
      </c>
      <c r="Q519" s="12"/>
      <c r="R519" s="12"/>
      <c r="S519" s="12"/>
      <c r="T519" s="12"/>
      <c r="U519" s="12" t="str">
        <f t="shared" si="35"/>
        <v>NFF</v>
      </c>
      <c r="V519" s="12" t="str">
        <f t="shared" si="32"/>
        <v>KHAN Jahan</v>
      </c>
      <c r="W519" s="13">
        <f t="shared" si="33"/>
        <v>44553</v>
      </c>
    </row>
    <row r="520" spans="1:23" ht="14.4" customHeight="1" x14ac:dyDescent="0.3">
      <c r="A520" s="28">
        <v>44556</v>
      </c>
      <c r="B520" s="12" t="s">
        <v>2292</v>
      </c>
      <c r="C520" s="12" t="s">
        <v>1542</v>
      </c>
      <c r="D520" s="5" t="s">
        <v>2293</v>
      </c>
      <c r="E520" s="12">
        <v>612</v>
      </c>
      <c r="F520" s="11" t="s">
        <v>2294</v>
      </c>
      <c r="G520" s="12"/>
      <c r="H520" s="12" t="s">
        <v>9</v>
      </c>
      <c r="I520" s="11" t="s">
        <v>2295</v>
      </c>
      <c r="J520" s="12" t="s">
        <v>1545</v>
      </c>
      <c r="K520" s="12" t="str">
        <f t="shared" si="34"/>
        <v>Closed</v>
      </c>
      <c r="L520" s="13">
        <v>44565</v>
      </c>
      <c r="M520" s="12"/>
      <c r="N520" s="12"/>
      <c r="O520" s="12"/>
      <c r="P520" s="12" t="s">
        <v>3790</v>
      </c>
      <c r="Q520" s="12"/>
      <c r="R520" s="12"/>
      <c r="S520" s="12"/>
      <c r="T520" s="12"/>
      <c r="U520" s="12" t="str">
        <f t="shared" si="35"/>
        <v>Corrected</v>
      </c>
      <c r="V520" s="12" t="str">
        <f t="shared" si="32"/>
        <v>KHAN Jahan</v>
      </c>
      <c r="W520" s="13">
        <f t="shared" si="33"/>
        <v>44565</v>
      </c>
    </row>
    <row r="521" spans="1:23" ht="43.2" customHeight="1" x14ac:dyDescent="0.3">
      <c r="A521" s="28">
        <v>44556</v>
      </c>
      <c r="B521" s="12" t="s">
        <v>2296</v>
      </c>
      <c r="C521" s="12" t="s">
        <v>1542</v>
      </c>
      <c r="D521" s="5" t="s">
        <v>2297</v>
      </c>
      <c r="E521" s="12">
        <v>618</v>
      </c>
      <c r="F521" s="11" t="s">
        <v>2298</v>
      </c>
      <c r="G521" s="12"/>
      <c r="H521" s="12" t="s">
        <v>14</v>
      </c>
      <c r="I521" s="11" t="s">
        <v>1994</v>
      </c>
      <c r="J521" s="12" t="s">
        <v>1545</v>
      </c>
      <c r="K521" s="12" t="str">
        <f t="shared" si="34"/>
        <v>Closed</v>
      </c>
      <c r="L521" s="13">
        <v>44560</v>
      </c>
      <c r="M521" s="12"/>
      <c r="N521" s="12"/>
      <c r="O521" s="12"/>
      <c r="P521" s="12" t="s">
        <v>3790</v>
      </c>
      <c r="Q521" s="12"/>
      <c r="R521" s="12"/>
      <c r="S521" s="12"/>
      <c r="T521" s="12"/>
      <c r="U521" s="12" t="str">
        <f t="shared" si="35"/>
        <v>Corrected</v>
      </c>
      <c r="V521" s="12" t="str">
        <f t="shared" si="32"/>
        <v>GUAN Jialin</v>
      </c>
      <c r="W521" s="13">
        <f t="shared" si="33"/>
        <v>44560</v>
      </c>
    </row>
    <row r="522" spans="1:23" ht="43.2" customHeight="1" x14ac:dyDescent="0.3">
      <c r="A522" s="28">
        <v>44556</v>
      </c>
      <c r="B522" s="12" t="s">
        <v>2299</v>
      </c>
      <c r="C522" s="12" t="s">
        <v>1542</v>
      </c>
      <c r="D522" s="5" t="s">
        <v>2300</v>
      </c>
      <c r="E522" s="12">
        <v>618</v>
      </c>
      <c r="F522" s="11" t="s">
        <v>2301</v>
      </c>
      <c r="G522" s="12"/>
      <c r="H522" s="12" t="s">
        <v>9</v>
      </c>
      <c r="I522" s="11" t="s">
        <v>2268</v>
      </c>
      <c r="J522" s="12" t="s">
        <v>1545</v>
      </c>
      <c r="K522" s="12" t="str">
        <f t="shared" si="34"/>
        <v>Closed</v>
      </c>
      <c r="L522" s="13">
        <v>44563</v>
      </c>
      <c r="M522" s="12"/>
      <c r="N522" s="12"/>
      <c r="O522" s="12"/>
      <c r="P522" s="12" t="s">
        <v>3790</v>
      </c>
      <c r="Q522" s="12"/>
      <c r="R522" s="12"/>
      <c r="S522" s="12"/>
      <c r="T522" s="12"/>
      <c r="U522" s="12" t="str">
        <f t="shared" si="35"/>
        <v>Corrected</v>
      </c>
      <c r="V522" s="12" t="str">
        <f t="shared" si="32"/>
        <v>KHAN Jahan</v>
      </c>
      <c r="W522" s="13">
        <f t="shared" si="33"/>
        <v>44563</v>
      </c>
    </row>
    <row r="523" spans="1:23" x14ac:dyDescent="0.3">
      <c r="A523" s="28">
        <v>44556</v>
      </c>
      <c r="B523" s="12" t="s">
        <v>2302</v>
      </c>
      <c r="C523" s="12" t="s">
        <v>1542</v>
      </c>
      <c r="D523" s="5" t="s">
        <v>2303</v>
      </c>
      <c r="E523" s="12">
        <v>622</v>
      </c>
      <c r="F523" s="11" t="s">
        <v>2301</v>
      </c>
      <c r="G523" s="12"/>
      <c r="H523" s="12" t="s">
        <v>9</v>
      </c>
      <c r="I523" s="11" t="s">
        <v>2268</v>
      </c>
      <c r="J523" s="12" t="s">
        <v>1545</v>
      </c>
      <c r="K523" s="12" t="str">
        <f t="shared" si="34"/>
        <v>Closed</v>
      </c>
      <c r="L523" s="13">
        <v>44563</v>
      </c>
      <c r="M523" s="12"/>
      <c r="N523" s="12"/>
      <c r="O523" s="12"/>
      <c r="P523" s="12" t="s">
        <v>3790</v>
      </c>
      <c r="Q523" s="12"/>
      <c r="R523" s="12"/>
      <c r="S523" s="12"/>
      <c r="T523" s="12"/>
      <c r="U523" s="12" t="str">
        <f t="shared" si="35"/>
        <v>Corrected</v>
      </c>
      <c r="V523" s="12" t="str">
        <f t="shared" si="32"/>
        <v>KHAN Jahan</v>
      </c>
      <c r="W523" s="13">
        <f t="shared" si="33"/>
        <v>44563</v>
      </c>
    </row>
    <row r="524" spans="1:23" ht="14.4" customHeight="1" x14ac:dyDescent="0.3">
      <c r="A524" s="28">
        <v>44556</v>
      </c>
      <c r="B524" s="12" t="s">
        <v>2308</v>
      </c>
      <c r="C524" s="12" t="s">
        <v>1542</v>
      </c>
      <c r="D524" s="5" t="s">
        <v>2309</v>
      </c>
      <c r="E524" s="12">
        <v>402</v>
      </c>
      <c r="F524" s="11" t="s">
        <v>2294</v>
      </c>
      <c r="G524" s="12" t="s">
        <v>7</v>
      </c>
      <c r="H524" s="12" t="s">
        <v>9</v>
      </c>
      <c r="I524" s="11" t="s">
        <v>2310</v>
      </c>
      <c r="J524" s="12" t="s">
        <v>1609</v>
      </c>
      <c r="K524" s="12" t="str">
        <f t="shared" si="34"/>
        <v>Open</v>
      </c>
      <c r="L524" s="13"/>
      <c r="M524" s="12" t="s">
        <v>1327</v>
      </c>
      <c r="N524" s="12"/>
      <c r="O524" s="12"/>
      <c r="P524" s="12" t="s">
        <v>3790</v>
      </c>
      <c r="Q524" s="12"/>
      <c r="R524" s="12" t="s">
        <v>5</v>
      </c>
      <c r="S524" s="12" t="s">
        <v>3</v>
      </c>
      <c r="T524" s="13" t="s">
        <v>1547</v>
      </c>
      <c r="U524" s="12" t="str">
        <f t="shared" si="35"/>
        <v>No Material</v>
      </c>
      <c r="V524" s="12" t="str">
        <f t="shared" si="32"/>
        <v>SUKIMAN Zamhuri</v>
      </c>
      <c r="W524" s="13" t="str">
        <f t="shared" si="33"/>
        <v/>
      </c>
    </row>
    <row r="525" spans="1:23" ht="43.2" customHeight="1" x14ac:dyDescent="0.3">
      <c r="A525" s="28">
        <v>44556</v>
      </c>
      <c r="B525" s="12" t="s">
        <v>2311</v>
      </c>
      <c r="C525" s="12" t="s">
        <v>1542</v>
      </c>
      <c r="D525" s="5" t="s">
        <v>2312</v>
      </c>
      <c r="E525" s="12">
        <v>610</v>
      </c>
      <c r="F525" s="11" t="s">
        <v>2313</v>
      </c>
      <c r="G525" s="12" t="s">
        <v>7</v>
      </c>
      <c r="H525" s="12" t="s">
        <v>9</v>
      </c>
      <c r="I525" s="11" t="s">
        <v>4008</v>
      </c>
      <c r="J525" s="12" t="s">
        <v>1545</v>
      </c>
      <c r="K525" s="12" t="str">
        <f t="shared" si="34"/>
        <v>Closed</v>
      </c>
      <c r="L525" s="13">
        <v>44679</v>
      </c>
      <c r="M525" s="12"/>
      <c r="N525" s="12" t="s">
        <v>4428</v>
      </c>
      <c r="O525" s="12" t="s">
        <v>3789</v>
      </c>
      <c r="P525" s="12" t="s">
        <v>3790</v>
      </c>
      <c r="Q525" s="12"/>
      <c r="R525" s="12"/>
      <c r="S525" s="12"/>
      <c r="T525" s="12"/>
      <c r="U525" s="12" t="str">
        <f t="shared" si="35"/>
        <v>Corrected</v>
      </c>
      <c r="V525" s="12" t="str">
        <f t="shared" si="32"/>
        <v>KHAN Jahan</v>
      </c>
      <c r="W525" s="13">
        <f t="shared" si="33"/>
        <v>44679</v>
      </c>
    </row>
    <row r="526" spans="1:23" x14ac:dyDescent="0.3">
      <c r="A526" s="28">
        <v>44558</v>
      </c>
      <c r="B526" s="12" t="s">
        <v>2320</v>
      </c>
      <c r="C526" s="12" t="s">
        <v>1542</v>
      </c>
      <c r="D526" s="5" t="s">
        <v>2321</v>
      </c>
      <c r="E526" s="12">
        <v>410</v>
      </c>
      <c r="F526" s="11" t="s">
        <v>2322</v>
      </c>
      <c r="G526" s="12"/>
      <c r="H526" s="12" t="s">
        <v>14</v>
      </c>
      <c r="I526" s="11" t="s">
        <v>2323</v>
      </c>
      <c r="J526" s="12" t="s">
        <v>1545</v>
      </c>
      <c r="K526" s="12" t="str">
        <f t="shared" si="34"/>
        <v>Closed</v>
      </c>
      <c r="L526" s="13">
        <v>44560</v>
      </c>
      <c r="M526" s="12"/>
      <c r="N526" s="12"/>
      <c r="O526" s="12"/>
      <c r="P526" s="12" t="s">
        <v>3790</v>
      </c>
      <c r="Q526" s="12"/>
      <c r="R526" s="12"/>
      <c r="S526" s="12"/>
      <c r="T526" s="13" t="s">
        <v>1547</v>
      </c>
      <c r="U526" s="12" t="str">
        <f t="shared" si="35"/>
        <v>Corrected</v>
      </c>
      <c r="V526" s="12" t="str">
        <f t="shared" si="32"/>
        <v>GUAN Jialin</v>
      </c>
      <c r="W526" s="13">
        <f t="shared" si="33"/>
        <v>44560</v>
      </c>
    </row>
    <row r="527" spans="1:23" ht="28.8" x14ac:dyDescent="0.3">
      <c r="A527" s="28">
        <v>44558</v>
      </c>
      <c r="B527" s="12" t="s">
        <v>2324</v>
      </c>
      <c r="C527" s="12" t="s">
        <v>1542</v>
      </c>
      <c r="D527" s="5" t="s">
        <v>2325</v>
      </c>
      <c r="E527" s="12">
        <v>418</v>
      </c>
      <c r="F527" s="14" t="s">
        <v>4286</v>
      </c>
      <c r="G527" s="12"/>
      <c r="H527" s="12" t="s">
        <v>9</v>
      </c>
      <c r="I527" s="11" t="s">
        <v>2326</v>
      </c>
      <c r="J527" s="12" t="s">
        <v>1545</v>
      </c>
      <c r="K527" s="12" t="str">
        <f t="shared" si="34"/>
        <v>Closed</v>
      </c>
      <c r="L527" s="13">
        <v>44560</v>
      </c>
      <c r="M527" s="12"/>
      <c r="N527" s="12"/>
      <c r="O527" s="12"/>
      <c r="P527" s="12" t="s">
        <v>3790</v>
      </c>
      <c r="Q527" s="12"/>
      <c r="R527" s="12"/>
      <c r="S527" s="12"/>
      <c r="T527" s="13" t="s">
        <v>1547</v>
      </c>
      <c r="U527" s="12" t="str">
        <f t="shared" si="35"/>
        <v>Corrected</v>
      </c>
      <c r="V527" s="12" t="str">
        <f t="shared" si="32"/>
        <v>KHAN Jahan</v>
      </c>
      <c r="W527" s="13">
        <f t="shared" si="33"/>
        <v>44560</v>
      </c>
    </row>
    <row r="528" spans="1:23" ht="14.4" customHeight="1" x14ac:dyDescent="0.3">
      <c r="A528" s="28">
        <v>44558</v>
      </c>
      <c r="B528" s="12" t="s">
        <v>2327</v>
      </c>
      <c r="C528" s="12" t="s">
        <v>1542</v>
      </c>
      <c r="D528" s="5" t="s">
        <v>2328</v>
      </c>
      <c r="E528" s="12">
        <v>422</v>
      </c>
      <c r="F528" s="14" t="s">
        <v>4287</v>
      </c>
      <c r="G528" s="12"/>
      <c r="H528" s="12" t="s">
        <v>9</v>
      </c>
      <c r="I528" s="11" t="s">
        <v>2329</v>
      </c>
      <c r="J528" s="12" t="s">
        <v>1545</v>
      </c>
      <c r="K528" s="12" t="str">
        <f t="shared" si="34"/>
        <v>Closed</v>
      </c>
      <c r="L528" s="13">
        <v>44570</v>
      </c>
      <c r="M528" s="12"/>
      <c r="N528" s="12"/>
      <c r="O528" s="12"/>
      <c r="P528" s="12" t="s">
        <v>3790</v>
      </c>
      <c r="Q528" s="12"/>
      <c r="R528" s="12"/>
      <c r="S528" s="12"/>
      <c r="T528" s="12"/>
      <c r="U528" s="12" t="str">
        <f t="shared" si="35"/>
        <v>Corrected</v>
      </c>
      <c r="V528" s="12" t="str">
        <f t="shared" si="32"/>
        <v>KHAN Jahan</v>
      </c>
      <c r="W528" s="13">
        <f t="shared" si="33"/>
        <v>44570</v>
      </c>
    </row>
    <row r="529" spans="1:23" ht="14.4" customHeight="1" x14ac:dyDescent="0.3">
      <c r="A529" s="28">
        <v>44558</v>
      </c>
      <c r="B529" s="12" t="s">
        <v>2330</v>
      </c>
      <c r="C529" s="12" t="s">
        <v>1542</v>
      </c>
      <c r="D529" s="5" t="s">
        <v>2331</v>
      </c>
      <c r="E529" s="12">
        <v>616</v>
      </c>
      <c r="F529" s="14" t="s">
        <v>4288</v>
      </c>
      <c r="G529" s="12"/>
      <c r="H529" s="12" t="s">
        <v>9</v>
      </c>
      <c r="I529" s="11" t="s">
        <v>2295</v>
      </c>
      <c r="J529" s="12" t="s">
        <v>1545</v>
      </c>
      <c r="K529" s="12" t="str">
        <f t="shared" si="34"/>
        <v>Closed</v>
      </c>
      <c r="L529" s="13">
        <v>44565</v>
      </c>
      <c r="M529" s="12"/>
      <c r="N529" s="12"/>
      <c r="O529" s="12"/>
      <c r="P529" s="12" t="s">
        <v>3790</v>
      </c>
      <c r="Q529" s="12"/>
      <c r="R529" s="12"/>
      <c r="S529" s="12"/>
      <c r="T529" s="12"/>
      <c r="U529" s="12" t="str">
        <f t="shared" si="35"/>
        <v>Corrected</v>
      </c>
      <c r="V529" s="12" t="str">
        <f t="shared" si="32"/>
        <v>KHAN Jahan</v>
      </c>
      <c r="W529" s="13">
        <f t="shared" si="33"/>
        <v>44565</v>
      </c>
    </row>
    <row r="530" spans="1:23" ht="28.95" customHeight="1" x14ac:dyDescent="0.3">
      <c r="A530" s="28">
        <v>44558</v>
      </c>
      <c r="B530" s="12" t="s">
        <v>2332</v>
      </c>
      <c r="C530" s="12" t="s">
        <v>1542</v>
      </c>
      <c r="D530" s="5" t="s">
        <v>2331</v>
      </c>
      <c r="E530" s="12">
        <v>616</v>
      </c>
      <c r="F530" s="14" t="s">
        <v>4289</v>
      </c>
      <c r="G530" s="12"/>
      <c r="H530" s="12" t="s">
        <v>14</v>
      </c>
      <c r="I530" s="11" t="s">
        <v>2333</v>
      </c>
      <c r="J530" s="12" t="s">
        <v>1545</v>
      </c>
      <c r="K530" s="12" t="str">
        <f t="shared" si="34"/>
        <v>Closed</v>
      </c>
      <c r="L530" s="13">
        <v>44567</v>
      </c>
      <c r="M530" s="12"/>
      <c r="N530" s="12" t="s">
        <v>4427</v>
      </c>
      <c r="O530" s="12" t="s">
        <v>3411</v>
      </c>
      <c r="P530" s="12" t="s">
        <v>3790</v>
      </c>
      <c r="Q530" s="12"/>
      <c r="R530" s="12"/>
      <c r="S530" s="12"/>
      <c r="T530" s="13" t="s">
        <v>1547</v>
      </c>
      <c r="U530" s="12" t="str">
        <f t="shared" si="35"/>
        <v>Corrected</v>
      </c>
      <c r="V530" s="12" t="str">
        <f t="shared" si="32"/>
        <v>GUAN Jialin</v>
      </c>
      <c r="W530" s="13">
        <f t="shared" si="33"/>
        <v>44567</v>
      </c>
    </row>
    <row r="531" spans="1:23" ht="14.4" customHeight="1" x14ac:dyDescent="0.3">
      <c r="A531" s="28">
        <v>44558</v>
      </c>
      <c r="B531" s="12" t="s">
        <v>2334</v>
      </c>
      <c r="C531" s="12" t="s">
        <v>1542</v>
      </c>
      <c r="D531" s="5" t="s">
        <v>2335</v>
      </c>
      <c r="E531" s="12">
        <v>601</v>
      </c>
      <c r="F531" s="11" t="s">
        <v>2336</v>
      </c>
      <c r="G531" s="12"/>
      <c r="H531" s="12" t="s">
        <v>11</v>
      </c>
      <c r="I531" s="11" t="s">
        <v>2337</v>
      </c>
      <c r="J531" s="12" t="s">
        <v>1545</v>
      </c>
      <c r="K531" s="12" t="str">
        <f t="shared" si="34"/>
        <v>Closed</v>
      </c>
      <c r="L531" s="13">
        <v>44566</v>
      </c>
      <c r="M531" s="12"/>
      <c r="N531" s="12" t="s">
        <v>4429</v>
      </c>
      <c r="O531" s="12"/>
      <c r="P531" s="12" t="s">
        <v>3790</v>
      </c>
      <c r="Q531" s="12"/>
      <c r="R531" s="12"/>
      <c r="S531" s="12"/>
      <c r="T531" s="13" t="s">
        <v>1547</v>
      </c>
      <c r="U531" s="12" t="str">
        <f t="shared" si="35"/>
        <v>Corrected</v>
      </c>
      <c r="V531" s="12" t="str">
        <f t="shared" si="32"/>
        <v>FIRDUS Ahmad</v>
      </c>
      <c r="W531" s="13">
        <f t="shared" si="33"/>
        <v>44566</v>
      </c>
    </row>
    <row r="532" spans="1:23" ht="14.4" customHeight="1" x14ac:dyDescent="0.3">
      <c r="A532" s="28">
        <v>44558</v>
      </c>
      <c r="B532" s="12" t="s">
        <v>2338</v>
      </c>
      <c r="C532" s="12" t="s">
        <v>1542</v>
      </c>
      <c r="D532" s="5" t="s">
        <v>2339</v>
      </c>
      <c r="E532" s="12">
        <v>615</v>
      </c>
      <c r="F532" s="11" t="s">
        <v>2340</v>
      </c>
      <c r="G532" s="12"/>
      <c r="H532" s="12" t="s">
        <v>14</v>
      </c>
      <c r="I532" s="11" t="s">
        <v>1548</v>
      </c>
      <c r="J532" s="12" t="s">
        <v>1545</v>
      </c>
      <c r="K532" s="12" t="str">
        <f t="shared" si="34"/>
        <v>Closed</v>
      </c>
      <c r="L532" s="13">
        <v>44564</v>
      </c>
      <c r="M532" s="12"/>
      <c r="N532" s="12" t="s">
        <v>4427</v>
      </c>
      <c r="O532" s="12" t="s">
        <v>3411</v>
      </c>
      <c r="P532" s="12" t="s">
        <v>3790</v>
      </c>
      <c r="Q532" s="12"/>
      <c r="R532" s="12"/>
      <c r="S532" s="12"/>
      <c r="T532" s="13" t="s">
        <v>1547</v>
      </c>
      <c r="U532" s="12" t="str">
        <f t="shared" si="35"/>
        <v>Corrected</v>
      </c>
      <c r="V532" s="12" t="str">
        <f t="shared" si="32"/>
        <v>GUAN Jialin</v>
      </c>
      <c r="W532" s="13">
        <f t="shared" si="33"/>
        <v>44564</v>
      </c>
    </row>
    <row r="533" spans="1:23" ht="14.4" customHeight="1" x14ac:dyDescent="0.3">
      <c r="A533" s="28">
        <v>44558</v>
      </c>
      <c r="B533" s="12" t="s">
        <v>2341</v>
      </c>
      <c r="C533" s="12" t="s">
        <v>1542</v>
      </c>
      <c r="D533" s="5" t="s">
        <v>2342</v>
      </c>
      <c r="E533" s="12">
        <v>611</v>
      </c>
      <c r="F533" s="11" t="s">
        <v>2343</v>
      </c>
      <c r="G533" s="12"/>
      <c r="H533" s="12" t="s">
        <v>14</v>
      </c>
      <c r="I533" s="11" t="s">
        <v>2344</v>
      </c>
      <c r="J533" s="12" t="s">
        <v>1545</v>
      </c>
      <c r="K533" s="12" t="str">
        <f t="shared" si="34"/>
        <v>Closed</v>
      </c>
      <c r="L533" s="13">
        <v>44570</v>
      </c>
      <c r="M533" s="12"/>
      <c r="N533" s="12"/>
      <c r="O533" s="12"/>
      <c r="P533" s="12" t="s">
        <v>3790</v>
      </c>
      <c r="Q533" s="12"/>
      <c r="R533" s="12"/>
      <c r="S533" s="12"/>
      <c r="T533" s="13" t="s">
        <v>1547</v>
      </c>
      <c r="U533" s="12" t="str">
        <f t="shared" si="35"/>
        <v>Corrected</v>
      </c>
      <c r="V533" s="12" t="str">
        <f t="shared" si="32"/>
        <v>GUAN Jialin</v>
      </c>
      <c r="W533" s="13">
        <f t="shared" si="33"/>
        <v>44570</v>
      </c>
    </row>
    <row r="534" spans="1:23" ht="14.4" customHeight="1" x14ac:dyDescent="0.3">
      <c r="A534" s="28">
        <v>44558</v>
      </c>
      <c r="B534" s="12" t="s">
        <v>2345</v>
      </c>
      <c r="C534" s="12" t="s">
        <v>1542</v>
      </c>
      <c r="D534" s="5" t="s">
        <v>2342</v>
      </c>
      <c r="E534" s="12">
        <v>611</v>
      </c>
      <c r="F534" s="11" t="s">
        <v>2346</v>
      </c>
      <c r="G534" s="12"/>
      <c r="H534" s="12" t="s">
        <v>11</v>
      </c>
      <c r="I534" s="11" t="s">
        <v>2347</v>
      </c>
      <c r="J534" s="12" t="s">
        <v>1545</v>
      </c>
      <c r="K534" s="12" t="str">
        <f t="shared" si="34"/>
        <v>Closed</v>
      </c>
      <c r="L534" s="13">
        <v>44566</v>
      </c>
      <c r="M534" s="12"/>
      <c r="N534" s="12" t="s">
        <v>4430</v>
      </c>
      <c r="O534" s="12" t="s">
        <v>3417</v>
      </c>
      <c r="P534" s="12" t="s">
        <v>3790</v>
      </c>
      <c r="Q534" s="12"/>
      <c r="R534" s="12"/>
      <c r="S534" s="12"/>
      <c r="T534" s="12"/>
      <c r="U534" s="12" t="str">
        <f t="shared" si="35"/>
        <v>Corrected</v>
      </c>
      <c r="V534" s="12" t="str">
        <f t="shared" si="32"/>
        <v>FIRDUS Ahmad</v>
      </c>
      <c r="W534" s="13">
        <f t="shared" si="33"/>
        <v>44566</v>
      </c>
    </row>
    <row r="535" spans="1:23" ht="14.4" customHeight="1" x14ac:dyDescent="0.3">
      <c r="A535" s="28">
        <v>44558</v>
      </c>
      <c r="B535" s="12" t="s">
        <v>2348</v>
      </c>
      <c r="C535" s="12" t="s">
        <v>1542</v>
      </c>
      <c r="D535" s="5" t="s">
        <v>2342</v>
      </c>
      <c r="E535" s="12">
        <v>611</v>
      </c>
      <c r="F535" s="11" t="s">
        <v>2349</v>
      </c>
      <c r="G535" s="12"/>
      <c r="H535" s="12" t="s">
        <v>9</v>
      </c>
      <c r="I535" s="11" t="s">
        <v>2350</v>
      </c>
      <c r="J535" s="12" t="s">
        <v>1545</v>
      </c>
      <c r="K535" s="12" t="str">
        <f t="shared" si="34"/>
        <v>Closed</v>
      </c>
      <c r="L535" s="13">
        <v>44560</v>
      </c>
      <c r="M535" s="12"/>
      <c r="N535" s="12"/>
      <c r="O535" s="12"/>
      <c r="P535" s="12" t="s">
        <v>3790</v>
      </c>
      <c r="Q535" s="12"/>
      <c r="R535" s="12"/>
      <c r="S535" s="12"/>
      <c r="T535" s="12"/>
      <c r="U535" s="12" t="str">
        <f t="shared" si="35"/>
        <v>Corrected</v>
      </c>
      <c r="V535" s="12" t="str">
        <f t="shared" si="32"/>
        <v>KHAN Jahan</v>
      </c>
      <c r="W535" s="13">
        <f t="shared" si="33"/>
        <v>44560</v>
      </c>
    </row>
    <row r="536" spans="1:23" x14ac:dyDescent="0.3">
      <c r="A536" s="28">
        <v>44558</v>
      </c>
      <c r="B536" s="12" t="s">
        <v>2324</v>
      </c>
      <c r="C536" s="12" t="s">
        <v>1542</v>
      </c>
      <c r="D536" s="5" t="s">
        <v>2328</v>
      </c>
      <c r="E536" s="12">
        <v>620</v>
      </c>
      <c r="F536" s="11" t="s">
        <v>2355</v>
      </c>
      <c r="G536" s="12" t="s">
        <v>7</v>
      </c>
      <c r="H536" s="12" t="s">
        <v>9</v>
      </c>
      <c r="I536" s="11"/>
      <c r="J536" s="12" t="s">
        <v>1609</v>
      </c>
      <c r="K536" s="12" t="str">
        <f t="shared" si="34"/>
        <v>Open</v>
      </c>
      <c r="L536" s="13"/>
      <c r="M536" s="12" t="s">
        <v>484</v>
      </c>
      <c r="N536" s="12"/>
      <c r="O536" s="12"/>
      <c r="P536" s="12" t="s">
        <v>3790</v>
      </c>
      <c r="Q536" s="12"/>
      <c r="R536" s="12" t="s">
        <v>5</v>
      </c>
      <c r="S536" s="12" t="s">
        <v>3</v>
      </c>
      <c r="T536" s="12"/>
      <c r="U536" s="12" t="str">
        <f t="shared" si="35"/>
        <v>No Material</v>
      </c>
      <c r="V536" s="12" t="str">
        <f t="shared" si="32"/>
        <v>SUKIMAN Zamhuri</v>
      </c>
      <c r="W536" s="13" t="str">
        <f t="shared" si="33"/>
        <v/>
      </c>
    </row>
    <row r="537" spans="1:23" ht="14.4" customHeight="1" x14ac:dyDescent="0.3">
      <c r="A537" s="28">
        <v>44558</v>
      </c>
      <c r="B537" s="12" t="s">
        <v>2356</v>
      </c>
      <c r="C537" s="12" t="s">
        <v>1542</v>
      </c>
      <c r="D537" s="5" t="s">
        <v>2357</v>
      </c>
      <c r="E537" s="12">
        <v>613</v>
      </c>
      <c r="F537" s="14" t="s">
        <v>4290</v>
      </c>
      <c r="G537" s="12" t="s">
        <v>7</v>
      </c>
      <c r="H537" s="12" t="s">
        <v>14</v>
      </c>
      <c r="I537" s="11" t="s">
        <v>2125</v>
      </c>
      <c r="J537" s="12" t="s">
        <v>1574</v>
      </c>
      <c r="K537" s="12" t="str">
        <f t="shared" si="34"/>
        <v>Closed</v>
      </c>
      <c r="L537" s="13">
        <v>44588</v>
      </c>
      <c r="M537" s="12" t="s">
        <v>2167</v>
      </c>
      <c r="N537" s="12"/>
      <c r="O537" s="12"/>
      <c r="P537" s="12" t="s">
        <v>3790</v>
      </c>
      <c r="Q537" s="12"/>
      <c r="R537" s="12"/>
      <c r="S537" s="12"/>
      <c r="T537" s="12"/>
      <c r="U537" s="12" t="str">
        <f t="shared" si="35"/>
        <v>NFF</v>
      </c>
      <c r="V537" s="12" t="str">
        <f t="shared" si="32"/>
        <v>GUAN Jialin</v>
      </c>
      <c r="W537" s="13">
        <f t="shared" si="33"/>
        <v>44588</v>
      </c>
    </row>
    <row r="538" spans="1:23" ht="14.4" customHeight="1" x14ac:dyDescent="0.3">
      <c r="A538" s="28">
        <v>44558</v>
      </c>
      <c r="B538" s="12" t="s">
        <v>2358</v>
      </c>
      <c r="C538" s="12" t="s">
        <v>1542</v>
      </c>
      <c r="D538" s="5" t="s">
        <v>2335</v>
      </c>
      <c r="E538" s="12">
        <v>601</v>
      </c>
      <c r="F538" s="11" t="s">
        <v>2359</v>
      </c>
      <c r="G538" s="12" t="s">
        <v>7</v>
      </c>
      <c r="H538" s="12" t="s">
        <v>9</v>
      </c>
      <c r="I538" s="11" t="s">
        <v>2360</v>
      </c>
      <c r="J538" s="12" t="s">
        <v>1609</v>
      </c>
      <c r="K538" s="12" t="str">
        <f t="shared" si="34"/>
        <v>Open</v>
      </c>
      <c r="L538" s="13"/>
      <c r="M538" s="12" t="s">
        <v>490</v>
      </c>
      <c r="N538" s="12"/>
      <c r="O538" s="12"/>
      <c r="P538" s="12" t="s">
        <v>3790</v>
      </c>
      <c r="Q538" s="12"/>
      <c r="R538" s="12" t="s">
        <v>5</v>
      </c>
      <c r="S538" s="12" t="s">
        <v>3</v>
      </c>
      <c r="T538" s="13"/>
      <c r="U538" s="12" t="str">
        <f t="shared" si="35"/>
        <v>No Material</v>
      </c>
      <c r="V538" s="12" t="str">
        <f t="shared" si="32"/>
        <v>SUKIMAN Zamhuri</v>
      </c>
      <c r="W538" s="13" t="str">
        <f t="shared" si="33"/>
        <v/>
      </c>
    </row>
    <row r="539" spans="1:23" x14ac:dyDescent="0.3">
      <c r="A539" s="28">
        <v>44558</v>
      </c>
      <c r="B539" s="12" t="s">
        <v>2361</v>
      </c>
      <c r="C539" s="12" t="s">
        <v>1542</v>
      </c>
      <c r="D539" s="5" t="s">
        <v>2362</v>
      </c>
      <c r="E539" s="12">
        <v>607</v>
      </c>
      <c r="F539" s="11" t="s">
        <v>2363</v>
      </c>
      <c r="G539" s="12" t="s">
        <v>1</v>
      </c>
      <c r="H539" s="12" t="s">
        <v>19</v>
      </c>
      <c r="I539" s="11"/>
      <c r="J539" s="12" t="s">
        <v>1545</v>
      </c>
      <c r="K539" s="12" t="str">
        <f t="shared" si="34"/>
        <v>Closed</v>
      </c>
      <c r="L539" s="13">
        <v>44551</v>
      </c>
      <c r="M539" s="12" t="s">
        <v>2364</v>
      </c>
      <c r="N539" s="12"/>
      <c r="O539" s="12"/>
      <c r="P539" s="12" t="s">
        <v>3790</v>
      </c>
      <c r="Q539" s="12"/>
      <c r="R539" s="12"/>
      <c r="S539" s="12"/>
      <c r="T539" s="12"/>
      <c r="U539" s="12" t="str">
        <f t="shared" si="35"/>
        <v>Corrected</v>
      </c>
      <c r="V539" s="12" t="str">
        <f t="shared" si="32"/>
        <v>DAOUDI Mohamed</v>
      </c>
      <c r="W539" s="13">
        <f t="shared" si="33"/>
        <v>44551</v>
      </c>
    </row>
    <row r="540" spans="1:23" x14ac:dyDescent="0.3">
      <c r="A540" s="28">
        <v>44558</v>
      </c>
      <c r="B540" s="12" t="s">
        <v>2370</v>
      </c>
      <c r="C540" s="12" t="s">
        <v>1542</v>
      </c>
      <c r="D540" s="5" t="s">
        <v>2325</v>
      </c>
      <c r="E540" s="12">
        <v>418</v>
      </c>
      <c r="F540" s="11" t="s">
        <v>2371</v>
      </c>
      <c r="G540" s="12"/>
      <c r="H540" s="12" t="s">
        <v>9</v>
      </c>
      <c r="I540" s="11" t="s">
        <v>2372</v>
      </c>
      <c r="J540" s="12" t="s">
        <v>1574</v>
      </c>
      <c r="K540" s="12" t="str">
        <f t="shared" si="34"/>
        <v>Closed</v>
      </c>
      <c r="L540" s="13">
        <v>44560</v>
      </c>
      <c r="M540" s="12"/>
      <c r="N540" s="12"/>
      <c r="O540" s="12"/>
      <c r="P540" s="12" t="s">
        <v>3790</v>
      </c>
      <c r="Q540" s="12"/>
      <c r="R540" s="12"/>
      <c r="S540" s="12"/>
      <c r="T540" s="12"/>
      <c r="U540" s="12" t="str">
        <f t="shared" si="35"/>
        <v>NFF</v>
      </c>
      <c r="V540" s="12" t="str">
        <f t="shared" si="32"/>
        <v>KHAN Jahan</v>
      </c>
      <c r="W540" s="13">
        <f t="shared" si="33"/>
        <v>44560</v>
      </c>
    </row>
    <row r="541" spans="1:23" ht="14.4" customHeight="1" x14ac:dyDescent="0.3">
      <c r="A541" s="28">
        <v>44558</v>
      </c>
      <c r="B541" s="12" t="s">
        <v>1448</v>
      </c>
      <c r="C541" s="12" t="s">
        <v>1542</v>
      </c>
      <c r="D541" s="5" t="s">
        <v>2325</v>
      </c>
      <c r="E541" s="12">
        <v>418</v>
      </c>
      <c r="F541" s="11" t="s">
        <v>1447</v>
      </c>
      <c r="G541" s="12" t="s">
        <v>7</v>
      </c>
      <c r="H541" s="12" t="s">
        <v>14</v>
      </c>
      <c r="I541" s="11" t="s">
        <v>1548</v>
      </c>
      <c r="J541" s="12" t="s">
        <v>1545</v>
      </c>
      <c r="K541" s="12" t="str">
        <f t="shared" si="34"/>
        <v>Closed</v>
      </c>
      <c r="L541" s="13">
        <v>44580</v>
      </c>
      <c r="M541" s="12"/>
      <c r="N541" s="12" t="s">
        <v>4427</v>
      </c>
      <c r="O541" s="12" t="s">
        <v>3411</v>
      </c>
      <c r="P541" s="12" t="s">
        <v>3790</v>
      </c>
      <c r="Q541" s="12"/>
      <c r="R541" s="12"/>
      <c r="S541" s="12"/>
      <c r="T541" s="13" t="s">
        <v>1547</v>
      </c>
      <c r="U541" s="12" t="str">
        <f t="shared" si="35"/>
        <v>Corrected</v>
      </c>
      <c r="V541" s="12" t="str">
        <f t="shared" si="32"/>
        <v>GUAN Jialin</v>
      </c>
      <c r="W541" s="13">
        <f t="shared" si="33"/>
        <v>44580</v>
      </c>
    </row>
    <row r="542" spans="1:23" ht="14.4" customHeight="1" x14ac:dyDescent="0.3">
      <c r="A542" s="28">
        <v>44558</v>
      </c>
      <c r="B542" s="12" t="s">
        <v>2373</v>
      </c>
      <c r="C542" s="12" t="s">
        <v>1542</v>
      </c>
      <c r="D542" s="5" t="s">
        <v>2335</v>
      </c>
      <c r="E542" s="12">
        <v>601</v>
      </c>
      <c r="F542" s="11" t="s">
        <v>2374</v>
      </c>
      <c r="G542" s="12" t="s">
        <v>7</v>
      </c>
      <c r="H542" s="12" t="s">
        <v>19</v>
      </c>
      <c r="I542" s="11" t="s">
        <v>3436</v>
      </c>
      <c r="J542" s="12" t="s">
        <v>1609</v>
      </c>
      <c r="K542" s="12" t="str">
        <f t="shared" si="34"/>
        <v>Open</v>
      </c>
      <c r="L542" s="13"/>
      <c r="M542" s="12"/>
      <c r="N542" s="12" t="s">
        <v>1652</v>
      </c>
      <c r="O542" s="12"/>
      <c r="P542" s="12" t="s">
        <v>3790</v>
      </c>
      <c r="Q542" s="12"/>
      <c r="R542" s="12" t="s">
        <v>1545</v>
      </c>
      <c r="S542" s="12" t="s">
        <v>19</v>
      </c>
      <c r="T542" s="13">
        <v>44703</v>
      </c>
      <c r="U542" s="12" t="str">
        <f t="shared" si="35"/>
        <v>Corrected</v>
      </c>
      <c r="V542" s="12" t="str">
        <f t="shared" si="32"/>
        <v>DAOUDI Mohamed</v>
      </c>
      <c r="W542" s="13">
        <f t="shared" si="33"/>
        <v>44703</v>
      </c>
    </row>
    <row r="543" spans="1:23" ht="28.8" x14ac:dyDescent="0.3">
      <c r="A543" s="28">
        <v>44558</v>
      </c>
      <c r="B543" s="12" t="s">
        <v>2375</v>
      </c>
      <c r="C543" s="12" t="s">
        <v>1542</v>
      </c>
      <c r="D543" s="5" t="s">
        <v>2376</v>
      </c>
      <c r="E543" s="12">
        <v>406</v>
      </c>
      <c r="F543" s="14" t="s">
        <v>4291</v>
      </c>
      <c r="G543" s="12" t="s">
        <v>7</v>
      </c>
      <c r="H543" s="12" t="s">
        <v>18</v>
      </c>
      <c r="I543" s="11"/>
      <c r="J543" s="12" t="s">
        <v>1574</v>
      </c>
      <c r="K543" s="12" t="str">
        <f t="shared" si="34"/>
        <v>Closed</v>
      </c>
      <c r="L543" s="13">
        <v>44637</v>
      </c>
      <c r="M543" s="12"/>
      <c r="N543" s="12"/>
      <c r="O543" s="12"/>
      <c r="P543" s="12" t="s">
        <v>3790</v>
      </c>
      <c r="Q543" s="12"/>
      <c r="R543" s="12"/>
      <c r="S543" s="12"/>
      <c r="T543" s="12"/>
      <c r="U543" s="12" t="str">
        <f t="shared" si="35"/>
        <v>NFF</v>
      </c>
      <c r="V543" s="12" t="str">
        <f t="shared" si="32"/>
        <v>BENAYED Elie</v>
      </c>
      <c r="W543" s="13">
        <f t="shared" si="33"/>
        <v>44637</v>
      </c>
    </row>
    <row r="544" spans="1:23" ht="14.4" customHeight="1" x14ac:dyDescent="0.3">
      <c r="A544" s="28">
        <v>44558</v>
      </c>
      <c r="B544" s="12" t="s">
        <v>2382</v>
      </c>
      <c r="C544" s="12" t="s">
        <v>1542</v>
      </c>
      <c r="D544" s="5" t="s">
        <v>2335</v>
      </c>
      <c r="E544" s="12">
        <v>601</v>
      </c>
      <c r="F544" s="14" t="s">
        <v>4292</v>
      </c>
      <c r="G544" s="12" t="s">
        <v>7</v>
      </c>
      <c r="H544" s="12" t="s">
        <v>18</v>
      </c>
      <c r="I544" s="11" t="s">
        <v>2383</v>
      </c>
      <c r="J544" s="12" t="s">
        <v>1574</v>
      </c>
      <c r="K544" s="12" t="str">
        <f t="shared" si="34"/>
        <v>Closed</v>
      </c>
      <c r="L544" s="13">
        <v>44585</v>
      </c>
      <c r="M544" s="12"/>
      <c r="N544" s="12"/>
      <c r="O544" s="12"/>
      <c r="P544" s="12" t="s">
        <v>3790</v>
      </c>
      <c r="Q544" s="12"/>
      <c r="R544" s="12"/>
      <c r="S544" s="12"/>
      <c r="T544" s="12"/>
      <c r="U544" s="12" t="str">
        <f t="shared" si="35"/>
        <v>NFF</v>
      </c>
      <c r="V544" s="12" t="str">
        <f t="shared" si="32"/>
        <v>BENAYED Elie</v>
      </c>
      <c r="W544" s="13">
        <f t="shared" si="33"/>
        <v>44585</v>
      </c>
    </row>
    <row r="545" spans="1:23" ht="14.4" customHeight="1" x14ac:dyDescent="0.3">
      <c r="A545" s="28">
        <v>44558</v>
      </c>
      <c r="B545" s="12" t="s">
        <v>2384</v>
      </c>
      <c r="C545" s="12" t="s">
        <v>1542</v>
      </c>
      <c r="D545" s="5" t="s">
        <v>2339</v>
      </c>
      <c r="E545" s="12">
        <v>615</v>
      </c>
      <c r="F545" s="11" t="s">
        <v>2385</v>
      </c>
      <c r="G545" s="12" t="s">
        <v>7</v>
      </c>
      <c r="H545" s="12" t="s">
        <v>9</v>
      </c>
      <c r="I545" s="11"/>
      <c r="J545" s="12" t="s">
        <v>1574</v>
      </c>
      <c r="K545" s="12" t="str">
        <f t="shared" si="34"/>
        <v>Closed</v>
      </c>
      <c r="L545" s="13">
        <v>44578</v>
      </c>
      <c r="M545" s="12"/>
      <c r="N545" s="12"/>
      <c r="O545" s="12"/>
      <c r="P545" s="12" t="s">
        <v>3790</v>
      </c>
      <c r="Q545" s="12"/>
      <c r="R545" s="12"/>
      <c r="S545" s="12"/>
      <c r="T545" s="12"/>
      <c r="U545" s="12" t="str">
        <f t="shared" si="35"/>
        <v>NFF</v>
      </c>
      <c r="V545" s="12" t="str">
        <f t="shared" si="32"/>
        <v>KHAN Jahan</v>
      </c>
      <c r="W545" s="13">
        <f t="shared" si="33"/>
        <v>44578</v>
      </c>
    </row>
    <row r="546" spans="1:23" ht="14.4" customHeight="1" x14ac:dyDescent="0.3">
      <c r="A546" s="28">
        <v>44558</v>
      </c>
      <c r="B546" s="12" t="s">
        <v>2389</v>
      </c>
      <c r="C546" s="12" t="s">
        <v>1542</v>
      </c>
      <c r="D546" s="5" t="s">
        <v>2318</v>
      </c>
      <c r="E546" s="12">
        <v>404</v>
      </c>
      <c r="F546" s="11" t="s">
        <v>2390</v>
      </c>
      <c r="G546" s="12" t="s">
        <v>7</v>
      </c>
      <c r="H546" s="12" t="s">
        <v>11</v>
      </c>
      <c r="I546" s="11" t="s">
        <v>2391</v>
      </c>
      <c r="J546" s="12" t="s">
        <v>1545</v>
      </c>
      <c r="K546" s="12" t="str">
        <f t="shared" si="34"/>
        <v>Closed</v>
      </c>
      <c r="L546" s="13">
        <v>44571</v>
      </c>
      <c r="M546" s="12" t="s">
        <v>1014</v>
      </c>
      <c r="N546" s="12"/>
      <c r="O546" s="12"/>
      <c r="P546" s="12" t="s">
        <v>3790</v>
      </c>
      <c r="Q546" s="12"/>
      <c r="R546" s="12"/>
      <c r="S546" s="12"/>
      <c r="T546" s="12"/>
      <c r="U546" s="12" t="str">
        <f t="shared" si="35"/>
        <v>Corrected</v>
      </c>
      <c r="V546" s="12" t="str">
        <f t="shared" si="32"/>
        <v>FIRDUS Ahmad</v>
      </c>
      <c r="W546" s="13">
        <f t="shared" si="33"/>
        <v>44571</v>
      </c>
    </row>
    <row r="547" spans="1:23" ht="14.4" customHeight="1" x14ac:dyDescent="0.3">
      <c r="A547" s="28">
        <v>44558</v>
      </c>
      <c r="B547" s="12" t="s">
        <v>1452</v>
      </c>
      <c r="C547" s="12" t="s">
        <v>1542</v>
      </c>
      <c r="D547" s="5" t="s">
        <v>2305</v>
      </c>
      <c r="E547" s="12">
        <v>408</v>
      </c>
      <c r="F547" s="11" t="s">
        <v>2392</v>
      </c>
      <c r="G547" s="12" t="s">
        <v>7</v>
      </c>
      <c r="H547" s="12" t="s">
        <v>14</v>
      </c>
      <c r="I547" s="11" t="s">
        <v>1925</v>
      </c>
      <c r="J547" s="12" t="s">
        <v>1545</v>
      </c>
      <c r="K547" s="12" t="str">
        <f t="shared" si="34"/>
        <v>Closed</v>
      </c>
      <c r="L547" s="13">
        <v>44572</v>
      </c>
      <c r="M547" s="12"/>
      <c r="N547" s="12" t="s">
        <v>4427</v>
      </c>
      <c r="O547" s="12" t="s">
        <v>3258</v>
      </c>
      <c r="P547" s="12" t="s">
        <v>3790</v>
      </c>
      <c r="Q547" s="12"/>
      <c r="R547" s="12"/>
      <c r="S547" s="12"/>
      <c r="T547" s="12"/>
      <c r="U547" s="12" t="str">
        <f t="shared" si="35"/>
        <v>Corrected</v>
      </c>
      <c r="V547" s="12" t="str">
        <f t="shared" si="32"/>
        <v>GUAN Jialin</v>
      </c>
      <c r="W547" s="13">
        <f t="shared" si="33"/>
        <v>44572</v>
      </c>
    </row>
    <row r="548" spans="1:23" ht="14.4" customHeight="1" x14ac:dyDescent="0.3">
      <c r="A548" s="28">
        <v>44558</v>
      </c>
      <c r="B548" s="12" t="s">
        <v>1364</v>
      </c>
      <c r="C548" s="12" t="s">
        <v>1542</v>
      </c>
      <c r="D548" s="5" t="s">
        <v>2393</v>
      </c>
      <c r="E548" s="12">
        <v>614</v>
      </c>
      <c r="F548" s="11" t="s">
        <v>3428</v>
      </c>
      <c r="G548" s="12" t="s">
        <v>7</v>
      </c>
      <c r="H548" s="12" t="s">
        <v>14</v>
      </c>
      <c r="I548" s="11" t="s">
        <v>1548</v>
      </c>
      <c r="J548" s="12" t="s">
        <v>1545</v>
      </c>
      <c r="K548" s="12" t="str">
        <f t="shared" si="34"/>
        <v>Closed</v>
      </c>
      <c r="L548" s="13">
        <v>44598</v>
      </c>
      <c r="M548" s="12"/>
      <c r="N548" s="12" t="s">
        <v>2394</v>
      </c>
      <c r="O548" s="12"/>
      <c r="P548" s="12" t="s">
        <v>3790</v>
      </c>
      <c r="Q548" s="12"/>
      <c r="R548" s="12"/>
      <c r="S548" s="12"/>
      <c r="T548" s="13" t="s">
        <v>1547</v>
      </c>
      <c r="U548" s="12" t="str">
        <f t="shared" si="35"/>
        <v>Corrected</v>
      </c>
      <c r="V548" s="12" t="str">
        <f t="shared" si="32"/>
        <v>GUAN Jialin</v>
      </c>
      <c r="W548" s="13">
        <f t="shared" si="33"/>
        <v>44598</v>
      </c>
    </row>
    <row r="549" spans="1:23" ht="14.4" customHeight="1" x14ac:dyDescent="0.3">
      <c r="A549" s="28">
        <v>44558</v>
      </c>
      <c r="B549" s="12" t="s">
        <v>1364</v>
      </c>
      <c r="C549" s="12" t="s">
        <v>1542</v>
      </c>
      <c r="D549" s="5" t="s">
        <v>2393</v>
      </c>
      <c r="E549" s="12">
        <v>614</v>
      </c>
      <c r="F549" s="11" t="s">
        <v>3429</v>
      </c>
      <c r="G549" s="12" t="s">
        <v>7</v>
      </c>
      <c r="H549" s="12" t="s">
        <v>14</v>
      </c>
      <c r="I549" s="11" t="s">
        <v>1548</v>
      </c>
      <c r="J549" s="12" t="s">
        <v>1545</v>
      </c>
      <c r="K549" s="12" t="str">
        <f t="shared" si="34"/>
        <v>Closed</v>
      </c>
      <c r="L549" s="13">
        <v>44598</v>
      </c>
      <c r="M549" s="12"/>
      <c r="N549" s="12" t="s">
        <v>4427</v>
      </c>
      <c r="O549" s="12" t="s">
        <v>2546</v>
      </c>
      <c r="P549" s="12" t="s">
        <v>3790</v>
      </c>
      <c r="Q549" s="12"/>
      <c r="R549" s="12"/>
      <c r="S549" s="12"/>
      <c r="T549" s="13" t="s">
        <v>1547</v>
      </c>
      <c r="U549" s="12" t="str">
        <f t="shared" si="35"/>
        <v>Corrected</v>
      </c>
      <c r="V549" s="12" t="str">
        <f t="shared" si="32"/>
        <v>GUAN Jialin</v>
      </c>
      <c r="W549" s="13">
        <f t="shared" si="33"/>
        <v>44598</v>
      </c>
    </row>
    <row r="550" spans="1:23" ht="14.4" customHeight="1" x14ac:dyDescent="0.3">
      <c r="A550" s="28">
        <v>44559</v>
      </c>
      <c r="B550" s="12" t="s">
        <v>2395</v>
      </c>
      <c r="C550" s="12" t="s">
        <v>1542</v>
      </c>
      <c r="D550" s="5" t="s">
        <v>2396</v>
      </c>
      <c r="E550" s="12">
        <v>619</v>
      </c>
      <c r="F550" s="11" t="s">
        <v>3430</v>
      </c>
      <c r="G550" s="12"/>
      <c r="H550" s="12" t="s">
        <v>14</v>
      </c>
      <c r="I550" s="11" t="s">
        <v>2397</v>
      </c>
      <c r="J550" s="12" t="s">
        <v>1545</v>
      </c>
      <c r="K550" s="12" t="str">
        <f t="shared" si="34"/>
        <v>Closed</v>
      </c>
      <c r="L550" s="13">
        <v>44564</v>
      </c>
      <c r="M550" s="12"/>
      <c r="N550" s="12" t="s">
        <v>4427</v>
      </c>
      <c r="O550" s="12" t="s">
        <v>2546</v>
      </c>
      <c r="P550" s="12" t="s">
        <v>3790</v>
      </c>
      <c r="Q550" s="12"/>
      <c r="R550" s="12"/>
      <c r="S550" s="12"/>
      <c r="T550" s="12"/>
      <c r="U550" s="12" t="str">
        <f t="shared" si="35"/>
        <v>Corrected</v>
      </c>
      <c r="V550" s="12" t="str">
        <f t="shared" si="32"/>
        <v>GUAN Jialin</v>
      </c>
      <c r="W550" s="13">
        <f t="shared" si="33"/>
        <v>44564</v>
      </c>
    </row>
    <row r="551" spans="1:23" ht="14.4" customHeight="1" x14ac:dyDescent="0.3">
      <c r="A551" s="28">
        <v>44559</v>
      </c>
      <c r="B551" s="12" t="s">
        <v>2395</v>
      </c>
      <c r="C551" s="12" t="s">
        <v>1542</v>
      </c>
      <c r="D551" s="5" t="s">
        <v>2396</v>
      </c>
      <c r="E551" s="12">
        <v>619</v>
      </c>
      <c r="F551" s="11" t="s">
        <v>3431</v>
      </c>
      <c r="G551" s="12"/>
      <c r="H551" s="12" t="s">
        <v>14</v>
      </c>
      <c r="I551" s="11" t="s">
        <v>2397</v>
      </c>
      <c r="J551" s="12" t="s">
        <v>1545</v>
      </c>
      <c r="K551" s="12" t="str">
        <f t="shared" si="34"/>
        <v>Closed</v>
      </c>
      <c r="L551" s="13">
        <v>44564</v>
      </c>
      <c r="M551" s="12"/>
      <c r="N551" s="12" t="s">
        <v>4427</v>
      </c>
      <c r="O551" s="12" t="s">
        <v>3258</v>
      </c>
      <c r="P551" s="12" t="s">
        <v>3790</v>
      </c>
      <c r="Q551" s="12"/>
      <c r="R551" s="12"/>
      <c r="S551" s="12"/>
      <c r="T551" s="13" t="s">
        <v>1547</v>
      </c>
      <c r="U551" s="12" t="str">
        <f t="shared" si="35"/>
        <v>Corrected</v>
      </c>
      <c r="V551" s="12" t="str">
        <f t="shared" si="32"/>
        <v>GUAN Jialin</v>
      </c>
      <c r="W551" s="13">
        <f t="shared" si="33"/>
        <v>44564</v>
      </c>
    </row>
    <row r="552" spans="1:23" ht="14.4" customHeight="1" x14ac:dyDescent="0.3">
      <c r="A552" s="28">
        <v>44559</v>
      </c>
      <c r="B552" s="12" t="s">
        <v>2405</v>
      </c>
      <c r="C552" s="12" t="s">
        <v>1542</v>
      </c>
      <c r="D552" s="5" t="s">
        <v>2406</v>
      </c>
      <c r="E552" s="12">
        <v>623</v>
      </c>
      <c r="F552" s="11" t="s">
        <v>2407</v>
      </c>
      <c r="G552" s="12"/>
      <c r="H552" s="12" t="s">
        <v>14</v>
      </c>
      <c r="I552" s="11" t="s">
        <v>2408</v>
      </c>
      <c r="J552" s="12" t="s">
        <v>1545</v>
      </c>
      <c r="K552" s="12" t="str">
        <f t="shared" si="34"/>
        <v>Closed</v>
      </c>
      <c r="L552" s="13">
        <v>44563</v>
      </c>
      <c r="M552" s="12"/>
      <c r="N552" s="12" t="s">
        <v>4427</v>
      </c>
      <c r="O552" s="12" t="s">
        <v>3258</v>
      </c>
      <c r="P552" s="12" t="s">
        <v>3790</v>
      </c>
      <c r="Q552" s="12"/>
      <c r="R552" s="12"/>
      <c r="S552" s="12"/>
      <c r="T552" s="12"/>
      <c r="U552" s="12" t="str">
        <f t="shared" si="35"/>
        <v>Corrected</v>
      </c>
      <c r="V552" s="12" t="str">
        <f t="shared" si="32"/>
        <v>GUAN Jialin</v>
      </c>
      <c r="W552" s="13">
        <f t="shared" si="33"/>
        <v>44563</v>
      </c>
    </row>
    <row r="553" spans="1:23" ht="14.4" customHeight="1" x14ac:dyDescent="0.3">
      <c r="A553" s="28">
        <v>44559</v>
      </c>
      <c r="B553" s="12" t="s">
        <v>2411</v>
      </c>
      <c r="C553" s="12" t="s">
        <v>1542</v>
      </c>
      <c r="D553" s="5" t="s">
        <v>2412</v>
      </c>
      <c r="E553" s="12">
        <v>625</v>
      </c>
      <c r="F553" s="11" t="s">
        <v>1486</v>
      </c>
      <c r="G553" s="12" t="s">
        <v>7</v>
      </c>
      <c r="H553" s="12" t="s">
        <v>14</v>
      </c>
      <c r="I553" s="11" t="s">
        <v>1994</v>
      </c>
      <c r="J553" s="12" t="s">
        <v>1545</v>
      </c>
      <c r="K553" s="12" t="str">
        <f t="shared" si="34"/>
        <v>Closed</v>
      </c>
      <c r="L553" s="13">
        <v>44580</v>
      </c>
      <c r="M553" s="12" t="s">
        <v>2413</v>
      </c>
      <c r="N553" s="12" t="s">
        <v>4427</v>
      </c>
      <c r="O553" s="12" t="s">
        <v>2546</v>
      </c>
      <c r="P553" s="12" t="s">
        <v>3790</v>
      </c>
      <c r="Q553" s="12"/>
      <c r="R553" s="12"/>
      <c r="S553" s="12"/>
      <c r="T553" s="13" t="s">
        <v>1547</v>
      </c>
      <c r="U553" s="12" t="str">
        <f t="shared" si="35"/>
        <v>Corrected</v>
      </c>
      <c r="V553" s="12" t="str">
        <f t="shared" si="32"/>
        <v>GUAN Jialin</v>
      </c>
      <c r="W553" s="13">
        <f t="shared" si="33"/>
        <v>44580</v>
      </c>
    </row>
    <row r="554" spans="1:23" ht="14.4" customHeight="1" x14ac:dyDescent="0.3">
      <c r="A554" s="28">
        <v>44559</v>
      </c>
      <c r="B554" s="12" t="s">
        <v>2416</v>
      </c>
      <c r="C554" s="12" t="s">
        <v>1542</v>
      </c>
      <c r="D554" s="5" t="s">
        <v>2406</v>
      </c>
      <c r="E554" s="12">
        <v>623</v>
      </c>
      <c r="F554" s="11" t="s">
        <v>2417</v>
      </c>
      <c r="G554" s="12"/>
      <c r="H554" s="12" t="s">
        <v>9</v>
      </c>
      <c r="I554" s="11"/>
      <c r="J554" s="12" t="s">
        <v>1574</v>
      </c>
      <c r="K554" s="12" t="str">
        <f t="shared" si="34"/>
        <v>Closed</v>
      </c>
      <c r="L554" s="13">
        <v>44566</v>
      </c>
      <c r="M554" s="12"/>
      <c r="N554" s="12"/>
      <c r="O554" s="12"/>
      <c r="P554" s="12" t="s">
        <v>3790</v>
      </c>
      <c r="Q554" s="12"/>
      <c r="R554" s="12"/>
      <c r="S554" s="12"/>
      <c r="T554" s="13" t="s">
        <v>1547</v>
      </c>
      <c r="U554" s="12" t="str">
        <f t="shared" si="35"/>
        <v>NFF</v>
      </c>
      <c r="V554" s="12" t="str">
        <f t="shared" si="32"/>
        <v>KHAN Jahan</v>
      </c>
      <c r="W554" s="13">
        <f t="shared" si="33"/>
        <v>44566</v>
      </c>
    </row>
    <row r="555" spans="1:23" ht="14.4" customHeight="1" x14ac:dyDescent="0.3">
      <c r="A555" s="28">
        <v>44559</v>
      </c>
      <c r="B555" s="12" t="s">
        <v>2418</v>
      </c>
      <c r="C555" s="12" t="s">
        <v>1542</v>
      </c>
      <c r="D555" s="5" t="s">
        <v>2419</v>
      </c>
      <c r="E555" s="12">
        <v>414</v>
      </c>
      <c r="F555" s="11" t="s">
        <v>1457</v>
      </c>
      <c r="G555" s="12" t="s">
        <v>7</v>
      </c>
      <c r="H555" s="12" t="s">
        <v>9</v>
      </c>
      <c r="I555" s="11"/>
      <c r="J555" s="12" t="s">
        <v>1545</v>
      </c>
      <c r="K555" s="12" t="str">
        <f t="shared" si="34"/>
        <v>Closed</v>
      </c>
      <c r="L555" s="13">
        <v>44551</v>
      </c>
      <c r="M555" s="12" t="s">
        <v>1458</v>
      </c>
      <c r="N555" s="12"/>
      <c r="O555" s="12"/>
      <c r="P555" s="12" t="s">
        <v>3790</v>
      </c>
      <c r="Q555" s="12"/>
      <c r="R555" s="12"/>
      <c r="S555" s="12"/>
      <c r="T555" s="13" t="s">
        <v>1547</v>
      </c>
      <c r="U555" s="12" t="str">
        <f t="shared" si="35"/>
        <v>Corrected</v>
      </c>
      <c r="V555" s="12" t="str">
        <f t="shared" si="32"/>
        <v>KHAN Jahan</v>
      </c>
      <c r="W555" s="13">
        <f t="shared" si="33"/>
        <v>44551</v>
      </c>
    </row>
    <row r="556" spans="1:23" ht="14.4" customHeight="1" x14ac:dyDescent="0.3">
      <c r="A556" s="28">
        <v>44559</v>
      </c>
      <c r="B556" s="12" t="s">
        <v>2420</v>
      </c>
      <c r="C556" s="12" t="s">
        <v>1542</v>
      </c>
      <c r="D556" s="5" t="s">
        <v>2396</v>
      </c>
      <c r="E556" s="12">
        <v>619</v>
      </c>
      <c r="F556" s="11" t="s">
        <v>2421</v>
      </c>
      <c r="G556" s="12" t="s">
        <v>4</v>
      </c>
      <c r="H556" s="12" t="s">
        <v>9</v>
      </c>
      <c r="I556" s="11"/>
      <c r="J556" s="12" t="s">
        <v>1574</v>
      </c>
      <c r="K556" s="12" t="str">
        <f t="shared" si="34"/>
        <v>Closed</v>
      </c>
      <c r="L556" s="13">
        <v>44592</v>
      </c>
      <c r="M556" s="12"/>
      <c r="N556" s="12"/>
      <c r="O556" s="12"/>
      <c r="P556" s="12" t="s">
        <v>3790</v>
      </c>
      <c r="Q556" s="12"/>
      <c r="R556" s="12"/>
      <c r="S556" s="12"/>
      <c r="T556" s="12"/>
      <c r="U556" s="12" t="str">
        <f t="shared" si="35"/>
        <v>NFF</v>
      </c>
      <c r="V556" s="12" t="str">
        <f t="shared" si="32"/>
        <v>KHAN Jahan</v>
      </c>
      <c r="W556" s="13">
        <f t="shared" si="33"/>
        <v>44592</v>
      </c>
    </row>
    <row r="557" spans="1:23" ht="14.4" customHeight="1" x14ac:dyDescent="0.3">
      <c r="A557" s="28">
        <v>44559</v>
      </c>
      <c r="B557" s="12" t="s">
        <v>1367</v>
      </c>
      <c r="C557" s="12" t="s">
        <v>1542</v>
      </c>
      <c r="D557" s="5" t="s">
        <v>2419</v>
      </c>
      <c r="E557" s="12">
        <v>414</v>
      </c>
      <c r="F557" s="11" t="s">
        <v>3432</v>
      </c>
      <c r="G557" s="12" t="s">
        <v>7</v>
      </c>
      <c r="H557" s="12" t="s">
        <v>14</v>
      </c>
      <c r="I557" s="11" t="s">
        <v>1994</v>
      </c>
      <c r="J557" s="12" t="s">
        <v>1545</v>
      </c>
      <c r="K557" s="12" t="str">
        <f t="shared" si="34"/>
        <v>Closed</v>
      </c>
      <c r="L557" s="13">
        <v>44574</v>
      </c>
      <c r="M557" s="12"/>
      <c r="N557" s="12" t="s">
        <v>4427</v>
      </c>
      <c r="O557" s="12" t="s">
        <v>2546</v>
      </c>
      <c r="P557" s="12" t="s">
        <v>3790</v>
      </c>
      <c r="Q557" s="12"/>
      <c r="R557" s="12"/>
      <c r="S557" s="12"/>
      <c r="T557" s="13" t="s">
        <v>1547</v>
      </c>
      <c r="U557" s="12" t="str">
        <f t="shared" si="35"/>
        <v>Corrected</v>
      </c>
      <c r="V557" s="12" t="str">
        <f t="shared" si="32"/>
        <v>GUAN Jialin</v>
      </c>
      <c r="W557" s="13">
        <f t="shared" si="33"/>
        <v>44574</v>
      </c>
    </row>
    <row r="558" spans="1:23" ht="14.4" customHeight="1" x14ac:dyDescent="0.3">
      <c r="A558" s="28">
        <v>44559</v>
      </c>
      <c r="B558" s="12" t="s">
        <v>1367</v>
      </c>
      <c r="C558" s="12" t="s">
        <v>1542</v>
      </c>
      <c r="D558" s="5" t="s">
        <v>2419</v>
      </c>
      <c r="E558" s="12">
        <v>414</v>
      </c>
      <c r="F558" s="11" t="s">
        <v>3433</v>
      </c>
      <c r="G558" s="12" t="s">
        <v>7</v>
      </c>
      <c r="H558" s="12" t="s">
        <v>14</v>
      </c>
      <c r="I558" s="11" t="s">
        <v>1994</v>
      </c>
      <c r="J558" s="12" t="s">
        <v>1545</v>
      </c>
      <c r="K558" s="12" t="str">
        <f t="shared" si="34"/>
        <v>Closed</v>
      </c>
      <c r="L558" s="13">
        <v>44574</v>
      </c>
      <c r="M558" s="12"/>
      <c r="N558" s="12" t="s">
        <v>4427</v>
      </c>
      <c r="O558" s="12" t="s">
        <v>3411</v>
      </c>
      <c r="P558" s="12" t="s">
        <v>3790</v>
      </c>
      <c r="Q558" s="12"/>
      <c r="R558" s="12"/>
      <c r="S558" s="12"/>
      <c r="T558" s="13" t="s">
        <v>1547</v>
      </c>
      <c r="U558" s="12" t="str">
        <f t="shared" si="35"/>
        <v>Corrected</v>
      </c>
      <c r="V558" s="12" t="str">
        <f t="shared" si="32"/>
        <v>GUAN Jialin</v>
      </c>
      <c r="W558" s="13">
        <f t="shared" si="33"/>
        <v>44574</v>
      </c>
    </row>
    <row r="559" spans="1:23" ht="14.4" customHeight="1" x14ac:dyDescent="0.3">
      <c r="A559" s="28">
        <v>44559</v>
      </c>
      <c r="B559" s="12" t="s">
        <v>2422</v>
      </c>
      <c r="C559" s="12" t="s">
        <v>1542</v>
      </c>
      <c r="D559" s="5" t="s">
        <v>2396</v>
      </c>
      <c r="E559" s="12">
        <v>619</v>
      </c>
      <c r="F559" s="11" t="s">
        <v>2423</v>
      </c>
      <c r="G559" s="12" t="s">
        <v>7</v>
      </c>
      <c r="H559" s="12" t="s">
        <v>9</v>
      </c>
      <c r="I559" s="11"/>
      <c r="J559" s="12" t="s">
        <v>1582</v>
      </c>
      <c r="K559" s="12" t="str">
        <f t="shared" si="34"/>
        <v>Open</v>
      </c>
      <c r="L559" s="13"/>
      <c r="M559" s="12"/>
      <c r="N559" s="12"/>
      <c r="O559" s="12"/>
      <c r="P559" s="12" t="s">
        <v>3790</v>
      </c>
      <c r="Q559" s="12"/>
      <c r="R559" s="12"/>
      <c r="S559" s="12"/>
      <c r="T559" s="13" t="s">
        <v>1547</v>
      </c>
      <c r="U559" s="12" t="str">
        <f t="shared" si="35"/>
        <v>Not Started</v>
      </c>
      <c r="V559" s="12" t="str">
        <f t="shared" si="32"/>
        <v>KHAN Jahan</v>
      </c>
      <c r="W559" s="13" t="str">
        <f t="shared" si="33"/>
        <v/>
      </c>
    </row>
    <row r="560" spans="1:23" ht="14.4" customHeight="1" x14ac:dyDescent="0.3">
      <c r="A560" s="28">
        <v>44559</v>
      </c>
      <c r="B560" s="12" t="s">
        <v>2424</v>
      </c>
      <c r="C560" s="12" t="s">
        <v>1542</v>
      </c>
      <c r="D560" s="5" t="s">
        <v>2425</v>
      </c>
      <c r="E560" s="12">
        <v>419</v>
      </c>
      <c r="F560" s="11" t="s">
        <v>2253</v>
      </c>
      <c r="G560" s="12" t="s">
        <v>7</v>
      </c>
      <c r="H560" s="12" t="s">
        <v>19</v>
      </c>
      <c r="I560" s="11" t="s">
        <v>2426</v>
      </c>
      <c r="J560" s="12" t="s">
        <v>1574</v>
      </c>
      <c r="K560" s="12" t="str">
        <f t="shared" si="34"/>
        <v>Closed</v>
      </c>
      <c r="L560" s="13">
        <v>44581</v>
      </c>
      <c r="M560" s="12"/>
      <c r="N560" s="12"/>
      <c r="O560" s="12"/>
      <c r="P560" s="12" t="s">
        <v>3790</v>
      </c>
      <c r="Q560" s="12"/>
      <c r="R560" s="12"/>
      <c r="S560" s="12"/>
      <c r="T560" s="12"/>
      <c r="U560" s="12" t="str">
        <f t="shared" si="35"/>
        <v>NFF</v>
      </c>
      <c r="V560" s="12" t="str">
        <f t="shared" si="32"/>
        <v>DAOUDI Mohamed</v>
      </c>
      <c r="W560" s="13">
        <f t="shared" si="33"/>
        <v>44581</v>
      </c>
    </row>
    <row r="561" spans="1:23" ht="14.4" customHeight="1" x14ac:dyDescent="0.3">
      <c r="A561" s="28">
        <v>44559</v>
      </c>
      <c r="B561" s="12" t="s">
        <v>1440</v>
      </c>
      <c r="C561" s="12" t="s">
        <v>1542</v>
      </c>
      <c r="D561" s="5" t="s">
        <v>2427</v>
      </c>
      <c r="E561" s="12">
        <v>423</v>
      </c>
      <c r="F561" s="11" t="s">
        <v>1439</v>
      </c>
      <c r="G561" s="12" t="s">
        <v>7</v>
      </c>
      <c r="H561" s="12" t="s">
        <v>14</v>
      </c>
      <c r="I561" s="11" t="s">
        <v>2428</v>
      </c>
      <c r="J561" s="12" t="s">
        <v>1545</v>
      </c>
      <c r="K561" s="12" t="str">
        <f t="shared" si="34"/>
        <v>Closed</v>
      </c>
      <c r="L561" s="13">
        <v>44580</v>
      </c>
      <c r="M561" s="12"/>
      <c r="N561" s="12" t="s">
        <v>4427</v>
      </c>
      <c r="O561" s="12" t="s">
        <v>2546</v>
      </c>
      <c r="P561" s="12" t="s">
        <v>3790</v>
      </c>
      <c r="Q561" s="12"/>
      <c r="R561" s="12"/>
      <c r="S561" s="12"/>
      <c r="T561" s="12"/>
      <c r="U561" s="12" t="str">
        <f t="shared" si="35"/>
        <v>Corrected</v>
      </c>
      <c r="V561" s="12" t="str">
        <f t="shared" si="32"/>
        <v>GUAN Jialin</v>
      </c>
      <c r="W561" s="13">
        <f t="shared" si="33"/>
        <v>44580</v>
      </c>
    </row>
    <row r="562" spans="1:23" ht="14.4" customHeight="1" x14ac:dyDescent="0.3">
      <c r="A562" s="28">
        <v>44560</v>
      </c>
      <c r="B562" s="12" t="s">
        <v>2429</v>
      </c>
      <c r="C562" s="12" t="s">
        <v>1542</v>
      </c>
      <c r="D562" s="5" t="s">
        <v>2430</v>
      </c>
      <c r="E562" s="12">
        <v>410</v>
      </c>
      <c r="F562" s="11" t="s">
        <v>2431</v>
      </c>
      <c r="G562" s="12" t="s">
        <v>7</v>
      </c>
      <c r="H562" s="12" t="s">
        <v>9</v>
      </c>
      <c r="I562" s="11"/>
      <c r="J562" s="12" t="s">
        <v>1609</v>
      </c>
      <c r="K562" s="12" t="str">
        <f t="shared" si="34"/>
        <v>Open</v>
      </c>
      <c r="L562" s="13"/>
      <c r="M562" s="12" t="s">
        <v>506</v>
      </c>
      <c r="N562" s="12"/>
      <c r="O562" s="12"/>
      <c r="P562" s="12" t="s">
        <v>3790</v>
      </c>
      <c r="Q562" s="12"/>
      <c r="R562" s="12" t="s">
        <v>5</v>
      </c>
      <c r="S562" s="12" t="s">
        <v>3</v>
      </c>
      <c r="T562" s="13" t="s">
        <v>1547</v>
      </c>
      <c r="U562" s="12" t="str">
        <f t="shared" si="35"/>
        <v>No Material</v>
      </c>
      <c r="V562" s="12" t="str">
        <f t="shared" si="32"/>
        <v>SUKIMAN Zamhuri</v>
      </c>
      <c r="W562" s="13" t="str">
        <f t="shared" si="33"/>
        <v/>
      </c>
    </row>
    <row r="563" spans="1:23" ht="43.2" x14ac:dyDescent="0.3">
      <c r="A563" s="28">
        <v>44560</v>
      </c>
      <c r="B563" s="12" t="s">
        <v>2432</v>
      </c>
      <c r="C563" s="12" t="s">
        <v>1542</v>
      </c>
      <c r="D563" s="5" t="s">
        <v>2433</v>
      </c>
      <c r="E563" s="12">
        <v>421</v>
      </c>
      <c r="F563" s="14" t="s">
        <v>4293</v>
      </c>
      <c r="G563" s="12" t="s">
        <v>7</v>
      </c>
      <c r="H563" s="12" t="s">
        <v>9</v>
      </c>
      <c r="I563" s="11" t="s">
        <v>4065</v>
      </c>
      <c r="J563" s="12" t="s">
        <v>1609</v>
      </c>
      <c r="K563" s="12" t="str">
        <f t="shared" si="34"/>
        <v>Open</v>
      </c>
      <c r="L563" s="13"/>
      <c r="M563" s="12" t="s">
        <v>355</v>
      </c>
      <c r="N563" s="12"/>
      <c r="O563" s="12"/>
      <c r="P563" s="12" t="s">
        <v>3790</v>
      </c>
      <c r="Q563" s="12"/>
      <c r="R563" s="12" t="s">
        <v>3566</v>
      </c>
      <c r="S563" s="12" t="s">
        <v>19</v>
      </c>
      <c r="T563" s="12"/>
      <c r="U563" s="12" t="str">
        <f t="shared" si="35"/>
        <v>CM Open</v>
      </c>
      <c r="V563" s="12" t="str">
        <f t="shared" si="32"/>
        <v>DAOUDI Mohamed</v>
      </c>
      <c r="W563" s="13" t="str">
        <f t="shared" si="33"/>
        <v/>
      </c>
    </row>
    <row r="564" spans="1:23" ht="14.4" customHeight="1" x14ac:dyDescent="0.3">
      <c r="A564" s="28">
        <v>44560</v>
      </c>
      <c r="B564" s="12" t="s">
        <v>2434</v>
      </c>
      <c r="C564" s="12" t="s">
        <v>1542</v>
      </c>
      <c r="D564" s="5" t="s">
        <v>2435</v>
      </c>
      <c r="E564" s="12">
        <v>422</v>
      </c>
      <c r="F564" s="11" t="s">
        <v>2436</v>
      </c>
      <c r="G564" s="12" t="s">
        <v>7</v>
      </c>
      <c r="H564" s="12" t="s">
        <v>14</v>
      </c>
      <c r="I564" s="14" t="s">
        <v>4294</v>
      </c>
      <c r="J564" s="12" t="s">
        <v>1545</v>
      </c>
      <c r="K564" s="12" t="str">
        <f t="shared" si="34"/>
        <v>Closed</v>
      </c>
      <c r="L564" s="13">
        <v>44615</v>
      </c>
      <c r="M564" s="12"/>
      <c r="N564" s="12" t="s">
        <v>4427</v>
      </c>
      <c r="O564" s="12" t="s">
        <v>3258</v>
      </c>
      <c r="P564" s="12" t="s">
        <v>3790</v>
      </c>
      <c r="Q564" s="12"/>
      <c r="R564" s="12"/>
      <c r="S564" s="12"/>
      <c r="T564" s="12"/>
      <c r="U564" s="12" t="str">
        <f t="shared" si="35"/>
        <v>Corrected</v>
      </c>
      <c r="V564" s="12" t="str">
        <f t="shared" si="32"/>
        <v>GUAN Jialin</v>
      </c>
      <c r="W564" s="13">
        <f t="shared" si="33"/>
        <v>44615</v>
      </c>
    </row>
    <row r="565" spans="1:23" x14ac:dyDescent="0.3">
      <c r="A565" s="28">
        <v>44563</v>
      </c>
      <c r="B565" s="12" t="s">
        <v>2441</v>
      </c>
      <c r="C565" s="12" t="s">
        <v>1542</v>
      </c>
      <c r="D565" s="5" t="s">
        <v>2442</v>
      </c>
      <c r="E565" s="12">
        <v>412</v>
      </c>
      <c r="F565" s="11" t="s">
        <v>2443</v>
      </c>
      <c r="G565" s="12"/>
      <c r="H565" s="12" t="s">
        <v>14</v>
      </c>
      <c r="I565" s="11" t="s">
        <v>2444</v>
      </c>
      <c r="J565" s="12" t="s">
        <v>1545</v>
      </c>
      <c r="K565" s="12" t="str">
        <f t="shared" si="34"/>
        <v>Closed</v>
      </c>
      <c r="L565" s="13">
        <v>44571</v>
      </c>
      <c r="M565" s="12" t="s">
        <v>323</v>
      </c>
      <c r="N565" s="12" t="s">
        <v>4427</v>
      </c>
      <c r="O565" s="12" t="s">
        <v>2445</v>
      </c>
      <c r="P565" s="12" t="s">
        <v>3790</v>
      </c>
      <c r="Q565" s="12"/>
      <c r="R565" s="12"/>
      <c r="S565" s="12"/>
      <c r="T565" s="12"/>
      <c r="U565" s="12" t="str">
        <f t="shared" si="35"/>
        <v>Corrected</v>
      </c>
      <c r="V565" s="12" t="str">
        <f t="shared" si="32"/>
        <v>GUAN Jialin</v>
      </c>
      <c r="W565" s="13">
        <f t="shared" si="33"/>
        <v>44571</v>
      </c>
    </row>
    <row r="566" spans="1:23" ht="14.4" customHeight="1" x14ac:dyDescent="0.3">
      <c r="A566" s="28">
        <v>44563</v>
      </c>
      <c r="B566" s="12" t="s">
        <v>2446</v>
      </c>
      <c r="C566" s="12" t="s">
        <v>1542</v>
      </c>
      <c r="D566" s="5" t="s">
        <v>2442</v>
      </c>
      <c r="E566" s="12">
        <v>412</v>
      </c>
      <c r="F566" s="11" t="s">
        <v>2447</v>
      </c>
      <c r="G566" s="12" t="s">
        <v>7</v>
      </c>
      <c r="H566" s="12" t="s">
        <v>9</v>
      </c>
      <c r="I566" s="11"/>
      <c r="J566" s="12" t="s">
        <v>1609</v>
      </c>
      <c r="K566" s="12" t="str">
        <f t="shared" si="34"/>
        <v>Open</v>
      </c>
      <c r="L566" s="13"/>
      <c r="M566" s="12" t="s">
        <v>502</v>
      </c>
      <c r="N566" s="12" t="s">
        <v>2448</v>
      </c>
      <c r="O566" s="12" t="s">
        <v>1675</v>
      </c>
      <c r="P566" s="12" t="s">
        <v>3790</v>
      </c>
      <c r="Q566" s="12"/>
      <c r="R566" s="12" t="s">
        <v>5</v>
      </c>
      <c r="S566" s="12" t="s">
        <v>3</v>
      </c>
      <c r="T566" s="12"/>
      <c r="U566" s="12" t="str">
        <f t="shared" si="35"/>
        <v>No Material</v>
      </c>
      <c r="V566" s="12" t="str">
        <f t="shared" si="32"/>
        <v>SUKIMAN Zamhuri</v>
      </c>
      <c r="W566" s="13" t="str">
        <f t="shared" si="33"/>
        <v/>
      </c>
    </row>
    <row r="567" spans="1:23" ht="14.4" customHeight="1" x14ac:dyDescent="0.3">
      <c r="A567" s="28">
        <v>44563</v>
      </c>
      <c r="B567" s="12" t="s">
        <v>1025</v>
      </c>
      <c r="C567" s="12" t="s">
        <v>1703</v>
      </c>
      <c r="D567" s="5" t="s">
        <v>1675</v>
      </c>
      <c r="E567" s="12">
        <v>412</v>
      </c>
      <c r="F567" s="11" t="s">
        <v>2449</v>
      </c>
      <c r="G567" s="12" t="s">
        <v>1</v>
      </c>
      <c r="H567" s="12" t="s">
        <v>9</v>
      </c>
      <c r="I567" s="11" t="s">
        <v>2450</v>
      </c>
      <c r="J567" s="12" t="s">
        <v>1545</v>
      </c>
      <c r="K567" s="12" t="str">
        <f t="shared" si="34"/>
        <v>Closed</v>
      </c>
      <c r="L567" s="13">
        <v>44564</v>
      </c>
      <c r="M567" s="12"/>
      <c r="N567" s="12" t="s">
        <v>4430</v>
      </c>
      <c r="O567" s="12" t="s">
        <v>1675</v>
      </c>
      <c r="P567" s="12" t="s">
        <v>3790</v>
      </c>
      <c r="Q567" s="12"/>
      <c r="R567" s="12"/>
      <c r="S567" s="12"/>
      <c r="T567" s="12"/>
      <c r="U567" s="12" t="str">
        <f t="shared" si="35"/>
        <v>Corrected</v>
      </c>
      <c r="V567" s="12" t="str">
        <f t="shared" si="32"/>
        <v>KHAN Jahan</v>
      </c>
      <c r="W567" s="13">
        <f t="shared" si="33"/>
        <v>44564</v>
      </c>
    </row>
    <row r="568" spans="1:23" ht="14.4" customHeight="1" x14ac:dyDescent="0.3">
      <c r="A568" s="28">
        <v>44563</v>
      </c>
      <c r="B568" s="12" t="s">
        <v>2456</v>
      </c>
      <c r="C568" s="12" t="s">
        <v>1542</v>
      </c>
      <c r="D568" s="5" t="s">
        <v>2457</v>
      </c>
      <c r="E568" s="12">
        <v>411</v>
      </c>
      <c r="F568" s="11" t="s">
        <v>2458</v>
      </c>
      <c r="G568" s="12" t="s">
        <v>7</v>
      </c>
      <c r="H568" s="12" t="s">
        <v>19</v>
      </c>
      <c r="I568" s="11" t="s">
        <v>2459</v>
      </c>
      <c r="J568" s="12" t="s">
        <v>1574</v>
      </c>
      <c r="K568" s="12" t="str">
        <f t="shared" si="34"/>
        <v>Closed</v>
      </c>
      <c r="L568" s="13">
        <v>44592</v>
      </c>
      <c r="M568" s="12"/>
      <c r="N568" s="12" t="s">
        <v>1652</v>
      </c>
      <c r="O568" s="12" t="s">
        <v>1675</v>
      </c>
      <c r="P568" s="12" t="s">
        <v>3790</v>
      </c>
      <c r="Q568" s="12"/>
      <c r="R568" s="12"/>
      <c r="S568" s="12"/>
      <c r="T568" s="25"/>
      <c r="U568" s="12" t="str">
        <f t="shared" si="35"/>
        <v>NFF</v>
      </c>
      <c r="V568" s="12" t="str">
        <f t="shared" si="32"/>
        <v>DAOUDI Mohamed</v>
      </c>
      <c r="W568" s="13">
        <f t="shared" si="33"/>
        <v>44592</v>
      </c>
    </row>
    <row r="569" spans="1:23" ht="14.4" customHeight="1" x14ac:dyDescent="0.3">
      <c r="A569" s="28">
        <v>44563</v>
      </c>
      <c r="B569" s="12" t="s">
        <v>2460</v>
      </c>
      <c r="C569" s="12" t="s">
        <v>1542</v>
      </c>
      <c r="D569" s="5" t="s">
        <v>2461</v>
      </c>
      <c r="E569" s="12">
        <v>603</v>
      </c>
      <c r="F569" s="11" t="s">
        <v>2462</v>
      </c>
      <c r="G569" s="12" t="s">
        <v>4</v>
      </c>
      <c r="H569" s="12" t="s">
        <v>9</v>
      </c>
      <c r="I569" s="11"/>
      <c r="J569" s="12" t="s">
        <v>1545</v>
      </c>
      <c r="K569" s="12" t="str">
        <f t="shared" si="34"/>
        <v>Closed</v>
      </c>
      <c r="L569" s="13">
        <v>44605</v>
      </c>
      <c r="M569" s="12" t="s">
        <v>1477</v>
      </c>
      <c r="N569" s="12" t="s">
        <v>1652</v>
      </c>
      <c r="O569" s="12" t="s">
        <v>2463</v>
      </c>
      <c r="P569" s="12" t="s">
        <v>3790</v>
      </c>
      <c r="Q569" s="12"/>
      <c r="R569" s="12"/>
      <c r="S569" s="12"/>
      <c r="T569" s="12"/>
      <c r="U569" s="12" t="str">
        <f t="shared" si="35"/>
        <v>Corrected</v>
      </c>
      <c r="V569" s="12" t="str">
        <f t="shared" si="32"/>
        <v>KHAN Jahan</v>
      </c>
      <c r="W569" s="13">
        <f t="shared" si="33"/>
        <v>44605</v>
      </c>
    </row>
    <row r="570" spans="1:23" ht="14.4" customHeight="1" x14ac:dyDescent="0.3">
      <c r="A570" s="28">
        <v>44563</v>
      </c>
      <c r="B570" s="12" t="s">
        <v>2464</v>
      </c>
      <c r="C570" s="12" t="s">
        <v>1542</v>
      </c>
      <c r="D570" s="5" t="s">
        <v>2461</v>
      </c>
      <c r="E570" s="12">
        <v>603</v>
      </c>
      <c r="F570" s="11" t="s">
        <v>2465</v>
      </c>
      <c r="G570" s="12" t="s">
        <v>7</v>
      </c>
      <c r="H570" s="12" t="s">
        <v>9</v>
      </c>
      <c r="I570" s="11"/>
      <c r="J570" s="12" t="s">
        <v>1609</v>
      </c>
      <c r="K570" s="12" t="str">
        <f t="shared" si="34"/>
        <v>Open</v>
      </c>
      <c r="L570" s="13"/>
      <c r="M570" s="12" t="s">
        <v>4295</v>
      </c>
      <c r="N570" s="12" t="s">
        <v>1652</v>
      </c>
      <c r="O570" s="12"/>
      <c r="P570" s="12" t="s">
        <v>3790</v>
      </c>
      <c r="Q570" s="12"/>
      <c r="R570" s="12" t="s">
        <v>5</v>
      </c>
      <c r="S570" s="12" t="s">
        <v>3</v>
      </c>
      <c r="T570" s="12"/>
      <c r="U570" s="12" t="str">
        <f t="shared" si="35"/>
        <v>No Material</v>
      </c>
      <c r="V570" s="12" t="str">
        <f t="shared" si="32"/>
        <v>SUKIMAN Zamhuri</v>
      </c>
      <c r="W570" s="13" t="str">
        <f t="shared" si="33"/>
        <v/>
      </c>
    </row>
    <row r="571" spans="1:23" x14ac:dyDescent="0.3">
      <c r="A571" s="28">
        <v>44563</v>
      </c>
      <c r="B571" s="12" t="s">
        <v>2466</v>
      </c>
      <c r="C571" s="12" t="s">
        <v>1542</v>
      </c>
      <c r="D571" s="5" t="s">
        <v>2461</v>
      </c>
      <c r="E571" s="12">
        <v>603</v>
      </c>
      <c r="F571" s="11" t="s">
        <v>2467</v>
      </c>
      <c r="G571" s="12" t="s">
        <v>7</v>
      </c>
      <c r="H571" s="12" t="s">
        <v>9</v>
      </c>
      <c r="I571" s="11"/>
      <c r="J571" s="12" t="s">
        <v>1609</v>
      </c>
      <c r="K571" s="12" t="str">
        <f t="shared" si="34"/>
        <v>Open</v>
      </c>
      <c r="L571" s="13"/>
      <c r="M571" s="12" t="s">
        <v>1034</v>
      </c>
      <c r="N571" s="12" t="s">
        <v>2448</v>
      </c>
      <c r="O571" s="12" t="s">
        <v>1675</v>
      </c>
      <c r="P571" s="12" t="s">
        <v>3790</v>
      </c>
      <c r="Q571" s="12"/>
      <c r="R571" s="12" t="s">
        <v>5</v>
      </c>
      <c r="S571" s="12" t="s">
        <v>3</v>
      </c>
      <c r="T571" s="12"/>
      <c r="U571" s="12" t="str">
        <f t="shared" si="35"/>
        <v>No Material</v>
      </c>
      <c r="V571" s="12" t="str">
        <f t="shared" si="32"/>
        <v>SUKIMAN Zamhuri</v>
      </c>
      <c r="W571" s="13" t="str">
        <f t="shared" si="33"/>
        <v/>
      </c>
    </row>
    <row r="572" spans="1:23" ht="14.4" customHeight="1" x14ac:dyDescent="0.3">
      <c r="A572" s="28">
        <v>44563</v>
      </c>
      <c r="B572" s="12" t="s">
        <v>2468</v>
      </c>
      <c r="C572" s="12" t="s">
        <v>1542</v>
      </c>
      <c r="D572" s="5" t="s">
        <v>2469</v>
      </c>
      <c r="E572" s="12">
        <v>609</v>
      </c>
      <c r="F572" s="11" t="s">
        <v>1356</v>
      </c>
      <c r="G572" s="12" t="s">
        <v>1</v>
      </c>
      <c r="H572" s="12" t="s">
        <v>9</v>
      </c>
      <c r="I572" s="11"/>
      <c r="J572" s="12" t="s">
        <v>1545</v>
      </c>
      <c r="K572" s="12" t="str">
        <f t="shared" si="34"/>
        <v>Closed</v>
      </c>
      <c r="L572" s="13">
        <v>44600</v>
      </c>
      <c r="M572" s="12" t="s">
        <v>1357</v>
      </c>
      <c r="N572" s="12" t="s">
        <v>1652</v>
      </c>
      <c r="O572" s="12" t="s">
        <v>1675</v>
      </c>
      <c r="P572" s="12" t="s">
        <v>3790</v>
      </c>
      <c r="Q572" s="12"/>
      <c r="R572" s="12"/>
      <c r="S572" s="12"/>
      <c r="T572" s="13" t="s">
        <v>1547</v>
      </c>
      <c r="U572" s="12" t="str">
        <f t="shared" si="35"/>
        <v>Corrected</v>
      </c>
      <c r="V572" s="12" t="str">
        <f t="shared" si="32"/>
        <v>KHAN Jahan</v>
      </c>
      <c r="W572" s="13">
        <f t="shared" si="33"/>
        <v>44600</v>
      </c>
    </row>
    <row r="573" spans="1:23" ht="14.4" customHeight="1" x14ac:dyDescent="0.3">
      <c r="A573" s="28">
        <v>44563</v>
      </c>
      <c r="B573" s="12" t="s">
        <v>2470</v>
      </c>
      <c r="C573" s="12" t="s">
        <v>1542</v>
      </c>
      <c r="D573" s="5" t="s">
        <v>2469</v>
      </c>
      <c r="E573" s="12">
        <v>609</v>
      </c>
      <c r="F573" s="11" t="s">
        <v>2471</v>
      </c>
      <c r="G573" s="12" t="s">
        <v>7</v>
      </c>
      <c r="H573" s="12" t="s">
        <v>19</v>
      </c>
      <c r="I573" s="11"/>
      <c r="J573" s="12" t="s">
        <v>1609</v>
      </c>
      <c r="K573" s="12" t="str">
        <f t="shared" si="34"/>
        <v>Open</v>
      </c>
      <c r="L573" s="13"/>
      <c r="M573" s="12" t="s">
        <v>1459</v>
      </c>
      <c r="N573" s="12" t="s">
        <v>1652</v>
      </c>
      <c r="O573" s="12" t="s">
        <v>1675</v>
      </c>
      <c r="P573" s="12" t="s">
        <v>3790</v>
      </c>
      <c r="Q573" s="12"/>
      <c r="R573" s="12" t="s">
        <v>1545</v>
      </c>
      <c r="S573" s="12" t="s">
        <v>15</v>
      </c>
      <c r="T573" s="13">
        <v>44643</v>
      </c>
      <c r="U573" s="12" t="str">
        <f t="shared" si="35"/>
        <v>Corrected</v>
      </c>
      <c r="V573" s="12" t="str">
        <f t="shared" si="32"/>
        <v>Imran Rasheed</v>
      </c>
      <c r="W573" s="13">
        <f t="shared" si="33"/>
        <v>44643</v>
      </c>
    </row>
    <row r="574" spans="1:23" ht="14.4" customHeight="1" x14ac:dyDescent="0.3">
      <c r="A574" s="28">
        <v>44563</v>
      </c>
      <c r="B574" s="12" t="s">
        <v>2472</v>
      </c>
      <c r="C574" s="12" t="s">
        <v>1542</v>
      </c>
      <c r="D574" s="5" t="s">
        <v>2469</v>
      </c>
      <c r="E574" s="12">
        <v>609</v>
      </c>
      <c r="F574" s="14" t="s">
        <v>4296</v>
      </c>
      <c r="G574" s="12" t="s">
        <v>7</v>
      </c>
      <c r="H574" s="12" t="s">
        <v>9</v>
      </c>
      <c r="I574" s="14" t="s">
        <v>4391</v>
      </c>
      <c r="J574" s="12" t="s">
        <v>1609</v>
      </c>
      <c r="K574" s="12" t="str">
        <f t="shared" si="34"/>
        <v>Open</v>
      </c>
      <c r="L574" s="13"/>
      <c r="M574" s="12" t="s">
        <v>1330</v>
      </c>
      <c r="N574" s="12" t="s">
        <v>2448</v>
      </c>
      <c r="O574" s="12" t="s">
        <v>1675</v>
      </c>
      <c r="P574" s="12" t="s">
        <v>3790</v>
      </c>
      <c r="Q574" s="12"/>
      <c r="R574" s="12" t="s">
        <v>5</v>
      </c>
      <c r="S574" s="12" t="s">
        <v>3</v>
      </c>
      <c r="T574" s="13" t="s">
        <v>1547</v>
      </c>
      <c r="U574" s="12" t="str">
        <f t="shared" si="35"/>
        <v>No Material</v>
      </c>
      <c r="V574" s="12" t="str">
        <f t="shared" si="32"/>
        <v>SUKIMAN Zamhuri</v>
      </c>
      <c r="W574" s="13" t="str">
        <f t="shared" si="33"/>
        <v/>
      </c>
    </row>
    <row r="575" spans="1:23" ht="14.4" customHeight="1" x14ac:dyDescent="0.3">
      <c r="A575" s="28">
        <v>44563</v>
      </c>
      <c r="B575" s="12" t="s">
        <v>2473</v>
      </c>
      <c r="C575" s="12" t="s">
        <v>1542</v>
      </c>
      <c r="D575" s="5" t="s">
        <v>2442</v>
      </c>
      <c r="E575" s="12">
        <v>412</v>
      </c>
      <c r="F575" s="11" t="s">
        <v>2474</v>
      </c>
      <c r="G575" s="12" t="s">
        <v>7</v>
      </c>
      <c r="H575" s="12" t="s">
        <v>19</v>
      </c>
      <c r="I575" s="14" t="s">
        <v>4297</v>
      </c>
      <c r="J575" s="12" t="s">
        <v>1609</v>
      </c>
      <c r="K575" s="12" t="str">
        <f t="shared" si="34"/>
        <v>Open</v>
      </c>
      <c r="L575" s="13">
        <v>44648</v>
      </c>
      <c r="M575" s="12"/>
      <c r="N575" s="12" t="s">
        <v>1652</v>
      </c>
      <c r="O575" s="12" t="s">
        <v>1675</v>
      </c>
      <c r="P575" s="12" t="s">
        <v>3790</v>
      </c>
      <c r="Q575" s="12"/>
      <c r="R575" s="12" t="s">
        <v>1545</v>
      </c>
      <c r="S575" s="12" t="s">
        <v>15</v>
      </c>
      <c r="T575" s="13">
        <v>44647</v>
      </c>
      <c r="U575" s="12" t="str">
        <f t="shared" si="35"/>
        <v>Corrected</v>
      </c>
      <c r="V575" s="12" t="str">
        <f t="shared" ref="V575:V638" si="36">IF(AND(J575="Corrective Action Required",R575="Corrected"),S575, IF(AND(J575="Corrective Action Required",R575&lt;&gt;"Corrected"),S575,H575))</f>
        <v>Imran Rasheed</v>
      </c>
      <c r="W575" s="13">
        <f t="shared" ref="W575:W638" si="37">IF(OR(J575="Corrected",J575="NFF"),L575, IF(AND(J575="Corrective Action Required",R575="Corrected"),T575,""))</f>
        <v>44647</v>
      </c>
    </row>
    <row r="576" spans="1:23" ht="14.4" customHeight="1" x14ac:dyDescent="0.3">
      <c r="A576" s="28">
        <v>44564</v>
      </c>
      <c r="B576" s="12" t="s">
        <v>2476</v>
      </c>
      <c r="C576" s="12" t="s">
        <v>1687</v>
      </c>
      <c r="D576" s="5" t="s">
        <v>1675</v>
      </c>
      <c r="E576" s="12">
        <v>404</v>
      </c>
      <c r="F576" s="11" t="s">
        <v>2477</v>
      </c>
      <c r="G576" s="12"/>
      <c r="H576" s="12" t="s">
        <v>9</v>
      </c>
      <c r="I576" s="11" t="s">
        <v>2478</v>
      </c>
      <c r="J576" s="12" t="s">
        <v>1545</v>
      </c>
      <c r="K576" s="12" t="str">
        <f t="shared" ref="K576:K639" si="38">IF(J576="Corrected","Closed",IF(J576="NFF","Closed","Open"))</f>
        <v>Closed</v>
      </c>
      <c r="L576" s="13">
        <v>44566</v>
      </c>
      <c r="M576" s="12"/>
      <c r="N576" s="12" t="s">
        <v>2448</v>
      </c>
      <c r="O576" s="12"/>
      <c r="P576" s="12" t="s">
        <v>3790</v>
      </c>
      <c r="Q576" s="12"/>
      <c r="R576" s="12"/>
      <c r="S576" s="12"/>
      <c r="T576" s="12"/>
      <c r="U576" s="12" t="str">
        <f t="shared" si="35"/>
        <v>Corrected</v>
      </c>
      <c r="V576" s="12" t="str">
        <f t="shared" si="36"/>
        <v>KHAN Jahan</v>
      </c>
      <c r="W576" s="13">
        <f t="shared" si="37"/>
        <v>44566</v>
      </c>
    </row>
    <row r="577" spans="1:23" ht="14.4" customHeight="1" x14ac:dyDescent="0.3">
      <c r="A577" s="28">
        <v>44564</v>
      </c>
      <c r="B577" s="12" t="s">
        <v>2479</v>
      </c>
      <c r="C577" s="12" t="s">
        <v>1542</v>
      </c>
      <c r="D577" s="5" t="s">
        <v>2480</v>
      </c>
      <c r="E577" s="12">
        <v>604</v>
      </c>
      <c r="F577" s="11" t="s">
        <v>2481</v>
      </c>
      <c r="G577" s="12"/>
      <c r="H577" s="12" t="s">
        <v>9</v>
      </c>
      <c r="I577" s="11"/>
      <c r="J577" s="12" t="s">
        <v>1545</v>
      </c>
      <c r="K577" s="12" t="str">
        <f t="shared" si="38"/>
        <v>Closed</v>
      </c>
      <c r="L577" s="13">
        <v>44565</v>
      </c>
      <c r="M577" s="12"/>
      <c r="N577" s="12" t="s">
        <v>2482</v>
      </c>
      <c r="O577" s="12" t="s">
        <v>1675</v>
      </c>
      <c r="P577" s="12" t="s">
        <v>3790</v>
      </c>
      <c r="Q577" s="12"/>
      <c r="R577" s="12"/>
      <c r="S577" s="12"/>
      <c r="T577" s="12"/>
      <c r="U577" s="12" t="str">
        <f t="shared" si="35"/>
        <v>Corrected</v>
      </c>
      <c r="V577" s="12" t="str">
        <f t="shared" si="36"/>
        <v>KHAN Jahan</v>
      </c>
      <c r="W577" s="13">
        <f t="shared" si="37"/>
        <v>44565</v>
      </c>
    </row>
    <row r="578" spans="1:23" ht="14.4" customHeight="1" x14ac:dyDescent="0.3">
      <c r="A578" s="28">
        <v>44564</v>
      </c>
      <c r="B578" s="12" t="s">
        <v>2483</v>
      </c>
      <c r="C578" s="12" t="s">
        <v>1703</v>
      </c>
      <c r="D578" s="5" t="s">
        <v>1675</v>
      </c>
      <c r="E578" s="12">
        <v>609</v>
      </c>
      <c r="F578" s="11" t="s">
        <v>512</v>
      </c>
      <c r="G578" s="12" t="s">
        <v>7</v>
      </c>
      <c r="H578" s="12" t="s">
        <v>9</v>
      </c>
      <c r="I578" s="14" t="s">
        <v>4390</v>
      </c>
      <c r="J578" s="12" t="s">
        <v>1609</v>
      </c>
      <c r="K578" s="12" t="str">
        <f t="shared" si="38"/>
        <v>Open</v>
      </c>
      <c r="L578" s="13"/>
      <c r="M578" s="12" t="s">
        <v>509</v>
      </c>
      <c r="N578" s="12" t="s">
        <v>2448</v>
      </c>
      <c r="O578" s="12" t="s">
        <v>1675</v>
      </c>
      <c r="P578" s="12" t="s">
        <v>3790</v>
      </c>
      <c r="Q578" s="12"/>
      <c r="R578" s="12" t="s">
        <v>5</v>
      </c>
      <c r="S578" s="12" t="s">
        <v>3</v>
      </c>
      <c r="T578" s="12"/>
      <c r="U578" s="12" t="str">
        <f t="shared" si="35"/>
        <v>No Material</v>
      </c>
      <c r="V578" s="12" t="str">
        <f t="shared" si="36"/>
        <v>SUKIMAN Zamhuri</v>
      </c>
      <c r="W578" s="13" t="str">
        <f t="shared" si="37"/>
        <v/>
      </c>
    </row>
    <row r="579" spans="1:23" ht="14.4" customHeight="1" x14ac:dyDescent="0.3">
      <c r="A579" s="28">
        <v>44564</v>
      </c>
      <c r="B579" s="12" t="s">
        <v>2484</v>
      </c>
      <c r="C579" s="12" t="s">
        <v>1542</v>
      </c>
      <c r="D579" s="5" t="s">
        <v>2480</v>
      </c>
      <c r="E579" s="12">
        <v>604</v>
      </c>
      <c r="F579" s="11" t="s">
        <v>2485</v>
      </c>
      <c r="G579" s="12"/>
      <c r="H579" s="12" t="s">
        <v>9</v>
      </c>
      <c r="I579" s="11"/>
      <c r="J579" s="12" t="s">
        <v>1574</v>
      </c>
      <c r="K579" s="12" t="str">
        <f t="shared" si="38"/>
        <v>Closed</v>
      </c>
      <c r="L579" s="13">
        <v>44565</v>
      </c>
      <c r="M579" s="12"/>
      <c r="N579" s="12" t="s">
        <v>1652</v>
      </c>
      <c r="O579" s="12" t="s">
        <v>2463</v>
      </c>
      <c r="P579" s="12" t="s">
        <v>3790</v>
      </c>
      <c r="Q579" s="12"/>
      <c r="R579" s="12"/>
      <c r="S579" s="12"/>
      <c r="T579" s="12"/>
      <c r="U579" s="12" t="str">
        <f t="shared" ref="U579:U642" si="39">IF(AND(J579="Corrective Action Required",R579="Corrected"),"Corrected", IF(AND(J579="Corrective Action Required",R579&lt;&gt;"Corrected"),R579,J579))</f>
        <v>NFF</v>
      </c>
      <c r="V579" s="12" t="str">
        <f t="shared" si="36"/>
        <v>KHAN Jahan</v>
      </c>
      <c r="W579" s="13">
        <f t="shared" si="37"/>
        <v>44565</v>
      </c>
    </row>
    <row r="580" spans="1:23" ht="14.4" customHeight="1" x14ac:dyDescent="0.3">
      <c r="A580" s="28">
        <v>44564</v>
      </c>
      <c r="B580" s="12" t="s">
        <v>2486</v>
      </c>
      <c r="C580" s="12" t="s">
        <v>1542</v>
      </c>
      <c r="D580" s="5" t="s">
        <v>2487</v>
      </c>
      <c r="E580" s="12">
        <v>606</v>
      </c>
      <c r="F580" s="11" t="s">
        <v>2462</v>
      </c>
      <c r="G580" s="12"/>
      <c r="H580" s="12" t="s">
        <v>9</v>
      </c>
      <c r="I580" s="11"/>
      <c r="J580" s="12" t="s">
        <v>1574</v>
      </c>
      <c r="K580" s="12" t="str">
        <f t="shared" si="38"/>
        <v>Closed</v>
      </c>
      <c r="L580" s="13">
        <v>44565</v>
      </c>
      <c r="M580" s="12"/>
      <c r="N580" s="12" t="s">
        <v>1652</v>
      </c>
      <c r="O580" s="12" t="s">
        <v>2463</v>
      </c>
      <c r="P580" s="12" t="s">
        <v>3790</v>
      </c>
      <c r="Q580" s="12"/>
      <c r="R580" s="12"/>
      <c r="S580" s="12"/>
      <c r="T580" s="12"/>
      <c r="U580" s="12" t="str">
        <f t="shared" si="39"/>
        <v>NFF</v>
      </c>
      <c r="V580" s="12" t="str">
        <f t="shared" si="36"/>
        <v>KHAN Jahan</v>
      </c>
      <c r="W580" s="13">
        <f t="shared" si="37"/>
        <v>44565</v>
      </c>
    </row>
    <row r="581" spans="1:23" ht="14.4" customHeight="1" x14ac:dyDescent="0.3">
      <c r="A581" s="28">
        <v>44564</v>
      </c>
      <c r="B581" s="12" t="s">
        <v>2488</v>
      </c>
      <c r="C581" s="12" t="s">
        <v>1542</v>
      </c>
      <c r="D581" s="5" t="s">
        <v>2487</v>
      </c>
      <c r="E581" s="12">
        <v>606</v>
      </c>
      <c r="F581" s="11" t="s">
        <v>2465</v>
      </c>
      <c r="G581" s="12"/>
      <c r="H581" s="12" t="s">
        <v>9</v>
      </c>
      <c r="I581" s="11"/>
      <c r="J581" s="12" t="s">
        <v>1574</v>
      </c>
      <c r="K581" s="12" t="str">
        <f t="shared" si="38"/>
        <v>Closed</v>
      </c>
      <c r="L581" s="13">
        <v>44565</v>
      </c>
      <c r="M581" s="12"/>
      <c r="N581" s="12" t="s">
        <v>1652</v>
      </c>
      <c r="O581" s="12"/>
      <c r="P581" s="12" t="s">
        <v>3790</v>
      </c>
      <c r="Q581" s="12"/>
      <c r="R581" s="12"/>
      <c r="S581" s="12"/>
      <c r="T581" s="13" t="s">
        <v>1547</v>
      </c>
      <c r="U581" s="12" t="str">
        <f t="shared" si="39"/>
        <v>NFF</v>
      </c>
      <c r="V581" s="12" t="str">
        <f t="shared" si="36"/>
        <v>KHAN Jahan</v>
      </c>
      <c r="W581" s="13">
        <f t="shared" si="37"/>
        <v>44565</v>
      </c>
    </row>
    <row r="582" spans="1:23" ht="14.4" customHeight="1" x14ac:dyDescent="0.3">
      <c r="A582" s="28">
        <v>44564</v>
      </c>
      <c r="B582" s="12" t="s">
        <v>2489</v>
      </c>
      <c r="C582" s="12" t="s">
        <v>1542</v>
      </c>
      <c r="D582" s="5" t="s">
        <v>2487</v>
      </c>
      <c r="E582" s="12">
        <v>606</v>
      </c>
      <c r="F582" s="11" t="s">
        <v>2467</v>
      </c>
      <c r="G582" s="12"/>
      <c r="H582" s="12" t="s">
        <v>9</v>
      </c>
      <c r="I582" s="11"/>
      <c r="J582" s="12" t="s">
        <v>1574</v>
      </c>
      <c r="K582" s="12" t="str">
        <f t="shared" si="38"/>
        <v>Closed</v>
      </c>
      <c r="L582" s="13">
        <v>44565</v>
      </c>
      <c r="M582" s="12"/>
      <c r="N582" s="12" t="s">
        <v>2448</v>
      </c>
      <c r="O582" s="12" t="s">
        <v>1675</v>
      </c>
      <c r="P582" s="12" t="s">
        <v>3790</v>
      </c>
      <c r="Q582" s="12"/>
      <c r="R582" s="12"/>
      <c r="S582" s="12"/>
      <c r="T582" s="12"/>
      <c r="U582" s="12" t="str">
        <f t="shared" si="39"/>
        <v>NFF</v>
      </c>
      <c r="V582" s="12" t="str">
        <f t="shared" si="36"/>
        <v>KHAN Jahan</v>
      </c>
      <c r="W582" s="13">
        <f t="shared" si="37"/>
        <v>44565</v>
      </c>
    </row>
    <row r="583" spans="1:23" ht="14.4" customHeight="1" x14ac:dyDescent="0.3">
      <c r="A583" s="28">
        <v>44564</v>
      </c>
      <c r="B583" s="12" t="s">
        <v>2490</v>
      </c>
      <c r="C583" s="12" t="s">
        <v>1687</v>
      </c>
      <c r="D583" s="5" t="s">
        <v>1675</v>
      </c>
      <c r="E583" s="12">
        <v>402</v>
      </c>
      <c r="F583" s="11" t="s">
        <v>2491</v>
      </c>
      <c r="G583" s="12" t="s">
        <v>7</v>
      </c>
      <c r="H583" s="12" t="s">
        <v>9</v>
      </c>
      <c r="I583" s="11"/>
      <c r="J583" s="12" t="s">
        <v>1545</v>
      </c>
      <c r="K583" s="12" t="str">
        <f t="shared" si="38"/>
        <v>Closed</v>
      </c>
      <c r="L583" s="13">
        <v>44600</v>
      </c>
      <c r="M583" s="12"/>
      <c r="N583" s="12" t="s">
        <v>2492</v>
      </c>
      <c r="O583" s="12" t="s">
        <v>1675</v>
      </c>
      <c r="P583" s="12" t="s">
        <v>3790</v>
      </c>
      <c r="Q583" s="12"/>
      <c r="R583" s="12"/>
      <c r="S583" s="12"/>
      <c r="T583" s="12"/>
      <c r="U583" s="12" t="str">
        <f t="shared" si="39"/>
        <v>Corrected</v>
      </c>
      <c r="V583" s="12" t="str">
        <f t="shared" si="36"/>
        <v>KHAN Jahan</v>
      </c>
      <c r="W583" s="13">
        <f t="shared" si="37"/>
        <v>44600</v>
      </c>
    </row>
    <row r="584" spans="1:23" ht="28.8" customHeight="1" x14ac:dyDescent="0.3">
      <c r="A584" s="28">
        <v>44564</v>
      </c>
      <c r="B584" s="12" t="s">
        <v>2493</v>
      </c>
      <c r="C584" s="12" t="s">
        <v>1687</v>
      </c>
      <c r="D584" s="5" t="s">
        <v>1675</v>
      </c>
      <c r="E584" s="12">
        <v>403</v>
      </c>
      <c r="F584" s="11" t="s">
        <v>1460</v>
      </c>
      <c r="G584" s="12" t="s">
        <v>7</v>
      </c>
      <c r="H584" s="12" t="s">
        <v>9</v>
      </c>
      <c r="I584" s="11"/>
      <c r="J584" s="12" t="s">
        <v>1545</v>
      </c>
      <c r="K584" s="12" t="str">
        <f t="shared" si="38"/>
        <v>Closed</v>
      </c>
      <c r="L584" s="13">
        <v>44600</v>
      </c>
      <c r="M584" s="12" t="s">
        <v>1461</v>
      </c>
      <c r="N584" s="12" t="s">
        <v>2492</v>
      </c>
      <c r="O584" s="12" t="s">
        <v>1675</v>
      </c>
      <c r="P584" s="12" t="s">
        <v>3790</v>
      </c>
      <c r="Q584" s="12"/>
      <c r="R584" s="12"/>
      <c r="S584" s="12"/>
      <c r="T584" s="12"/>
      <c r="U584" s="12" t="str">
        <f t="shared" si="39"/>
        <v>Corrected</v>
      </c>
      <c r="V584" s="12" t="str">
        <f t="shared" si="36"/>
        <v>KHAN Jahan</v>
      </c>
      <c r="W584" s="13">
        <f t="shared" si="37"/>
        <v>44600</v>
      </c>
    </row>
    <row r="585" spans="1:23" ht="14.4" customHeight="1" x14ac:dyDescent="0.3">
      <c r="A585" s="28">
        <v>44564</v>
      </c>
      <c r="B585" s="12" t="s">
        <v>2494</v>
      </c>
      <c r="C585" s="12" t="s">
        <v>1687</v>
      </c>
      <c r="D585" s="5" t="s">
        <v>1675</v>
      </c>
      <c r="E585" s="12">
        <v>413</v>
      </c>
      <c r="F585" s="11" t="s">
        <v>1460</v>
      </c>
      <c r="G585" s="12" t="s">
        <v>7</v>
      </c>
      <c r="H585" s="12" t="s">
        <v>11</v>
      </c>
      <c r="I585" s="11" t="s">
        <v>2495</v>
      </c>
      <c r="J585" s="12" t="s">
        <v>1574</v>
      </c>
      <c r="K585" s="12" t="str">
        <f t="shared" si="38"/>
        <v>Closed</v>
      </c>
      <c r="L585" s="13">
        <v>44630</v>
      </c>
      <c r="M585" s="12"/>
      <c r="N585" s="12" t="s">
        <v>2492</v>
      </c>
      <c r="O585" s="12" t="s">
        <v>1675</v>
      </c>
      <c r="P585" s="12" t="s">
        <v>3790</v>
      </c>
      <c r="Q585" s="12"/>
      <c r="R585" s="12"/>
      <c r="S585" s="12"/>
      <c r="T585" s="13" t="s">
        <v>1547</v>
      </c>
      <c r="U585" s="12" t="str">
        <f t="shared" si="39"/>
        <v>NFF</v>
      </c>
      <c r="V585" s="12" t="str">
        <f t="shared" si="36"/>
        <v>FIRDUS Ahmad</v>
      </c>
      <c r="W585" s="13">
        <f t="shared" si="37"/>
        <v>44630</v>
      </c>
    </row>
    <row r="586" spans="1:23" ht="14.4" customHeight="1" x14ac:dyDescent="0.3">
      <c r="A586" s="28">
        <v>44564</v>
      </c>
      <c r="B586" s="12" t="s">
        <v>2496</v>
      </c>
      <c r="C586" s="12" t="s">
        <v>1687</v>
      </c>
      <c r="D586" s="5" t="s">
        <v>1675</v>
      </c>
      <c r="E586" s="12">
        <v>620</v>
      </c>
      <c r="F586" s="11" t="s">
        <v>1047</v>
      </c>
      <c r="G586" s="12" t="s">
        <v>7</v>
      </c>
      <c r="H586" s="12" t="s">
        <v>9</v>
      </c>
      <c r="I586" s="11" t="s">
        <v>2497</v>
      </c>
      <c r="J586" s="12" t="s">
        <v>1545</v>
      </c>
      <c r="K586" s="12" t="str">
        <f t="shared" si="38"/>
        <v>Closed</v>
      </c>
      <c r="L586" s="13">
        <v>44593</v>
      </c>
      <c r="M586" s="12"/>
      <c r="N586" s="12" t="s">
        <v>2482</v>
      </c>
      <c r="O586" s="12"/>
      <c r="P586" s="12" t="s">
        <v>3790</v>
      </c>
      <c r="Q586" s="12"/>
      <c r="R586" s="12"/>
      <c r="S586" s="12"/>
      <c r="T586" s="12"/>
      <c r="U586" s="12" t="str">
        <f t="shared" si="39"/>
        <v>Corrected</v>
      </c>
      <c r="V586" s="12" t="str">
        <f t="shared" si="36"/>
        <v>KHAN Jahan</v>
      </c>
      <c r="W586" s="13">
        <f t="shared" si="37"/>
        <v>44593</v>
      </c>
    </row>
    <row r="587" spans="1:23" ht="14.4" customHeight="1" x14ac:dyDescent="0.3">
      <c r="A587" s="28">
        <v>44564</v>
      </c>
      <c r="B587" s="12" t="s">
        <v>1045</v>
      </c>
      <c r="C587" s="12" t="s">
        <v>1687</v>
      </c>
      <c r="D587" s="5" t="s">
        <v>1675</v>
      </c>
      <c r="E587" s="12">
        <v>610</v>
      </c>
      <c r="F587" s="11" t="s">
        <v>1047</v>
      </c>
      <c r="G587" s="12" t="s">
        <v>4</v>
      </c>
      <c r="H587" s="12" t="s">
        <v>9</v>
      </c>
      <c r="I587" s="11" t="s">
        <v>2498</v>
      </c>
      <c r="J587" s="12" t="s">
        <v>1545</v>
      </c>
      <c r="K587" s="12" t="str">
        <f t="shared" si="38"/>
        <v>Closed</v>
      </c>
      <c r="L587" s="13">
        <v>44571</v>
      </c>
      <c r="M587" s="12"/>
      <c r="N587" s="12" t="s">
        <v>2482</v>
      </c>
      <c r="O587" s="12"/>
      <c r="P587" s="12" t="s">
        <v>3790</v>
      </c>
      <c r="Q587" s="12"/>
      <c r="R587" s="12"/>
      <c r="S587" s="12"/>
      <c r="T587" s="13" t="s">
        <v>1547</v>
      </c>
      <c r="U587" s="12" t="str">
        <f t="shared" si="39"/>
        <v>Corrected</v>
      </c>
      <c r="V587" s="12" t="str">
        <f t="shared" si="36"/>
        <v>KHAN Jahan</v>
      </c>
      <c r="W587" s="13">
        <f t="shared" si="37"/>
        <v>44571</v>
      </c>
    </row>
    <row r="588" spans="1:23" ht="14.4" customHeight="1" x14ac:dyDescent="0.3">
      <c r="A588" s="28">
        <v>44564</v>
      </c>
      <c r="B588" s="12" t="s">
        <v>1048</v>
      </c>
      <c r="C588" s="12" t="s">
        <v>1687</v>
      </c>
      <c r="D588" s="5" t="s">
        <v>1675</v>
      </c>
      <c r="E588" s="12">
        <v>610</v>
      </c>
      <c r="F588" s="11" t="s">
        <v>1050</v>
      </c>
      <c r="G588" s="12" t="s">
        <v>7</v>
      </c>
      <c r="H588" s="12" t="s">
        <v>9</v>
      </c>
      <c r="I588" s="11" t="s">
        <v>2499</v>
      </c>
      <c r="J588" s="12" t="s">
        <v>1545</v>
      </c>
      <c r="K588" s="12" t="str">
        <f t="shared" si="38"/>
        <v>Closed</v>
      </c>
      <c r="L588" s="13">
        <v>44571</v>
      </c>
      <c r="M588" s="12"/>
      <c r="N588" s="12" t="s">
        <v>2492</v>
      </c>
      <c r="O588" s="12"/>
      <c r="P588" s="12" t="s">
        <v>3790</v>
      </c>
      <c r="Q588" s="12"/>
      <c r="R588" s="12"/>
      <c r="S588" s="12"/>
      <c r="T588" s="13" t="s">
        <v>1547</v>
      </c>
      <c r="U588" s="12" t="str">
        <f t="shared" si="39"/>
        <v>Corrected</v>
      </c>
      <c r="V588" s="12" t="str">
        <f t="shared" si="36"/>
        <v>KHAN Jahan</v>
      </c>
      <c r="W588" s="13">
        <f t="shared" si="37"/>
        <v>44571</v>
      </c>
    </row>
    <row r="589" spans="1:23" ht="14.4" customHeight="1" x14ac:dyDescent="0.3">
      <c r="A589" s="28">
        <v>44564</v>
      </c>
      <c r="B589" s="12" t="s">
        <v>2500</v>
      </c>
      <c r="C589" s="12" t="s">
        <v>1542</v>
      </c>
      <c r="D589" s="5" t="s">
        <v>2501</v>
      </c>
      <c r="E589" s="12">
        <v>605</v>
      </c>
      <c r="F589" s="11" t="s">
        <v>2502</v>
      </c>
      <c r="G589" s="12" t="s">
        <v>7</v>
      </c>
      <c r="H589" s="12" t="s">
        <v>14</v>
      </c>
      <c r="I589" s="11" t="s">
        <v>2503</v>
      </c>
      <c r="J589" s="12" t="s">
        <v>1574</v>
      </c>
      <c r="K589" s="12" t="str">
        <f t="shared" si="38"/>
        <v>Closed</v>
      </c>
      <c r="L589" s="13">
        <v>44572</v>
      </c>
      <c r="M589" s="12"/>
      <c r="N589" s="12" t="s">
        <v>4427</v>
      </c>
      <c r="O589" s="12"/>
      <c r="P589" s="12" t="s">
        <v>3790</v>
      </c>
      <c r="Q589" s="12"/>
      <c r="R589" s="12"/>
      <c r="S589" s="12"/>
      <c r="T589" s="13" t="s">
        <v>1547</v>
      </c>
      <c r="U589" s="12" t="str">
        <f t="shared" si="39"/>
        <v>NFF</v>
      </c>
      <c r="V589" s="12" t="str">
        <f t="shared" si="36"/>
        <v>GUAN Jialin</v>
      </c>
      <c r="W589" s="13">
        <f t="shared" si="37"/>
        <v>44572</v>
      </c>
    </row>
    <row r="590" spans="1:23" ht="14.4" customHeight="1" x14ac:dyDescent="0.3">
      <c r="A590" s="28">
        <v>44564</v>
      </c>
      <c r="B590" s="12" t="s">
        <v>2504</v>
      </c>
      <c r="C590" s="12" t="s">
        <v>1542</v>
      </c>
      <c r="D590" s="5" t="s">
        <v>2505</v>
      </c>
      <c r="E590" s="12">
        <v>621</v>
      </c>
      <c r="F590" s="11" t="s">
        <v>2506</v>
      </c>
      <c r="G590" s="12" t="s">
        <v>7</v>
      </c>
      <c r="H590" s="12" t="s">
        <v>19</v>
      </c>
      <c r="I590" s="11" t="s">
        <v>3436</v>
      </c>
      <c r="J590" s="12" t="s">
        <v>1609</v>
      </c>
      <c r="K590" s="12" t="str">
        <f t="shared" si="38"/>
        <v>Open</v>
      </c>
      <c r="L590" s="13"/>
      <c r="M590" s="12"/>
      <c r="N590" s="12" t="s">
        <v>1652</v>
      </c>
      <c r="O590" s="12" t="s">
        <v>1675</v>
      </c>
      <c r="P590" s="12" t="s">
        <v>3790</v>
      </c>
      <c r="Q590" s="12"/>
      <c r="R590" s="12" t="s">
        <v>1545</v>
      </c>
      <c r="S590" s="12" t="s">
        <v>15</v>
      </c>
      <c r="T590" s="13">
        <v>44677</v>
      </c>
      <c r="U590" s="12" t="str">
        <f t="shared" si="39"/>
        <v>Corrected</v>
      </c>
      <c r="V590" s="12" t="str">
        <f t="shared" si="36"/>
        <v>Imran Rasheed</v>
      </c>
      <c r="W590" s="13">
        <f t="shared" si="37"/>
        <v>44677</v>
      </c>
    </row>
    <row r="591" spans="1:23" ht="14.4" customHeight="1" x14ac:dyDescent="0.3">
      <c r="A591" s="28">
        <v>44564</v>
      </c>
      <c r="B591" s="12" t="s">
        <v>2507</v>
      </c>
      <c r="C591" s="12" t="s">
        <v>1542</v>
      </c>
      <c r="D591" s="5" t="s">
        <v>2505</v>
      </c>
      <c r="E591" s="12">
        <v>621</v>
      </c>
      <c r="F591" s="11" t="s">
        <v>2508</v>
      </c>
      <c r="G591" s="12" t="s">
        <v>7</v>
      </c>
      <c r="H591" s="12" t="s">
        <v>19</v>
      </c>
      <c r="I591" s="11"/>
      <c r="J591" s="12" t="s">
        <v>1640</v>
      </c>
      <c r="K591" s="12" t="str">
        <f t="shared" si="38"/>
        <v>Open</v>
      </c>
      <c r="L591" s="13"/>
      <c r="M591" s="12"/>
      <c r="N591" s="12" t="s">
        <v>1652</v>
      </c>
      <c r="O591" s="12" t="s">
        <v>1675</v>
      </c>
      <c r="P591" s="12" t="s">
        <v>3790</v>
      </c>
      <c r="Q591" s="12"/>
      <c r="R591" s="12"/>
      <c r="S591" s="12"/>
      <c r="T591" s="12"/>
      <c r="U591" s="12" t="str">
        <f t="shared" si="39"/>
        <v>Under Investigation</v>
      </c>
      <c r="V591" s="12" t="str">
        <f t="shared" si="36"/>
        <v>DAOUDI Mohamed</v>
      </c>
      <c r="W591" s="13" t="str">
        <f t="shared" si="37"/>
        <v/>
      </c>
    </row>
    <row r="592" spans="1:23" ht="14.4" customHeight="1" x14ac:dyDescent="0.3">
      <c r="A592" s="28">
        <v>44565</v>
      </c>
      <c r="B592" s="12" t="s">
        <v>2514</v>
      </c>
      <c r="C592" s="12" t="s">
        <v>1687</v>
      </c>
      <c r="D592" s="5" t="s">
        <v>1675</v>
      </c>
      <c r="E592" s="12">
        <v>408</v>
      </c>
      <c r="F592" s="11" t="s">
        <v>2515</v>
      </c>
      <c r="G592" s="12"/>
      <c r="H592" s="12" t="s">
        <v>9</v>
      </c>
      <c r="I592" s="11" t="s">
        <v>2516</v>
      </c>
      <c r="J592" s="12" t="s">
        <v>1545</v>
      </c>
      <c r="K592" s="12" t="str">
        <f t="shared" si="38"/>
        <v>Closed</v>
      </c>
      <c r="L592" s="13">
        <v>44566</v>
      </c>
      <c r="M592" s="12"/>
      <c r="N592" s="12" t="s">
        <v>2517</v>
      </c>
      <c r="O592" s="12"/>
      <c r="P592" s="12" t="s">
        <v>3790</v>
      </c>
      <c r="Q592" s="12"/>
      <c r="R592" s="12"/>
      <c r="S592" s="12"/>
      <c r="T592" s="13" t="s">
        <v>1547</v>
      </c>
      <c r="U592" s="12" t="str">
        <f t="shared" si="39"/>
        <v>Corrected</v>
      </c>
      <c r="V592" s="12" t="str">
        <f t="shared" si="36"/>
        <v>KHAN Jahan</v>
      </c>
      <c r="W592" s="13">
        <f t="shared" si="37"/>
        <v>44566</v>
      </c>
    </row>
    <row r="593" spans="1:23" ht="14.4" customHeight="1" x14ac:dyDescent="0.3">
      <c r="A593" s="28">
        <v>44565</v>
      </c>
      <c r="B593" s="12" t="s">
        <v>2518</v>
      </c>
      <c r="C593" s="12" t="s">
        <v>1703</v>
      </c>
      <c r="D593" s="5" t="s">
        <v>1675</v>
      </c>
      <c r="E593" s="12">
        <v>624</v>
      </c>
      <c r="F593" s="11" t="s">
        <v>2519</v>
      </c>
      <c r="G593" s="12"/>
      <c r="H593" s="12" t="s">
        <v>9</v>
      </c>
      <c r="I593" s="11" t="s">
        <v>2520</v>
      </c>
      <c r="J593" s="12" t="s">
        <v>1545</v>
      </c>
      <c r="K593" s="12" t="str">
        <f t="shared" si="38"/>
        <v>Closed</v>
      </c>
      <c r="L593" s="13">
        <v>44570</v>
      </c>
      <c r="M593" s="12"/>
      <c r="N593" s="12" t="s">
        <v>2448</v>
      </c>
      <c r="O593" s="12"/>
      <c r="P593" s="12" t="s">
        <v>3790</v>
      </c>
      <c r="Q593" s="12"/>
      <c r="R593" s="12"/>
      <c r="S593" s="12"/>
      <c r="T593" s="13" t="s">
        <v>1547</v>
      </c>
      <c r="U593" s="12" t="str">
        <f t="shared" si="39"/>
        <v>Corrected</v>
      </c>
      <c r="V593" s="12" t="str">
        <f t="shared" si="36"/>
        <v>KHAN Jahan</v>
      </c>
      <c r="W593" s="13">
        <f t="shared" si="37"/>
        <v>44570</v>
      </c>
    </row>
    <row r="594" spans="1:23" ht="14.4" customHeight="1" x14ac:dyDescent="0.3">
      <c r="A594" s="28">
        <v>44565</v>
      </c>
      <c r="B594" s="12" t="s">
        <v>2521</v>
      </c>
      <c r="C594" s="12" t="s">
        <v>1542</v>
      </c>
      <c r="D594" s="5" t="s">
        <v>1722</v>
      </c>
      <c r="E594" s="12">
        <v>604</v>
      </c>
      <c r="F594" s="11" t="s">
        <v>2522</v>
      </c>
      <c r="G594" s="12"/>
      <c r="H594" s="12" t="s">
        <v>9</v>
      </c>
      <c r="I594" s="11" t="s">
        <v>2523</v>
      </c>
      <c r="J594" s="12" t="s">
        <v>1545</v>
      </c>
      <c r="K594" s="12" t="str">
        <f t="shared" si="38"/>
        <v>Closed</v>
      </c>
      <c r="L594" s="13">
        <v>44570</v>
      </c>
      <c r="M594" s="12"/>
      <c r="N594" s="12" t="s">
        <v>2448</v>
      </c>
      <c r="O594" s="12"/>
      <c r="P594" s="12" t="s">
        <v>3790</v>
      </c>
      <c r="Q594" s="12"/>
      <c r="R594" s="12"/>
      <c r="S594" s="12"/>
      <c r="T594" s="12"/>
      <c r="U594" s="12" t="str">
        <f t="shared" si="39"/>
        <v>Corrected</v>
      </c>
      <c r="V594" s="12" t="str">
        <f t="shared" si="36"/>
        <v>KHAN Jahan</v>
      </c>
      <c r="W594" s="13">
        <f t="shared" si="37"/>
        <v>44570</v>
      </c>
    </row>
    <row r="595" spans="1:23" ht="14.4" customHeight="1" x14ac:dyDescent="0.3">
      <c r="A595" s="28">
        <v>44565</v>
      </c>
      <c r="B595" s="12" t="s">
        <v>2524</v>
      </c>
      <c r="C595" s="12" t="s">
        <v>1687</v>
      </c>
      <c r="D595" s="5" t="s">
        <v>1675</v>
      </c>
      <c r="E595" s="12">
        <v>415</v>
      </c>
      <c r="F595" s="11" t="s">
        <v>2525</v>
      </c>
      <c r="G595" s="12" t="s">
        <v>1</v>
      </c>
      <c r="H595" s="12" t="s">
        <v>19</v>
      </c>
      <c r="I595" s="11" t="s">
        <v>2527</v>
      </c>
      <c r="J595" s="12" t="s">
        <v>1545</v>
      </c>
      <c r="K595" s="12" t="str">
        <f t="shared" si="38"/>
        <v>Closed</v>
      </c>
      <c r="L595" s="13">
        <v>44571</v>
      </c>
      <c r="M595" s="12" t="s">
        <v>2526</v>
      </c>
      <c r="N595" s="12" t="s">
        <v>2528</v>
      </c>
      <c r="O595" s="12"/>
      <c r="P595" s="12" t="s">
        <v>3790</v>
      </c>
      <c r="Q595" s="12"/>
      <c r="R595" s="12"/>
      <c r="S595" s="12"/>
      <c r="T595" s="13" t="s">
        <v>1547</v>
      </c>
      <c r="U595" s="12" t="str">
        <f t="shared" si="39"/>
        <v>Corrected</v>
      </c>
      <c r="V595" s="12" t="str">
        <f t="shared" si="36"/>
        <v>DAOUDI Mohamed</v>
      </c>
      <c r="W595" s="13">
        <f t="shared" si="37"/>
        <v>44571</v>
      </c>
    </row>
    <row r="596" spans="1:23" x14ac:dyDescent="0.3">
      <c r="A596" s="28">
        <v>44565</v>
      </c>
      <c r="B596" s="12" t="s">
        <v>2529</v>
      </c>
      <c r="C596" s="12" t="s">
        <v>1687</v>
      </c>
      <c r="D596" s="5" t="s">
        <v>1675</v>
      </c>
      <c r="E596" s="12">
        <v>415</v>
      </c>
      <c r="F596" s="11" t="s">
        <v>2530</v>
      </c>
      <c r="G596" s="12" t="s">
        <v>7</v>
      </c>
      <c r="H596" s="12" t="s">
        <v>9</v>
      </c>
      <c r="I596" s="11" t="s">
        <v>2531</v>
      </c>
      <c r="J596" s="12" t="s">
        <v>1574</v>
      </c>
      <c r="K596" s="12" t="str">
        <f t="shared" si="38"/>
        <v>Closed</v>
      </c>
      <c r="L596" s="13">
        <v>44567</v>
      </c>
      <c r="M596" s="12"/>
      <c r="N596" s="12" t="s">
        <v>2517</v>
      </c>
      <c r="O596" s="12"/>
      <c r="P596" s="12" t="s">
        <v>3790</v>
      </c>
      <c r="Q596" s="12"/>
      <c r="R596" s="12"/>
      <c r="S596" s="12"/>
      <c r="T596" s="12"/>
      <c r="U596" s="12" t="str">
        <f t="shared" si="39"/>
        <v>NFF</v>
      </c>
      <c r="V596" s="12" t="str">
        <f t="shared" si="36"/>
        <v>KHAN Jahan</v>
      </c>
      <c r="W596" s="13">
        <f t="shared" si="37"/>
        <v>44567</v>
      </c>
    </row>
    <row r="597" spans="1:23" ht="14.4" customHeight="1" x14ac:dyDescent="0.3">
      <c r="A597" s="28">
        <v>44565</v>
      </c>
      <c r="B597" s="12" t="s">
        <v>2532</v>
      </c>
      <c r="C597" s="12" t="s">
        <v>1687</v>
      </c>
      <c r="D597" s="5" t="s">
        <v>1675</v>
      </c>
      <c r="E597" s="12">
        <v>618</v>
      </c>
      <c r="F597" s="11" t="s">
        <v>2533</v>
      </c>
      <c r="G597" s="12" t="s">
        <v>7</v>
      </c>
      <c r="H597" s="12" t="s">
        <v>9</v>
      </c>
      <c r="I597" s="11"/>
      <c r="J597" s="12" t="s">
        <v>1582</v>
      </c>
      <c r="K597" s="12" t="str">
        <f t="shared" si="38"/>
        <v>Open</v>
      </c>
      <c r="L597" s="13"/>
      <c r="M597" s="12"/>
      <c r="N597" s="12" t="s">
        <v>2492</v>
      </c>
      <c r="O597" s="12"/>
      <c r="P597" s="12" t="s">
        <v>3790</v>
      </c>
      <c r="Q597" s="12"/>
      <c r="R597" s="12" t="s">
        <v>5</v>
      </c>
      <c r="S597" s="12"/>
      <c r="T597" s="13" t="s">
        <v>1547</v>
      </c>
      <c r="U597" s="12" t="str">
        <f t="shared" si="39"/>
        <v>Not Started</v>
      </c>
      <c r="V597" s="12" t="str">
        <f t="shared" si="36"/>
        <v>KHAN Jahan</v>
      </c>
      <c r="W597" s="13" t="str">
        <f t="shared" si="37"/>
        <v/>
      </c>
    </row>
    <row r="598" spans="1:23" ht="14.4" customHeight="1" x14ac:dyDescent="0.3">
      <c r="A598" s="28">
        <v>44565</v>
      </c>
      <c r="B598" s="12" t="s">
        <v>2534</v>
      </c>
      <c r="C598" s="12" t="s">
        <v>1687</v>
      </c>
      <c r="D598" s="5" t="s">
        <v>1675</v>
      </c>
      <c r="E598" s="12">
        <v>618</v>
      </c>
      <c r="F598" s="11" t="s">
        <v>1498</v>
      </c>
      <c r="G598" s="12" t="s">
        <v>7</v>
      </c>
      <c r="H598" s="12" t="s">
        <v>19</v>
      </c>
      <c r="I598" s="11"/>
      <c r="J598" s="12" t="s">
        <v>1545</v>
      </c>
      <c r="K598" s="12" t="str">
        <f t="shared" si="38"/>
        <v>Closed</v>
      </c>
      <c r="L598" s="13">
        <v>44607</v>
      </c>
      <c r="M598" s="12" t="s">
        <v>1499</v>
      </c>
      <c r="N598" s="12" t="s">
        <v>2482</v>
      </c>
      <c r="O598" s="12"/>
      <c r="P598" s="12" t="s">
        <v>3790</v>
      </c>
      <c r="Q598" s="12"/>
      <c r="R598" s="12"/>
      <c r="S598" s="12"/>
      <c r="T598" s="12"/>
      <c r="U598" s="12" t="str">
        <f t="shared" si="39"/>
        <v>Corrected</v>
      </c>
      <c r="V598" s="12" t="str">
        <f t="shared" si="36"/>
        <v>DAOUDI Mohamed</v>
      </c>
      <c r="W598" s="13">
        <f t="shared" si="37"/>
        <v>44607</v>
      </c>
    </row>
    <row r="599" spans="1:23" ht="14.4" customHeight="1" x14ac:dyDescent="0.3">
      <c r="A599" s="28">
        <v>44565</v>
      </c>
      <c r="B599" s="12" t="s">
        <v>2535</v>
      </c>
      <c r="C599" s="12" t="s">
        <v>1542</v>
      </c>
      <c r="D599" s="5" t="s">
        <v>2536</v>
      </c>
      <c r="E599" s="12">
        <v>602</v>
      </c>
      <c r="F599" s="11" t="s">
        <v>2537</v>
      </c>
      <c r="G599" s="12" t="s">
        <v>1</v>
      </c>
      <c r="H599" s="12" t="s">
        <v>11</v>
      </c>
      <c r="I599" s="14" t="s">
        <v>4298</v>
      </c>
      <c r="J599" s="12" t="s">
        <v>1545</v>
      </c>
      <c r="K599" s="12" t="str">
        <f t="shared" si="38"/>
        <v>Closed</v>
      </c>
      <c r="L599" s="13">
        <v>44579</v>
      </c>
      <c r="M599" s="12" t="s">
        <v>1061</v>
      </c>
      <c r="N599" s="12" t="s">
        <v>1652</v>
      </c>
      <c r="O599" s="12"/>
      <c r="P599" s="12" t="s">
        <v>3790</v>
      </c>
      <c r="Q599" s="12"/>
      <c r="R599" s="12"/>
      <c r="S599" s="12"/>
      <c r="T599" s="12"/>
      <c r="U599" s="12" t="str">
        <f t="shared" si="39"/>
        <v>Corrected</v>
      </c>
      <c r="V599" s="12" t="str">
        <f t="shared" si="36"/>
        <v>FIRDUS Ahmad</v>
      </c>
      <c r="W599" s="13">
        <f t="shared" si="37"/>
        <v>44579</v>
      </c>
    </row>
    <row r="600" spans="1:23" ht="14.4" customHeight="1" x14ac:dyDescent="0.3">
      <c r="A600" s="28">
        <v>44565</v>
      </c>
      <c r="B600" s="12" t="s">
        <v>2538</v>
      </c>
      <c r="C600" s="12" t="s">
        <v>1542</v>
      </c>
      <c r="D600" s="5" t="s">
        <v>2536</v>
      </c>
      <c r="E600" s="12">
        <v>602</v>
      </c>
      <c r="F600" s="11" t="s">
        <v>2458</v>
      </c>
      <c r="G600" s="12" t="s">
        <v>7</v>
      </c>
      <c r="H600" s="12" t="s">
        <v>11</v>
      </c>
      <c r="I600" s="11" t="s">
        <v>2539</v>
      </c>
      <c r="J600" s="12" t="s">
        <v>1574</v>
      </c>
      <c r="K600" s="12" t="str">
        <f t="shared" si="38"/>
        <v>Closed</v>
      </c>
      <c r="L600" s="13">
        <v>44593</v>
      </c>
      <c r="M600" s="12"/>
      <c r="N600" s="12" t="s">
        <v>1652</v>
      </c>
      <c r="O600" s="12" t="s">
        <v>1675</v>
      </c>
      <c r="P600" s="12" t="s">
        <v>3790</v>
      </c>
      <c r="Q600" s="12"/>
      <c r="R600" s="12"/>
      <c r="S600" s="12"/>
      <c r="T600" s="13" t="s">
        <v>1547</v>
      </c>
      <c r="U600" s="12" t="str">
        <f t="shared" si="39"/>
        <v>NFF</v>
      </c>
      <c r="V600" s="12" t="str">
        <f t="shared" si="36"/>
        <v>FIRDUS Ahmad</v>
      </c>
      <c r="W600" s="13">
        <f t="shared" si="37"/>
        <v>44593</v>
      </c>
    </row>
    <row r="601" spans="1:23" ht="14.4" customHeight="1" x14ac:dyDescent="0.3">
      <c r="A601" s="28">
        <v>44565</v>
      </c>
      <c r="B601" s="12" t="s">
        <v>2540</v>
      </c>
      <c r="C601" s="12" t="s">
        <v>1542</v>
      </c>
      <c r="D601" s="5" t="s">
        <v>2541</v>
      </c>
      <c r="E601" s="12">
        <v>617</v>
      </c>
      <c r="F601" s="11" t="s">
        <v>2542</v>
      </c>
      <c r="G601" s="12" t="s">
        <v>7</v>
      </c>
      <c r="H601" s="12" t="s">
        <v>11</v>
      </c>
      <c r="I601" s="14" t="s">
        <v>4299</v>
      </c>
      <c r="J601" s="12" t="s">
        <v>1609</v>
      </c>
      <c r="K601" s="12" t="str">
        <f t="shared" si="38"/>
        <v>Open</v>
      </c>
      <c r="L601" s="13">
        <v>44648</v>
      </c>
      <c r="M601" s="12"/>
      <c r="N601" s="12" t="s">
        <v>1652</v>
      </c>
      <c r="O601" s="12" t="s">
        <v>1675</v>
      </c>
      <c r="P601" s="12" t="s">
        <v>3790</v>
      </c>
      <c r="Q601" s="12"/>
      <c r="R601" s="12" t="s">
        <v>1545</v>
      </c>
      <c r="S601" s="12" t="s">
        <v>15</v>
      </c>
      <c r="T601" s="25">
        <v>44647</v>
      </c>
      <c r="U601" s="12" t="str">
        <f t="shared" si="39"/>
        <v>Corrected</v>
      </c>
      <c r="V601" s="12" t="str">
        <f t="shared" si="36"/>
        <v>Imran Rasheed</v>
      </c>
      <c r="W601" s="13">
        <f t="shared" si="37"/>
        <v>44647</v>
      </c>
    </row>
    <row r="602" spans="1:23" ht="28.8" customHeight="1" x14ac:dyDescent="0.3">
      <c r="A602" s="28">
        <v>44565</v>
      </c>
      <c r="B602" s="12" t="s">
        <v>2544</v>
      </c>
      <c r="C602" s="12" t="s">
        <v>1542</v>
      </c>
      <c r="D602" s="5" t="s">
        <v>2545</v>
      </c>
      <c r="E602" s="12">
        <v>624</v>
      </c>
      <c r="F602" s="11" t="s">
        <v>1441</v>
      </c>
      <c r="G602" s="12" t="s">
        <v>7</v>
      </c>
      <c r="H602" s="12" t="s">
        <v>14</v>
      </c>
      <c r="I602" s="11" t="s">
        <v>1853</v>
      </c>
      <c r="J602" s="12" t="s">
        <v>1545</v>
      </c>
      <c r="K602" s="12" t="str">
        <f t="shared" si="38"/>
        <v>Closed</v>
      </c>
      <c r="L602" s="13">
        <v>44587</v>
      </c>
      <c r="M602" s="12"/>
      <c r="N602" s="12" t="s">
        <v>4427</v>
      </c>
      <c r="O602" s="12" t="s">
        <v>2546</v>
      </c>
      <c r="P602" s="12" t="s">
        <v>3790</v>
      </c>
      <c r="Q602" s="12"/>
      <c r="R602" s="12"/>
      <c r="S602" s="12"/>
      <c r="T602" s="13" t="s">
        <v>1547</v>
      </c>
      <c r="U602" s="12" t="str">
        <f t="shared" si="39"/>
        <v>Corrected</v>
      </c>
      <c r="V602" s="12" t="str">
        <f t="shared" si="36"/>
        <v>GUAN Jialin</v>
      </c>
      <c r="W602" s="13">
        <f t="shared" si="37"/>
        <v>44587</v>
      </c>
    </row>
    <row r="603" spans="1:23" ht="14.4" customHeight="1" x14ac:dyDescent="0.3">
      <c r="A603" s="28">
        <v>44565</v>
      </c>
      <c r="B603" s="12" t="s">
        <v>2547</v>
      </c>
      <c r="C603" s="12" t="s">
        <v>1542</v>
      </c>
      <c r="D603" s="5" t="s">
        <v>2545</v>
      </c>
      <c r="E603" s="12">
        <v>624</v>
      </c>
      <c r="F603" s="11" t="s">
        <v>2548</v>
      </c>
      <c r="G603" s="12" t="s">
        <v>7</v>
      </c>
      <c r="H603" s="12" t="s">
        <v>19</v>
      </c>
      <c r="I603" s="11" t="s">
        <v>2543</v>
      </c>
      <c r="J603" s="12" t="s">
        <v>1545</v>
      </c>
      <c r="K603" s="12" t="str">
        <f t="shared" si="38"/>
        <v>Closed</v>
      </c>
      <c r="L603" s="13"/>
      <c r="M603" s="12"/>
      <c r="N603" s="12" t="s">
        <v>1652</v>
      </c>
      <c r="O603" s="12" t="s">
        <v>1675</v>
      </c>
      <c r="P603" s="12" t="s">
        <v>3790</v>
      </c>
      <c r="Q603" s="12"/>
      <c r="R603" s="12" t="s">
        <v>1545</v>
      </c>
      <c r="S603" s="12" t="s">
        <v>19</v>
      </c>
      <c r="T603" s="13" t="s">
        <v>1547</v>
      </c>
      <c r="U603" s="12" t="str">
        <f t="shared" si="39"/>
        <v>Corrected</v>
      </c>
      <c r="V603" s="12" t="str">
        <f t="shared" si="36"/>
        <v>DAOUDI Mohamed</v>
      </c>
      <c r="W603" s="13">
        <v>44698</v>
      </c>
    </row>
    <row r="604" spans="1:23" ht="14.4" customHeight="1" x14ac:dyDescent="0.3">
      <c r="A604" s="28">
        <v>44565</v>
      </c>
      <c r="B604" s="12" t="s">
        <v>2549</v>
      </c>
      <c r="C604" s="12" t="s">
        <v>1703</v>
      </c>
      <c r="D604" s="5" t="s">
        <v>1675</v>
      </c>
      <c r="E604" s="12">
        <v>617</v>
      </c>
      <c r="F604" s="11" t="s">
        <v>1462</v>
      </c>
      <c r="G604" s="12" t="s">
        <v>7</v>
      </c>
      <c r="H604" s="12" t="s">
        <v>9</v>
      </c>
      <c r="I604" s="11"/>
      <c r="J604" s="12" t="s">
        <v>1609</v>
      </c>
      <c r="K604" s="12" t="str">
        <f t="shared" si="38"/>
        <v>Open</v>
      </c>
      <c r="L604" s="13"/>
      <c r="M604" s="12" t="s">
        <v>1463</v>
      </c>
      <c r="N604" s="12" t="s">
        <v>2448</v>
      </c>
      <c r="O604" s="12" t="s">
        <v>1675</v>
      </c>
      <c r="P604" s="12" t="s">
        <v>3790</v>
      </c>
      <c r="Q604" s="12"/>
      <c r="R604" s="12" t="s">
        <v>5</v>
      </c>
      <c r="S604" s="12" t="s">
        <v>3</v>
      </c>
      <c r="T604" s="12"/>
      <c r="U604" s="12" t="str">
        <f t="shared" si="39"/>
        <v>No Material</v>
      </c>
      <c r="V604" s="12" t="str">
        <f t="shared" si="36"/>
        <v>SUKIMAN Zamhuri</v>
      </c>
      <c r="W604" s="13" t="str">
        <f t="shared" si="37"/>
        <v/>
      </c>
    </row>
    <row r="605" spans="1:23" ht="14.4" customHeight="1" x14ac:dyDescent="0.3">
      <c r="A605" s="28">
        <v>44565</v>
      </c>
      <c r="B605" s="12" t="s">
        <v>2550</v>
      </c>
      <c r="C605" s="12" t="s">
        <v>1542</v>
      </c>
      <c r="D605" s="5" t="s">
        <v>1722</v>
      </c>
      <c r="E605" s="12">
        <v>408</v>
      </c>
      <c r="F605" s="11" t="s">
        <v>2551</v>
      </c>
      <c r="G605" s="12" t="s">
        <v>7</v>
      </c>
      <c r="H605" s="12" t="s">
        <v>9</v>
      </c>
      <c r="I605" s="11"/>
      <c r="J605" s="12" t="s">
        <v>1609</v>
      </c>
      <c r="K605" s="12" t="str">
        <f t="shared" si="38"/>
        <v>Open</v>
      </c>
      <c r="L605" s="13"/>
      <c r="M605" s="12" t="s">
        <v>1069</v>
      </c>
      <c r="N605" s="12" t="s">
        <v>2448</v>
      </c>
      <c r="O605" s="12"/>
      <c r="P605" s="12" t="s">
        <v>3790</v>
      </c>
      <c r="Q605" s="12"/>
      <c r="R605" s="12" t="s">
        <v>5</v>
      </c>
      <c r="S605" s="12" t="s">
        <v>3</v>
      </c>
      <c r="T605" s="12"/>
      <c r="U605" s="12" t="str">
        <f t="shared" si="39"/>
        <v>No Material</v>
      </c>
      <c r="V605" s="12" t="str">
        <f t="shared" si="36"/>
        <v>SUKIMAN Zamhuri</v>
      </c>
      <c r="W605" s="13" t="str">
        <f t="shared" si="37"/>
        <v/>
      </c>
    </row>
    <row r="606" spans="1:23" ht="14.4" customHeight="1" x14ac:dyDescent="0.3">
      <c r="A606" s="28">
        <v>44565</v>
      </c>
      <c r="B606" s="12" t="s">
        <v>2552</v>
      </c>
      <c r="C606" s="12" t="s">
        <v>1542</v>
      </c>
      <c r="D606" s="5" t="s">
        <v>1722</v>
      </c>
      <c r="E606" s="12">
        <v>611</v>
      </c>
      <c r="F606" s="14" t="s">
        <v>1464</v>
      </c>
      <c r="G606" s="12" t="s">
        <v>7</v>
      </c>
      <c r="H606" s="12" t="s">
        <v>9</v>
      </c>
      <c r="I606" s="11" t="s">
        <v>2553</v>
      </c>
      <c r="J606" s="12" t="s">
        <v>1609</v>
      </c>
      <c r="K606" s="12" t="str">
        <f t="shared" si="38"/>
        <v>Open</v>
      </c>
      <c r="L606" s="13"/>
      <c r="M606" s="12" t="s">
        <v>1465</v>
      </c>
      <c r="N606" s="12" t="s">
        <v>4429</v>
      </c>
      <c r="O606" s="12"/>
      <c r="P606" s="12" t="s">
        <v>3790</v>
      </c>
      <c r="Q606" s="12"/>
      <c r="R606" s="12" t="s">
        <v>3566</v>
      </c>
      <c r="S606" s="12" t="s">
        <v>3</v>
      </c>
      <c r="T606" s="12"/>
      <c r="U606" s="12" t="str">
        <f t="shared" si="39"/>
        <v>CM Open</v>
      </c>
      <c r="V606" s="12" t="str">
        <f t="shared" si="36"/>
        <v>SUKIMAN Zamhuri</v>
      </c>
      <c r="W606" s="13" t="str">
        <f t="shared" si="37"/>
        <v/>
      </c>
    </row>
    <row r="607" spans="1:23" ht="14.4" customHeight="1" x14ac:dyDescent="0.3">
      <c r="A607" s="28">
        <v>44565</v>
      </c>
      <c r="B607" s="12" t="s">
        <v>2555</v>
      </c>
      <c r="C607" s="12" t="s">
        <v>1542</v>
      </c>
      <c r="D607" s="5" t="s">
        <v>1722</v>
      </c>
      <c r="E607" s="12">
        <v>602</v>
      </c>
      <c r="F607" s="14" t="s">
        <v>4300</v>
      </c>
      <c r="G607" s="12" t="s">
        <v>7</v>
      </c>
      <c r="H607" s="12" t="s">
        <v>19</v>
      </c>
      <c r="I607" s="11"/>
      <c r="J607" s="12" t="s">
        <v>1545</v>
      </c>
      <c r="K607" s="12" t="str">
        <f t="shared" si="38"/>
        <v>Closed</v>
      </c>
      <c r="L607" s="13">
        <v>44605</v>
      </c>
      <c r="M607" s="12" t="s">
        <v>1480</v>
      </c>
      <c r="N607" s="12" t="s">
        <v>1652</v>
      </c>
      <c r="O607" s="12" t="s">
        <v>2556</v>
      </c>
      <c r="P607" s="12" t="s">
        <v>3790</v>
      </c>
      <c r="Q607" s="12"/>
      <c r="R607" s="12"/>
      <c r="S607" s="12"/>
      <c r="T607" s="13" t="s">
        <v>1547</v>
      </c>
      <c r="U607" s="12" t="str">
        <f t="shared" si="39"/>
        <v>Corrected</v>
      </c>
      <c r="V607" s="12" t="str">
        <f t="shared" si="36"/>
        <v>DAOUDI Mohamed</v>
      </c>
      <c r="W607" s="13">
        <f t="shared" si="37"/>
        <v>44605</v>
      </c>
    </row>
    <row r="608" spans="1:23" ht="14.4" customHeight="1" x14ac:dyDescent="0.3">
      <c r="A608" s="28">
        <v>44566</v>
      </c>
      <c r="B608" s="12" t="s">
        <v>2565</v>
      </c>
      <c r="C608" s="12" t="s">
        <v>1542</v>
      </c>
      <c r="D608" s="5" t="s">
        <v>2566</v>
      </c>
      <c r="E608" s="12">
        <v>402</v>
      </c>
      <c r="F608" s="11" t="s">
        <v>2567</v>
      </c>
      <c r="G608" s="12" t="s">
        <v>7</v>
      </c>
      <c r="H608" s="12" t="s">
        <v>11</v>
      </c>
      <c r="I608" s="11"/>
      <c r="J608" s="12" t="s">
        <v>1545</v>
      </c>
      <c r="K608" s="12" t="str">
        <f t="shared" si="38"/>
        <v>Closed</v>
      </c>
      <c r="L608" s="13">
        <v>44587</v>
      </c>
      <c r="M608" s="12"/>
      <c r="N608" s="12" t="s">
        <v>1652</v>
      </c>
      <c r="O608" s="12"/>
      <c r="P608" s="12" t="s">
        <v>3790</v>
      </c>
      <c r="Q608" s="12"/>
      <c r="R608" s="12" t="s">
        <v>1545</v>
      </c>
      <c r="S608" s="12" t="s">
        <v>15</v>
      </c>
      <c r="T608" s="25">
        <v>44587</v>
      </c>
      <c r="U608" s="12" t="str">
        <f t="shared" si="39"/>
        <v>Corrected</v>
      </c>
      <c r="V608" s="12" t="str">
        <f t="shared" si="36"/>
        <v>FIRDUS Ahmad</v>
      </c>
      <c r="W608" s="13">
        <f t="shared" si="37"/>
        <v>44587</v>
      </c>
    </row>
    <row r="609" spans="1:23" ht="14.4" customHeight="1" x14ac:dyDescent="0.3">
      <c r="A609" s="28">
        <v>44566</v>
      </c>
      <c r="B609" s="12" t="s">
        <v>1444</v>
      </c>
      <c r="C609" s="12" t="s">
        <v>1542</v>
      </c>
      <c r="D609" s="5" t="s">
        <v>2566</v>
      </c>
      <c r="E609" s="12">
        <v>402</v>
      </c>
      <c r="F609" s="11" t="s">
        <v>2568</v>
      </c>
      <c r="G609" s="12" t="s">
        <v>7</v>
      </c>
      <c r="H609" s="12" t="s">
        <v>14</v>
      </c>
      <c r="I609" s="11" t="s">
        <v>3435</v>
      </c>
      <c r="J609" s="12" t="s">
        <v>1545</v>
      </c>
      <c r="K609" s="12" t="str">
        <f t="shared" si="38"/>
        <v>Closed</v>
      </c>
      <c r="L609" s="13">
        <v>44598</v>
      </c>
      <c r="M609" s="12"/>
      <c r="N609" s="12" t="s">
        <v>4427</v>
      </c>
      <c r="O609" s="12" t="s">
        <v>2445</v>
      </c>
      <c r="P609" s="12" t="s">
        <v>3790</v>
      </c>
      <c r="Q609" s="12"/>
      <c r="R609" s="12"/>
      <c r="S609" s="12"/>
      <c r="T609" s="12"/>
      <c r="U609" s="12" t="str">
        <f t="shared" si="39"/>
        <v>Corrected</v>
      </c>
      <c r="V609" s="12" t="str">
        <f t="shared" si="36"/>
        <v>GUAN Jialin</v>
      </c>
      <c r="W609" s="13">
        <f t="shared" si="37"/>
        <v>44598</v>
      </c>
    </row>
    <row r="610" spans="1:23" ht="14.4" customHeight="1" x14ac:dyDescent="0.3">
      <c r="A610" s="28">
        <v>44566</v>
      </c>
      <c r="B610" s="12" t="s">
        <v>2569</v>
      </c>
      <c r="C610" s="12" t="s">
        <v>1542</v>
      </c>
      <c r="D610" s="5" t="s">
        <v>2570</v>
      </c>
      <c r="E610" s="12">
        <v>408</v>
      </c>
      <c r="F610" s="11" t="s">
        <v>2571</v>
      </c>
      <c r="G610" s="12" t="s">
        <v>7</v>
      </c>
      <c r="H610" s="12" t="s">
        <v>11</v>
      </c>
      <c r="I610" s="11"/>
      <c r="J610" s="12" t="s">
        <v>1545</v>
      </c>
      <c r="K610" s="12" t="str">
        <f t="shared" si="38"/>
        <v>Closed</v>
      </c>
      <c r="L610" s="13">
        <v>44637</v>
      </c>
      <c r="M610" s="12"/>
      <c r="N610" s="12" t="s">
        <v>1652</v>
      </c>
      <c r="O610" s="12" t="s">
        <v>1675</v>
      </c>
      <c r="P610" s="12" t="s">
        <v>3790</v>
      </c>
      <c r="Q610" s="12"/>
      <c r="R610" s="12" t="s">
        <v>1545</v>
      </c>
      <c r="S610" s="12" t="s">
        <v>15</v>
      </c>
      <c r="T610" s="13">
        <v>44637</v>
      </c>
      <c r="U610" s="12" t="str">
        <f t="shared" si="39"/>
        <v>Corrected</v>
      </c>
      <c r="V610" s="12" t="str">
        <f t="shared" si="36"/>
        <v>FIRDUS Ahmad</v>
      </c>
      <c r="W610" s="13">
        <f t="shared" si="37"/>
        <v>44637</v>
      </c>
    </row>
    <row r="611" spans="1:23" ht="14.4" customHeight="1" x14ac:dyDescent="0.3">
      <c r="A611" s="28">
        <v>44566</v>
      </c>
      <c r="B611" s="12" t="s">
        <v>2572</v>
      </c>
      <c r="C611" s="12" t="s">
        <v>1542</v>
      </c>
      <c r="D611" s="5" t="s">
        <v>2573</v>
      </c>
      <c r="E611" s="12">
        <v>610</v>
      </c>
      <c r="F611" s="11" t="s">
        <v>2574</v>
      </c>
      <c r="G611" s="12" t="s">
        <v>7</v>
      </c>
      <c r="H611" s="12" t="s">
        <v>9</v>
      </c>
      <c r="I611" s="11"/>
      <c r="J611" s="12" t="s">
        <v>1574</v>
      </c>
      <c r="K611" s="12" t="str">
        <f t="shared" si="38"/>
        <v>Closed</v>
      </c>
      <c r="L611" s="13">
        <v>44571</v>
      </c>
      <c r="M611" s="12"/>
      <c r="N611" s="12" t="s">
        <v>2517</v>
      </c>
      <c r="O611" s="12"/>
      <c r="P611" s="12" t="s">
        <v>3790</v>
      </c>
      <c r="Q611" s="12"/>
      <c r="R611" s="12"/>
      <c r="S611" s="12"/>
      <c r="T611" s="12"/>
      <c r="U611" s="12" t="str">
        <f t="shared" si="39"/>
        <v>NFF</v>
      </c>
      <c r="V611" s="12" t="str">
        <f t="shared" si="36"/>
        <v>KHAN Jahan</v>
      </c>
      <c r="W611" s="13">
        <f t="shared" si="37"/>
        <v>44571</v>
      </c>
    </row>
    <row r="612" spans="1:23" ht="14.4" customHeight="1" x14ac:dyDescent="0.3">
      <c r="A612" s="28">
        <v>44566</v>
      </c>
      <c r="B612" s="12" t="s">
        <v>1081</v>
      </c>
      <c r="C612" s="12" t="s">
        <v>1703</v>
      </c>
      <c r="D612" s="5" t="s">
        <v>1675</v>
      </c>
      <c r="E612" s="12">
        <v>402</v>
      </c>
      <c r="F612" s="11" t="s">
        <v>2575</v>
      </c>
      <c r="G612" s="12" t="s">
        <v>7</v>
      </c>
      <c r="H612" s="12" t="s">
        <v>9</v>
      </c>
      <c r="I612" s="11"/>
      <c r="J612" s="12" t="s">
        <v>1609</v>
      </c>
      <c r="K612" s="12" t="str">
        <f t="shared" si="38"/>
        <v>Open</v>
      </c>
      <c r="L612" s="13"/>
      <c r="M612" s="12" t="s">
        <v>2576</v>
      </c>
      <c r="N612" s="12" t="s">
        <v>2448</v>
      </c>
      <c r="O612" s="12"/>
      <c r="P612" s="12" t="s">
        <v>3790</v>
      </c>
      <c r="Q612" s="12"/>
      <c r="R612" s="12" t="s">
        <v>5</v>
      </c>
      <c r="S612" s="12" t="s">
        <v>3</v>
      </c>
      <c r="T612" s="13" t="s">
        <v>1547</v>
      </c>
      <c r="U612" s="12" t="str">
        <f t="shared" si="39"/>
        <v>No Material</v>
      </c>
      <c r="V612" s="12" t="str">
        <f t="shared" si="36"/>
        <v>SUKIMAN Zamhuri</v>
      </c>
      <c r="W612" s="13" t="str">
        <f t="shared" si="37"/>
        <v/>
      </c>
    </row>
    <row r="613" spans="1:23" ht="14.4" customHeight="1" x14ac:dyDescent="0.3">
      <c r="A613" s="28">
        <v>44567</v>
      </c>
      <c r="B613" s="12" t="s">
        <v>2577</v>
      </c>
      <c r="C613" s="12" t="s">
        <v>1542</v>
      </c>
      <c r="D613" s="5" t="s">
        <v>2578</v>
      </c>
      <c r="E613" s="12">
        <v>611</v>
      </c>
      <c r="F613" s="11" t="s">
        <v>2579</v>
      </c>
      <c r="G613" s="12"/>
      <c r="H613" s="12" t="s">
        <v>14</v>
      </c>
      <c r="I613" s="11" t="s">
        <v>2344</v>
      </c>
      <c r="J613" s="12" t="s">
        <v>1545</v>
      </c>
      <c r="K613" s="12" t="str">
        <f t="shared" si="38"/>
        <v>Closed</v>
      </c>
      <c r="L613" s="13">
        <v>44570</v>
      </c>
      <c r="M613" s="12"/>
      <c r="N613" s="12" t="s">
        <v>4428</v>
      </c>
      <c r="O613" s="12"/>
      <c r="P613" s="12" t="s">
        <v>3790</v>
      </c>
      <c r="Q613" s="12"/>
      <c r="R613" s="12"/>
      <c r="S613" s="12"/>
      <c r="T613" s="12"/>
      <c r="U613" s="12" t="str">
        <f t="shared" si="39"/>
        <v>Corrected</v>
      </c>
      <c r="V613" s="12" t="str">
        <f t="shared" si="36"/>
        <v>GUAN Jialin</v>
      </c>
      <c r="W613" s="13">
        <f t="shared" si="37"/>
        <v>44570</v>
      </c>
    </row>
    <row r="614" spans="1:23" ht="14.4" customHeight="1" x14ac:dyDescent="0.3">
      <c r="A614" s="28">
        <v>44567</v>
      </c>
      <c r="B614" s="12" t="s">
        <v>2587</v>
      </c>
      <c r="C614" s="12" t="s">
        <v>1542</v>
      </c>
      <c r="D614" s="5" t="s">
        <v>2588</v>
      </c>
      <c r="E614" s="12">
        <v>612</v>
      </c>
      <c r="F614" s="11" t="s">
        <v>2589</v>
      </c>
      <c r="G614" s="12" t="s">
        <v>7</v>
      </c>
      <c r="H614" s="12" t="s">
        <v>19</v>
      </c>
      <c r="I614" s="11" t="s">
        <v>3436</v>
      </c>
      <c r="J614" s="12" t="s">
        <v>1609</v>
      </c>
      <c r="K614" s="12" t="str">
        <f t="shared" si="38"/>
        <v>Open</v>
      </c>
      <c r="L614" s="13"/>
      <c r="M614" s="12"/>
      <c r="N614" s="12" t="s">
        <v>1652</v>
      </c>
      <c r="O614" s="12"/>
      <c r="P614" s="12" t="s">
        <v>3790</v>
      </c>
      <c r="Q614" s="12"/>
      <c r="R614" s="12" t="s">
        <v>1545</v>
      </c>
      <c r="S614" s="12" t="s">
        <v>15</v>
      </c>
      <c r="T614" s="25">
        <v>44648</v>
      </c>
      <c r="U614" s="12" t="str">
        <f t="shared" si="39"/>
        <v>Corrected</v>
      </c>
      <c r="V614" s="12" t="str">
        <f t="shared" si="36"/>
        <v>Imran Rasheed</v>
      </c>
      <c r="W614" s="13">
        <f t="shared" si="37"/>
        <v>44648</v>
      </c>
    </row>
    <row r="615" spans="1:23" ht="14.4" customHeight="1" x14ac:dyDescent="0.3">
      <c r="A615" s="28">
        <v>44567</v>
      </c>
      <c r="B615" s="12" t="s">
        <v>2590</v>
      </c>
      <c r="C615" s="12" t="s">
        <v>1542</v>
      </c>
      <c r="D615" s="5" t="s">
        <v>2591</v>
      </c>
      <c r="E615" s="12">
        <v>614</v>
      </c>
      <c r="F615" s="11" t="s">
        <v>2592</v>
      </c>
      <c r="G615" s="12" t="s">
        <v>7</v>
      </c>
      <c r="H615" s="12" t="s">
        <v>19</v>
      </c>
      <c r="I615" s="11" t="s">
        <v>2593</v>
      </c>
      <c r="J615" s="12" t="s">
        <v>1609</v>
      </c>
      <c r="K615" s="12" t="str">
        <f t="shared" si="38"/>
        <v>Open</v>
      </c>
      <c r="L615" s="13"/>
      <c r="M615" s="12"/>
      <c r="N615" s="12" t="s">
        <v>1652</v>
      </c>
      <c r="O615" s="12"/>
      <c r="P615" s="12" t="s">
        <v>3790</v>
      </c>
      <c r="Q615" s="12"/>
      <c r="R615" s="12" t="s">
        <v>1545</v>
      </c>
      <c r="S615" s="12" t="s">
        <v>15</v>
      </c>
      <c r="T615" s="13">
        <v>44650</v>
      </c>
      <c r="U615" s="12" t="str">
        <f t="shared" si="39"/>
        <v>Corrected</v>
      </c>
      <c r="V615" s="12" t="str">
        <f t="shared" si="36"/>
        <v>Imran Rasheed</v>
      </c>
      <c r="W615" s="13">
        <f t="shared" si="37"/>
        <v>44650</v>
      </c>
    </row>
    <row r="616" spans="1:23" ht="14.4" customHeight="1" x14ac:dyDescent="0.3">
      <c r="A616" s="28">
        <v>44567</v>
      </c>
      <c r="B616" s="12" t="s">
        <v>2594</v>
      </c>
      <c r="C616" s="12" t="s">
        <v>1542</v>
      </c>
      <c r="D616" s="5" t="s">
        <v>2588</v>
      </c>
      <c r="E616" s="12">
        <v>612</v>
      </c>
      <c r="F616" s="11" t="s">
        <v>1466</v>
      </c>
      <c r="G616" s="12" t="s">
        <v>7</v>
      </c>
      <c r="H616" s="12" t="s">
        <v>9</v>
      </c>
      <c r="I616" s="11"/>
      <c r="J616" s="12" t="s">
        <v>1545</v>
      </c>
      <c r="K616" s="12" t="str">
        <f t="shared" si="38"/>
        <v>Closed</v>
      </c>
      <c r="L616" s="13">
        <v>44580</v>
      </c>
      <c r="M616" s="12" t="s">
        <v>1467</v>
      </c>
      <c r="N616" s="12" t="s">
        <v>2448</v>
      </c>
      <c r="O616" s="12"/>
      <c r="P616" s="12" t="s">
        <v>3790</v>
      </c>
      <c r="Q616" s="12"/>
      <c r="R616" s="12"/>
      <c r="S616" s="12"/>
      <c r="T616" s="12"/>
      <c r="U616" s="12" t="str">
        <f t="shared" si="39"/>
        <v>Corrected</v>
      </c>
      <c r="V616" s="12" t="str">
        <f t="shared" si="36"/>
        <v>KHAN Jahan</v>
      </c>
      <c r="W616" s="13">
        <f t="shared" si="37"/>
        <v>44580</v>
      </c>
    </row>
    <row r="617" spans="1:23" ht="14.4" customHeight="1" x14ac:dyDescent="0.3">
      <c r="A617" s="28">
        <v>44567</v>
      </c>
      <c r="B617" s="12" t="s">
        <v>1450</v>
      </c>
      <c r="C617" s="12" t="s">
        <v>1542</v>
      </c>
      <c r="D617" s="5" t="s">
        <v>2595</v>
      </c>
      <c r="E617" s="12">
        <v>618</v>
      </c>
      <c r="F617" s="11" t="s">
        <v>1449</v>
      </c>
      <c r="G617" s="12" t="s">
        <v>7</v>
      </c>
      <c r="H617" s="12" t="s">
        <v>14</v>
      </c>
      <c r="I617" s="11" t="s">
        <v>1994</v>
      </c>
      <c r="J617" s="12" t="s">
        <v>1545</v>
      </c>
      <c r="K617" s="12" t="str">
        <f t="shared" si="38"/>
        <v>Closed</v>
      </c>
      <c r="L617" s="13">
        <v>44580</v>
      </c>
      <c r="M617" s="12"/>
      <c r="N617" s="12" t="s">
        <v>4427</v>
      </c>
      <c r="O617" s="12" t="s">
        <v>3411</v>
      </c>
      <c r="P617" s="12" t="s">
        <v>3790</v>
      </c>
      <c r="Q617" s="12"/>
      <c r="R617" s="12"/>
      <c r="S617" s="12"/>
      <c r="T617" s="12"/>
      <c r="U617" s="12" t="str">
        <f t="shared" si="39"/>
        <v>Corrected</v>
      </c>
      <c r="V617" s="12" t="str">
        <f t="shared" si="36"/>
        <v>GUAN Jialin</v>
      </c>
      <c r="W617" s="13">
        <f t="shared" si="37"/>
        <v>44580</v>
      </c>
    </row>
    <row r="618" spans="1:23" ht="14.4" customHeight="1" x14ac:dyDescent="0.3">
      <c r="A618" s="28">
        <v>44567</v>
      </c>
      <c r="B618" s="12" t="s">
        <v>2596</v>
      </c>
      <c r="C618" s="12" t="s">
        <v>1542</v>
      </c>
      <c r="D618" s="5" t="s">
        <v>2595</v>
      </c>
      <c r="E618" s="12">
        <v>618</v>
      </c>
      <c r="F618" s="11" t="s">
        <v>2597</v>
      </c>
      <c r="G618" s="12" t="s">
        <v>7</v>
      </c>
      <c r="H618" s="12" t="s">
        <v>11</v>
      </c>
      <c r="I618" s="11" t="s">
        <v>3584</v>
      </c>
      <c r="J618" s="12" t="s">
        <v>1545</v>
      </c>
      <c r="K618" s="12" t="str">
        <f t="shared" si="38"/>
        <v>Closed</v>
      </c>
      <c r="L618" s="13">
        <v>44626</v>
      </c>
      <c r="M618" s="12"/>
      <c r="N618" s="12" t="s">
        <v>2448</v>
      </c>
      <c r="O618" s="12" t="s">
        <v>1675</v>
      </c>
      <c r="P618" s="12" t="s">
        <v>3790</v>
      </c>
      <c r="Q618" s="12"/>
      <c r="R618" s="12"/>
      <c r="S618" s="12"/>
      <c r="T618" s="12"/>
      <c r="U618" s="12" t="str">
        <f t="shared" si="39"/>
        <v>Corrected</v>
      </c>
      <c r="V618" s="12" t="str">
        <f t="shared" si="36"/>
        <v>FIRDUS Ahmad</v>
      </c>
      <c r="W618" s="13">
        <f t="shared" si="37"/>
        <v>44626</v>
      </c>
    </row>
    <row r="619" spans="1:23" ht="14.4" customHeight="1" x14ac:dyDescent="0.3">
      <c r="A619" s="28">
        <v>44567</v>
      </c>
      <c r="B619" s="12" t="s">
        <v>2598</v>
      </c>
      <c r="C619" s="12" t="s">
        <v>1542</v>
      </c>
      <c r="D619" s="5" t="s">
        <v>2595</v>
      </c>
      <c r="E619" s="12">
        <v>618</v>
      </c>
      <c r="F619" s="11" t="s">
        <v>2599</v>
      </c>
      <c r="G619" s="12" t="s">
        <v>7</v>
      </c>
      <c r="H619" s="12" t="s">
        <v>19</v>
      </c>
      <c r="I619" s="11" t="s">
        <v>3436</v>
      </c>
      <c r="J619" s="12" t="s">
        <v>1609</v>
      </c>
      <c r="K619" s="12" t="str">
        <f t="shared" si="38"/>
        <v>Open</v>
      </c>
      <c r="L619" s="13"/>
      <c r="M619" s="12"/>
      <c r="N619" s="12" t="s">
        <v>1652</v>
      </c>
      <c r="O619" s="12"/>
      <c r="P619" s="12" t="s">
        <v>3790</v>
      </c>
      <c r="Q619" s="12"/>
      <c r="R619" s="12" t="s">
        <v>1545</v>
      </c>
      <c r="S619" s="12" t="s">
        <v>15</v>
      </c>
      <c r="T619" s="25">
        <v>44650</v>
      </c>
      <c r="U619" s="12" t="str">
        <f t="shared" si="39"/>
        <v>Corrected</v>
      </c>
      <c r="V619" s="12" t="str">
        <f t="shared" si="36"/>
        <v>Imran Rasheed</v>
      </c>
      <c r="W619" s="13">
        <f t="shared" si="37"/>
        <v>44650</v>
      </c>
    </row>
    <row r="620" spans="1:23" ht="28.8" customHeight="1" x14ac:dyDescent="0.3">
      <c r="A620" s="28">
        <v>44567</v>
      </c>
      <c r="B620" s="12" t="s">
        <v>1454</v>
      </c>
      <c r="C620" s="12" t="s">
        <v>1542</v>
      </c>
      <c r="D620" s="5" t="s">
        <v>2600</v>
      </c>
      <c r="E620" s="12">
        <v>622</v>
      </c>
      <c r="F620" s="11" t="s">
        <v>1453</v>
      </c>
      <c r="G620" s="12" t="s">
        <v>7</v>
      </c>
      <c r="H620" s="12" t="s">
        <v>14</v>
      </c>
      <c r="I620" s="11" t="s">
        <v>1548</v>
      </c>
      <c r="J620" s="12" t="s">
        <v>1545</v>
      </c>
      <c r="K620" s="12" t="str">
        <f t="shared" si="38"/>
        <v>Closed</v>
      </c>
      <c r="L620" s="13">
        <v>44598</v>
      </c>
      <c r="M620" s="12"/>
      <c r="N620" s="12" t="s">
        <v>4427</v>
      </c>
      <c r="O620" s="12" t="s">
        <v>2546</v>
      </c>
      <c r="P620" s="12" t="s">
        <v>3790</v>
      </c>
      <c r="Q620" s="12"/>
      <c r="R620" s="12"/>
      <c r="S620" s="12"/>
      <c r="T620" s="12"/>
      <c r="U620" s="12" t="str">
        <f t="shared" si="39"/>
        <v>Corrected</v>
      </c>
      <c r="V620" s="12" t="str">
        <f t="shared" si="36"/>
        <v>GUAN Jialin</v>
      </c>
      <c r="W620" s="13">
        <f t="shared" si="37"/>
        <v>44598</v>
      </c>
    </row>
    <row r="621" spans="1:23" ht="43.2" customHeight="1" x14ac:dyDescent="0.3">
      <c r="A621" s="28">
        <v>44570</v>
      </c>
      <c r="B621" s="12" t="s">
        <v>2604</v>
      </c>
      <c r="C621" s="12" t="s">
        <v>1716</v>
      </c>
      <c r="D621" s="5" t="s">
        <v>1675</v>
      </c>
      <c r="E621" s="12">
        <v>607</v>
      </c>
      <c r="F621" s="11" t="s">
        <v>2605</v>
      </c>
      <c r="G621" s="12" t="s">
        <v>1</v>
      </c>
      <c r="H621" s="12" t="s">
        <v>11</v>
      </c>
      <c r="I621" s="11"/>
      <c r="J621" s="12" t="s">
        <v>1545</v>
      </c>
      <c r="K621" s="12" t="str">
        <f t="shared" si="38"/>
        <v>Closed</v>
      </c>
      <c r="L621" s="13">
        <v>44570</v>
      </c>
      <c r="M621" s="12" t="s">
        <v>2606</v>
      </c>
      <c r="N621" s="12" t="s">
        <v>1652</v>
      </c>
      <c r="O621" s="12"/>
      <c r="P621" s="12" t="s">
        <v>3790</v>
      </c>
      <c r="Q621" s="12"/>
      <c r="R621" s="12"/>
      <c r="S621" s="12"/>
      <c r="T621" s="12"/>
      <c r="U621" s="12" t="str">
        <f t="shared" si="39"/>
        <v>Corrected</v>
      </c>
      <c r="V621" s="12" t="str">
        <f t="shared" si="36"/>
        <v>FIRDUS Ahmad</v>
      </c>
      <c r="W621" s="13">
        <f t="shared" si="37"/>
        <v>44570</v>
      </c>
    </row>
    <row r="622" spans="1:23" ht="14.4" customHeight="1" x14ac:dyDescent="0.3">
      <c r="A622" s="28">
        <v>44570</v>
      </c>
      <c r="B622" s="12" t="s">
        <v>2607</v>
      </c>
      <c r="C622" s="12" t="s">
        <v>1687</v>
      </c>
      <c r="D622" s="5" t="s">
        <v>1675</v>
      </c>
      <c r="E622" s="12">
        <v>415</v>
      </c>
      <c r="F622" s="11" t="s">
        <v>2608</v>
      </c>
      <c r="G622" s="12" t="s">
        <v>1</v>
      </c>
      <c r="H622" s="12" t="s">
        <v>11</v>
      </c>
      <c r="I622" s="11"/>
      <c r="J622" s="12" t="s">
        <v>1545</v>
      </c>
      <c r="K622" s="12" t="str">
        <f t="shared" si="38"/>
        <v>Closed</v>
      </c>
      <c r="L622" s="13">
        <v>44570</v>
      </c>
      <c r="M622" s="12" t="s">
        <v>2526</v>
      </c>
      <c r="N622" s="12" t="s">
        <v>2482</v>
      </c>
      <c r="O622" s="12"/>
      <c r="P622" s="12" t="s">
        <v>3790</v>
      </c>
      <c r="Q622" s="12"/>
      <c r="R622" s="12"/>
      <c r="S622" s="12"/>
      <c r="T622" s="12"/>
      <c r="U622" s="12" t="str">
        <f t="shared" si="39"/>
        <v>Corrected</v>
      </c>
      <c r="V622" s="12" t="str">
        <f t="shared" si="36"/>
        <v>FIRDUS Ahmad</v>
      </c>
      <c r="W622" s="13">
        <f t="shared" si="37"/>
        <v>44570</v>
      </c>
    </row>
    <row r="623" spans="1:23" ht="14.4" customHeight="1" x14ac:dyDescent="0.3">
      <c r="A623" s="28">
        <v>44570</v>
      </c>
      <c r="B623" s="12" t="s">
        <v>2609</v>
      </c>
      <c r="C623" s="12" t="s">
        <v>1687</v>
      </c>
      <c r="D623" s="5" t="s">
        <v>1675</v>
      </c>
      <c r="E623" s="12">
        <v>415</v>
      </c>
      <c r="F623" s="11" t="s">
        <v>2610</v>
      </c>
      <c r="G623" s="12" t="s">
        <v>7</v>
      </c>
      <c r="H623" s="12" t="s">
        <v>9</v>
      </c>
      <c r="I623" s="11"/>
      <c r="J623" s="12" t="s">
        <v>1545</v>
      </c>
      <c r="K623" s="12" t="str">
        <f t="shared" si="38"/>
        <v>Closed</v>
      </c>
      <c r="L623" s="13">
        <v>44578</v>
      </c>
      <c r="M623" s="12" t="s">
        <v>1308</v>
      </c>
      <c r="N623" s="12" t="s">
        <v>2517</v>
      </c>
      <c r="O623" s="12"/>
      <c r="P623" s="12" t="s">
        <v>3790</v>
      </c>
      <c r="Q623" s="12"/>
      <c r="R623" s="12"/>
      <c r="S623" s="12"/>
      <c r="T623" s="12"/>
      <c r="U623" s="12" t="str">
        <f t="shared" si="39"/>
        <v>Corrected</v>
      </c>
      <c r="V623" s="12" t="str">
        <f t="shared" si="36"/>
        <v>KHAN Jahan</v>
      </c>
      <c r="W623" s="13">
        <f t="shared" si="37"/>
        <v>44578</v>
      </c>
    </row>
    <row r="624" spans="1:23" ht="14.4" customHeight="1" x14ac:dyDescent="0.3">
      <c r="A624" s="28">
        <v>44570</v>
      </c>
      <c r="B624" s="12" t="s">
        <v>2619</v>
      </c>
      <c r="C624" s="12" t="s">
        <v>1542</v>
      </c>
      <c r="D624" s="5" t="s">
        <v>2620</v>
      </c>
      <c r="E624" s="12">
        <v>415</v>
      </c>
      <c r="F624" s="11" t="s">
        <v>2621</v>
      </c>
      <c r="G624" s="12" t="s">
        <v>7</v>
      </c>
      <c r="H624" s="12" t="s">
        <v>18</v>
      </c>
      <c r="I624" s="11" t="s">
        <v>1905</v>
      </c>
      <c r="J624" s="12" t="s">
        <v>1574</v>
      </c>
      <c r="K624" s="12" t="str">
        <f t="shared" si="38"/>
        <v>Closed</v>
      </c>
      <c r="L624" s="13">
        <v>44581</v>
      </c>
      <c r="M624" s="12"/>
      <c r="N624" s="12" t="s">
        <v>4427</v>
      </c>
      <c r="O624" s="12"/>
      <c r="P624" s="12" t="s">
        <v>3790</v>
      </c>
      <c r="Q624" s="12"/>
      <c r="R624" s="12"/>
      <c r="S624" s="12"/>
      <c r="T624" s="13" t="s">
        <v>1547</v>
      </c>
      <c r="U624" s="12" t="str">
        <f t="shared" si="39"/>
        <v>NFF</v>
      </c>
      <c r="V624" s="12" t="str">
        <f t="shared" si="36"/>
        <v>BENAYED Elie</v>
      </c>
      <c r="W624" s="13">
        <f t="shared" si="37"/>
        <v>44581</v>
      </c>
    </row>
    <row r="625" spans="1:23" ht="14.4" customHeight="1" x14ac:dyDescent="0.3">
      <c r="A625" s="28">
        <v>44570</v>
      </c>
      <c r="B625" s="12" t="s">
        <v>2622</v>
      </c>
      <c r="C625" s="12" t="s">
        <v>1542</v>
      </c>
      <c r="D625" s="5" t="s">
        <v>2623</v>
      </c>
      <c r="E625" s="12">
        <v>420</v>
      </c>
      <c r="F625" s="11" t="s">
        <v>2624</v>
      </c>
      <c r="G625" s="12" t="s">
        <v>7</v>
      </c>
      <c r="H625" s="12" t="s">
        <v>19</v>
      </c>
      <c r="I625" s="11" t="s">
        <v>2625</v>
      </c>
      <c r="J625" s="12" t="s">
        <v>1574</v>
      </c>
      <c r="K625" s="12" t="str">
        <f t="shared" si="38"/>
        <v>Closed</v>
      </c>
      <c r="L625" s="13">
        <v>44626</v>
      </c>
      <c r="M625" s="12"/>
      <c r="N625" s="12" t="s">
        <v>1652</v>
      </c>
      <c r="O625" s="12"/>
      <c r="P625" s="12" t="s">
        <v>3790</v>
      </c>
      <c r="Q625" s="12"/>
      <c r="R625" s="12"/>
      <c r="S625" s="12"/>
      <c r="T625" s="13" t="s">
        <v>1547</v>
      </c>
      <c r="U625" s="12" t="str">
        <f t="shared" si="39"/>
        <v>NFF</v>
      </c>
      <c r="V625" s="12" t="str">
        <f t="shared" si="36"/>
        <v>DAOUDI Mohamed</v>
      </c>
      <c r="W625" s="13">
        <f t="shared" si="37"/>
        <v>44626</v>
      </c>
    </row>
    <row r="626" spans="1:23" ht="14.4" customHeight="1" x14ac:dyDescent="0.3">
      <c r="A626" s="28">
        <v>44570</v>
      </c>
      <c r="B626" s="12" t="s">
        <v>2626</v>
      </c>
      <c r="C626" s="12" t="s">
        <v>1542</v>
      </c>
      <c r="D626" s="5" t="s">
        <v>2623</v>
      </c>
      <c r="E626" s="12">
        <v>420</v>
      </c>
      <c r="F626" s="11" t="s">
        <v>2627</v>
      </c>
      <c r="G626" s="12" t="s">
        <v>7</v>
      </c>
      <c r="H626" s="12" t="s">
        <v>19</v>
      </c>
      <c r="I626" s="11" t="s">
        <v>2628</v>
      </c>
      <c r="J626" s="12" t="s">
        <v>1574</v>
      </c>
      <c r="K626" s="12" t="str">
        <f t="shared" si="38"/>
        <v>Closed</v>
      </c>
      <c r="L626" s="13">
        <v>44626</v>
      </c>
      <c r="M626" s="12"/>
      <c r="N626" s="12" t="s">
        <v>1652</v>
      </c>
      <c r="O626" s="12"/>
      <c r="P626" s="12" t="s">
        <v>3790</v>
      </c>
      <c r="Q626" s="12"/>
      <c r="R626" s="12"/>
      <c r="S626" s="12"/>
      <c r="T626" s="13" t="s">
        <v>1547</v>
      </c>
      <c r="U626" s="12" t="str">
        <f t="shared" si="39"/>
        <v>NFF</v>
      </c>
      <c r="V626" s="12" t="str">
        <f t="shared" si="36"/>
        <v>DAOUDI Mohamed</v>
      </c>
      <c r="W626" s="13">
        <f t="shared" si="37"/>
        <v>44626</v>
      </c>
    </row>
    <row r="627" spans="1:23" ht="14.4" customHeight="1" x14ac:dyDescent="0.3">
      <c r="A627" s="28">
        <v>44570</v>
      </c>
      <c r="B627" s="12" t="s">
        <v>2629</v>
      </c>
      <c r="C627" s="12" t="s">
        <v>1542</v>
      </c>
      <c r="D627" s="5" t="s">
        <v>2623</v>
      </c>
      <c r="E627" s="12">
        <v>420</v>
      </c>
      <c r="F627" s="11" t="s">
        <v>2630</v>
      </c>
      <c r="G627" s="12" t="s">
        <v>7</v>
      </c>
      <c r="H627" s="12" t="s">
        <v>14</v>
      </c>
      <c r="I627" s="11" t="s">
        <v>1853</v>
      </c>
      <c r="J627" s="12" t="s">
        <v>1545</v>
      </c>
      <c r="K627" s="12" t="str">
        <f t="shared" si="38"/>
        <v>Closed</v>
      </c>
      <c r="L627" s="13">
        <v>44580</v>
      </c>
      <c r="M627" s="12"/>
      <c r="N627" s="12" t="s">
        <v>4427</v>
      </c>
      <c r="O627" s="12" t="s">
        <v>3411</v>
      </c>
      <c r="P627" s="12" t="s">
        <v>3790</v>
      </c>
      <c r="Q627" s="12"/>
      <c r="R627" s="12"/>
      <c r="S627" s="12"/>
      <c r="T627" s="12"/>
      <c r="U627" s="12" t="str">
        <f t="shared" si="39"/>
        <v>Corrected</v>
      </c>
      <c r="V627" s="12" t="str">
        <f t="shared" si="36"/>
        <v>GUAN Jialin</v>
      </c>
      <c r="W627" s="13">
        <f t="shared" si="37"/>
        <v>44580</v>
      </c>
    </row>
    <row r="628" spans="1:23" ht="14.4" customHeight="1" x14ac:dyDescent="0.3">
      <c r="A628" s="28">
        <v>44570</v>
      </c>
      <c r="B628" s="12" t="s">
        <v>2631</v>
      </c>
      <c r="C628" s="12" t="s">
        <v>1542</v>
      </c>
      <c r="D628" s="5" t="s">
        <v>2632</v>
      </c>
      <c r="E628" s="12">
        <v>607</v>
      </c>
      <c r="F628" s="11" t="s">
        <v>2633</v>
      </c>
      <c r="G628" s="12" t="s">
        <v>7</v>
      </c>
      <c r="H628" s="12" t="s">
        <v>14</v>
      </c>
      <c r="I628" s="11" t="s">
        <v>2634</v>
      </c>
      <c r="J628" s="12" t="s">
        <v>1574</v>
      </c>
      <c r="K628" s="12" t="str">
        <f t="shared" si="38"/>
        <v>Closed</v>
      </c>
      <c r="L628" s="13">
        <v>44598</v>
      </c>
      <c r="M628" s="12"/>
      <c r="N628" s="12" t="s">
        <v>2482</v>
      </c>
      <c r="O628" s="12"/>
      <c r="P628" s="12" t="s">
        <v>3790</v>
      </c>
      <c r="Q628" s="12"/>
      <c r="R628" s="12"/>
      <c r="S628" s="12"/>
      <c r="T628" s="13" t="s">
        <v>1547</v>
      </c>
      <c r="U628" s="12" t="str">
        <f t="shared" si="39"/>
        <v>NFF</v>
      </c>
      <c r="V628" s="12" t="str">
        <f t="shared" si="36"/>
        <v>GUAN Jialin</v>
      </c>
      <c r="W628" s="13">
        <f t="shared" si="37"/>
        <v>44598</v>
      </c>
    </row>
    <row r="629" spans="1:23" ht="14.4" customHeight="1" x14ac:dyDescent="0.3">
      <c r="A629" s="28">
        <v>44570</v>
      </c>
      <c r="B629" s="12" t="s">
        <v>2635</v>
      </c>
      <c r="C629" s="12" t="s">
        <v>1542</v>
      </c>
      <c r="D629" s="5" t="s">
        <v>2636</v>
      </c>
      <c r="E629" s="12">
        <v>615</v>
      </c>
      <c r="F629" s="11" t="s">
        <v>2637</v>
      </c>
      <c r="G629" s="12" t="s">
        <v>7</v>
      </c>
      <c r="H629" s="12" t="s">
        <v>9</v>
      </c>
      <c r="I629" s="11"/>
      <c r="J629" s="12" t="s">
        <v>1609</v>
      </c>
      <c r="K629" s="12" t="str">
        <f t="shared" si="38"/>
        <v>Open</v>
      </c>
      <c r="L629" s="13"/>
      <c r="M629" s="12" t="s">
        <v>1104</v>
      </c>
      <c r="N629" s="12" t="s">
        <v>2638</v>
      </c>
      <c r="O629" s="12"/>
      <c r="P629" s="12" t="s">
        <v>3790</v>
      </c>
      <c r="Q629" s="12"/>
      <c r="R629" s="12" t="s">
        <v>5</v>
      </c>
      <c r="S629" s="12" t="s">
        <v>3</v>
      </c>
      <c r="T629" s="12"/>
      <c r="U629" s="12" t="str">
        <f t="shared" si="39"/>
        <v>No Material</v>
      </c>
      <c r="V629" s="12" t="str">
        <f t="shared" si="36"/>
        <v>SUKIMAN Zamhuri</v>
      </c>
      <c r="W629" s="13" t="str">
        <f t="shared" si="37"/>
        <v/>
      </c>
    </row>
    <row r="630" spans="1:23" ht="14.4" customHeight="1" x14ac:dyDescent="0.3">
      <c r="A630" s="28">
        <v>44570</v>
      </c>
      <c r="B630" s="12" t="s">
        <v>2639</v>
      </c>
      <c r="C630" s="12" t="s">
        <v>1542</v>
      </c>
      <c r="D630" s="5" t="s">
        <v>2636</v>
      </c>
      <c r="E630" s="12">
        <v>615</v>
      </c>
      <c r="F630" s="11" t="s">
        <v>2640</v>
      </c>
      <c r="G630" s="12" t="s">
        <v>7</v>
      </c>
      <c r="H630" s="12" t="s">
        <v>14</v>
      </c>
      <c r="I630" s="11" t="s">
        <v>2641</v>
      </c>
      <c r="J630" s="12" t="s">
        <v>1574</v>
      </c>
      <c r="K630" s="12" t="str">
        <f t="shared" si="38"/>
        <v>Closed</v>
      </c>
      <c r="L630" s="13">
        <v>44581</v>
      </c>
      <c r="M630" s="12"/>
      <c r="N630" s="12" t="s">
        <v>4427</v>
      </c>
      <c r="O630" s="12"/>
      <c r="P630" s="12" t="s">
        <v>3790</v>
      </c>
      <c r="Q630" s="12"/>
      <c r="R630" s="12"/>
      <c r="S630" s="12"/>
      <c r="T630" s="13" t="s">
        <v>1547</v>
      </c>
      <c r="U630" s="12" t="str">
        <f t="shared" si="39"/>
        <v>NFF</v>
      </c>
      <c r="V630" s="12" t="str">
        <f t="shared" si="36"/>
        <v>GUAN Jialin</v>
      </c>
      <c r="W630" s="13">
        <f t="shared" si="37"/>
        <v>44581</v>
      </c>
    </row>
    <row r="631" spans="1:23" ht="14.4" customHeight="1" x14ac:dyDescent="0.3">
      <c r="A631" s="28">
        <v>44570</v>
      </c>
      <c r="B631" s="12" t="s">
        <v>2642</v>
      </c>
      <c r="C631" s="12" t="s">
        <v>1542</v>
      </c>
      <c r="D631" s="5" t="s">
        <v>2636</v>
      </c>
      <c r="E631" s="12">
        <v>615</v>
      </c>
      <c r="F631" s="11" t="s">
        <v>2643</v>
      </c>
      <c r="G631" s="12" t="s">
        <v>4</v>
      </c>
      <c r="H631" s="12" t="s">
        <v>9</v>
      </c>
      <c r="I631" s="11"/>
      <c r="J631" s="12" t="s">
        <v>1574</v>
      </c>
      <c r="K631" s="12" t="str">
        <f t="shared" si="38"/>
        <v>Closed</v>
      </c>
      <c r="L631" s="13">
        <v>44571</v>
      </c>
      <c r="M631" s="12"/>
      <c r="N631" s="12" t="s">
        <v>2517</v>
      </c>
      <c r="O631" s="12"/>
      <c r="P631" s="12" t="s">
        <v>3790</v>
      </c>
      <c r="Q631" s="12"/>
      <c r="R631" s="12"/>
      <c r="S631" s="12"/>
      <c r="T631" s="13" t="s">
        <v>1547</v>
      </c>
      <c r="U631" s="12" t="str">
        <f t="shared" si="39"/>
        <v>NFF</v>
      </c>
      <c r="V631" s="12" t="str">
        <f t="shared" si="36"/>
        <v>KHAN Jahan</v>
      </c>
      <c r="W631" s="13">
        <f t="shared" si="37"/>
        <v>44571</v>
      </c>
    </row>
    <row r="632" spans="1:23" ht="14.4" customHeight="1" x14ac:dyDescent="0.3">
      <c r="A632" s="28">
        <v>44571</v>
      </c>
      <c r="B632" s="12" t="s">
        <v>2646</v>
      </c>
      <c r="C632" s="12" t="s">
        <v>1690</v>
      </c>
      <c r="D632" s="5" t="s">
        <v>1675</v>
      </c>
      <c r="E632" s="12">
        <v>414</v>
      </c>
      <c r="F632" s="11" t="s">
        <v>2647</v>
      </c>
      <c r="G632" s="12" t="s">
        <v>1</v>
      </c>
      <c r="H632" s="12" t="s">
        <v>14</v>
      </c>
      <c r="I632" s="11" t="s">
        <v>2648</v>
      </c>
      <c r="J632" s="12" t="s">
        <v>1574</v>
      </c>
      <c r="K632" s="12" t="str">
        <f t="shared" si="38"/>
        <v>Closed</v>
      </c>
      <c r="L632" s="13">
        <v>44587</v>
      </c>
      <c r="M632" s="12"/>
      <c r="N632" s="12" t="s">
        <v>4427</v>
      </c>
      <c r="O632" s="12"/>
      <c r="P632" s="12" t="s">
        <v>3790</v>
      </c>
      <c r="Q632" s="12"/>
      <c r="R632" s="12"/>
      <c r="S632" s="12"/>
      <c r="T632" s="12"/>
      <c r="U632" s="12" t="str">
        <f t="shared" si="39"/>
        <v>NFF</v>
      </c>
      <c r="V632" s="12" t="str">
        <f t="shared" si="36"/>
        <v>GUAN Jialin</v>
      </c>
      <c r="W632" s="13">
        <f t="shared" si="37"/>
        <v>44587</v>
      </c>
    </row>
    <row r="633" spans="1:23" ht="14.4" customHeight="1" x14ac:dyDescent="0.3">
      <c r="A633" s="28">
        <v>44571</v>
      </c>
      <c r="B633" s="12" t="s">
        <v>2649</v>
      </c>
      <c r="C633" s="12" t="s">
        <v>1690</v>
      </c>
      <c r="D633" s="5" t="s">
        <v>1675</v>
      </c>
      <c r="E633" s="12">
        <v>409</v>
      </c>
      <c r="F633" s="14" t="s">
        <v>4301</v>
      </c>
      <c r="G633" s="12" t="s">
        <v>1</v>
      </c>
      <c r="H633" s="12" t="s">
        <v>11</v>
      </c>
      <c r="I633" s="14" t="s">
        <v>4302</v>
      </c>
      <c r="J633" s="12" t="s">
        <v>1545</v>
      </c>
      <c r="K633" s="12" t="str">
        <f t="shared" si="38"/>
        <v>Closed</v>
      </c>
      <c r="L633" s="13">
        <v>44577</v>
      </c>
      <c r="M633" s="12" t="s">
        <v>955</v>
      </c>
      <c r="N633" s="12" t="s">
        <v>4429</v>
      </c>
      <c r="O633" s="12"/>
      <c r="P633" s="12" t="s">
        <v>3790</v>
      </c>
      <c r="Q633" s="12"/>
      <c r="R633" s="12"/>
      <c r="S633" s="12"/>
      <c r="T633" s="12"/>
      <c r="U633" s="12" t="str">
        <f t="shared" si="39"/>
        <v>Corrected</v>
      </c>
      <c r="V633" s="12" t="str">
        <f t="shared" si="36"/>
        <v>FIRDUS Ahmad</v>
      </c>
      <c r="W633" s="13">
        <f t="shared" si="37"/>
        <v>44577</v>
      </c>
    </row>
    <row r="634" spans="1:23" ht="14.4" customHeight="1" x14ac:dyDescent="0.3">
      <c r="A634" s="28">
        <v>44571</v>
      </c>
      <c r="B634" s="12" t="s">
        <v>1314</v>
      </c>
      <c r="C634" s="12" t="s">
        <v>1690</v>
      </c>
      <c r="D634" s="5" t="s">
        <v>1675</v>
      </c>
      <c r="E634" s="12">
        <v>608</v>
      </c>
      <c r="F634" s="14" t="s">
        <v>4303</v>
      </c>
      <c r="G634" s="12" t="s">
        <v>1</v>
      </c>
      <c r="H634" s="12" t="s">
        <v>18</v>
      </c>
      <c r="I634" s="11" t="s">
        <v>2650</v>
      </c>
      <c r="J634" s="12" t="s">
        <v>1545</v>
      </c>
      <c r="K634" s="12" t="str">
        <f t="shared" si="38"/>
        <v>Closed</v>
      </c>
      <c r="L634" s="13">
        <v>44580</v>
      </c>
      <c r="M634" s="12"/>
      <c r="N634" s="12" t="s">
        <v>4427</v>
      </c>
      <c r="O634" s="12" t="s">
        <v>3371</v>
      </c>
      <c r="P634" s="12" t="s">
        <v>3790</v>
      </c>
      <c r="Q634" s="12"/>
      <c r="R634" s="12"/>
      <c r="S634" s="12"/>
      <c r="T634" s="12"/>
      <c r="U634" s="12" t="str">
        <f t="shared" si="39"/>
        <v>Corrected</v>
      </c>
      <c r="V634" s="12" t="str">
        <f t="shared" si="36"/>
        <v>BENAYED Elie</v>
      </c>
      <c r="W634" s="13">
        <f t="shared" si="37"/>
        <v>44580</v>
      </c>
    </row>
    <row r="635" spans="1:23" ht="14.4" customHeight="1" x14ac:dyDescent="0.3">
      <c r="A635" s="28">
        <v>44571</v>
      </c>
      <c r="B635" s="12" t="s">
        <v>2651</v>
      </c>
      <c r="C635" s="12" t="s">
        <v>1690</v>
      </c>
      <c r="D635" s="5" t="s">
        <v>1675</v>
      </c>
      <c r="E635" s="12">
        <v>626</v>
      </c>
      <c r="F635" s="14" t="s">
        <v>4304</v>
      </c>
      <c r="G635" s="12" t="s">
        <v>7</v>
      </c>
      <c r="H635" s="12" t="s">
        <v>11</v>
      </c>
      <c r="I635" s="11"/>
      <c r="J635" s="12" t="s">
        <v>1574</v>
      </c>
      <c r="K635" s="12" t="str">
        <f t="shared" si="38"/>
        <v>Closed</v>
      </c>
      <c r="L635" s="13">
        <v>44609</v>
      </c>
      <c r="M635" s="12"/>
      <c r="N635" s="12" t="s">
        <v>4429</v>
      </c>
      <c r="O635" s="12"/>
      <c r="P635" s="12" t="s">
        <v>3790</v>
      </c>
      <c r="Q635" s="12"/>
      <c r="R635" s="12"/>
      <c r="S635" s="12"/>
      <c r="T635" s="12"/>
      <c r="U635" s="12" t="str">
        <f t="shared" si="39"/>
        <v>NFF</v>
      </c>
      <c r="V635" s="12" t="str">
        <f t="shared" si="36"/>
        <v>FIRDUS Ahmad</v>
      </c>
      <c r="W635" s="13">
        <f t="shared" si="37"/>
        <v>44609</v>
      </c>
    </row>
    <row r="636" spans="1:23" ht="14.4" customHeight="1" x14ac:dyDescent="0.3">
      <c r="A636" s="28">
        <v>44571</v>
      </c>
      <c r="B636" s="12" t="s">
        <v>2652</v>
      </c>
      <c r="C636" s="12" t="s">
        <v>1690</v>
      </c>
      <c r="D636" s="5" t="s">
        <v>1675</v>
      </c>
      <c r="E636" s="12">
        <v>423</v>
      </c>
      <c r="F636" s="11" t="s">
        <v>1360</v>
      </c>
      <c r="G636" s="12" t="s">
        <v>7</v>
      </c>
      <c r="H636" s="12" t="s">
        <v>18</v>
      </c>
      <c r="I636" s="11" t="s">
        <v>1606</v>
      </c>
      <c r="J636" s="12" t="s">
        <v>1574</v>
      </c>
      <c r="K636" s="12" t="str">
        <f t="shared" si="38"/>
        <v>Closed</v>
      </c>
      <c r="L636" s="13">
        <v>44581</v>
      </c>
      <c r="M636" s="12"/>
      <c r="N636" s="12" t="s">
        <v>4427</v>
      </c>
      <c r="O636" s="12"/>
      <c r="P636" s="12" t="s">
        <v>3790</v>
      </c>
      <c r="Q636" s="12"/>
      <c r="R636" s="12"/>
      <c r="S636" s="12"/>
      <c r="T636" s="12"/>
      <c r="U636" s="12" t="str">
        <f t="shared" si="39"/>
        <v>NFF</v>
      </c>
      <c r="V636" s="12" t="str">
        <f t="shared" si="36"/>
        <v>BENAYED Elie</v>
      </c>
      <c r="W636" s="13">
        <f t="shared" si="37"/>
        <v>44581</v>
      </c>
    </row>
    <row r="637" spans="1:23" x14ac:dyDescent="0.3">
      <c r="A637" s="28">
        <v>44571</v>
      </c>
      <c r="B637" s="12" t="s">
        <v>1361</v>
      </c>
      <c r="C637" s="12" t="s">
        <v>1690</v>
      </c>
      <c r="D637" s="5" t="s">
        <v>1675</v>
      </c>
      <c r="E637" s="12">
        <v>625</v>
      </c>
      <c r="F637" s="11" t="s">
        <v>1360</v>
      </c>
      <c r="G637" s="12" t="s">
        <v>7</v>
      </c>
      <c r="H637" s="12" t="s">
        <v>14</v>
      </c>
      <c r="I637" s="11" t="s">
        <v>2653</v>
      </c>
      <c r="J637" s="12" t="s">
        <v>1545</v>
      </c>
      <c r="K637" s="12" t="str">
        <f t="shared" si="38"/>
        <v>Closed</v>
      </c>
      <c r="L637" s="13">
        <v>44574</v>
      </c>
      <c r="M637" s="12"/>
      <c r="N637" s="12" t="s">
        <v>4427</v>
      </c>
      <c r="O637" s="12" t="s">
        <v>2445</v>
      </c>
      <c r="P637" s="12" t="s">
        <v>3790</v>
      </c>
      <c r="Q637" s="12"/>
      <c r="R637" s="12"/>
      <c r="S637" s="12"/>
      <c r="T637" s="12"/>
      <c r="U637" s="12" t="str">
        <f t="shared" si="39"/>
        <v>Corrected</v>
      </c>
      <c r="V637" s="12" t="str">
        <f t="shared" si="36"/>
        <v>GUAN Jialin</v>
      </c>
      <c r="W637" s="13">
        <f t="shared" si="37"/>
        <v>44574</v>
      </c>
    </row>
    <row r="638" spans="1:23" ht="14.4" customHeight="1" x14ac:dyDescent="0.3">
      <c r="A638" s="28">
        <v>44571</v>
      </c>
      <c r="B638" s="12" t="s">
        <v>2654</v>
      </c>
      <c r="C638" s="12" t="s">
        <v>1687</v>
      </c>
      <c r="D638" s="5" t="s">
        <v>1675</v>
      </c>
      <c r="E638" s="12">
        <v>611</v>
      </c>
      <c r="F638" s="11" t="s">
        <v>2655</v>
      </c>
      <c r="G638" s="12" t="s">
        <v>1</v>
      </c>
      <c r="H638" s="12" t="s">
        <v>9</v>
      </c>
      <c r="I638" s="11" t="s">
        <v>2656</v>
      </c>
      <c r="J638" s="12" t="s">
        <v>1545</v>
      </c>
      <c r="K638" s="12" t="str">
        <f t="shared" si="38"/>
        <v>Closed</v>
      </c>
      <c r="L638" s="13">
        <v>44579</v>
      </c>
      <c r="M638" s="12" t="s">
        <v>962</v>
      </c>
      <c r="N638" s="12" t="s">
        <v>2517</v>
      </c>
      <c r="O638" s="12"/>
      <c r="P638" s="12" t="s">
        <v>3790</v>
      </c>
      <c r="Q638" s="12"/>
      <c r="R638" s="12"/>
      <c r="S638" s="12"/>
      <c r="T638" s="12"/>
      <c r="U638" s="12" t="str">
        <f t="shared" si="39"/>
        <v>Corrected</v>
      </c>
      <c r="V638" s="12" t="str">
        <f t="shared" si="36"/>
        <v>KHAN Jahan</v>
      </c>
      <c r="W638" s="13">
        <f t="shared" si="37"/>
        <v>44579</v>
      </c>
    </row>
    <row r="639" spans="1:23" ht="14.4" customHeight="1" x14ac:dyDescent="0.3">
      <c r="A639" s="28">
        <v>44571</v>
      </c>
      <c r="B639" s="12" t="s">
        <v>2657</v>
      </c>
      <c r="C639" s="12" t="s">
        <v>1687</v>
      </c>
      <c r="D639" s="5" t="s">
        <v>1675</v>
      </c>
      <c r="E639" s="12">
        <v>611</v>
      </c>
      <c r="F639" s="11" t="s">
        <v>2658</v>
      </c>
      <c r="G639" s="12" t="s">
        <v>7</v>
      </c>
      <c r="H639" s="12" t="s">
        <v>14</v>
      </c>
      <c r="I639" s="11" t="s">
        <v>2659</v>
      </c>
      <c r="J639" s="12" t="s">
        <v>1545</v>
      </c>
      <c r="K639" s="12" t="str">
        <f t="shared" si="38"/>
        <v>Closed</v>
      </c>
      <c r="L639" s="13">
        <v>44574</v>
      </c>
      <c r="M639" s="12"/>
      <c r="N639" s="12" t="s">
        <v>4427</v>
      </c>
      <c r="O639" s="12" t="s">
        <v>2445</v>
      </c>
      <c r="P639" s="12" t="s">
        <v>3790</v>
      </c>
      <c r="Q639" s="12"/>
      <c r="R639" s="12" t="s">
        <v>5</v>
      </c>
      <c r="S639" s="12"/>
      <c r="T639" s="13" t="s">
        <v>1547</v>
      </c>
      <c r="U639" s="12" t="str">
        <f t="shared" si="39"/>
        <v>Corrected</v>
      </c>
      <c r="V639" s="12" t="str">
        <f t="shared" ref="V639:V702" si="40">IF(AND(J639="Corrective Action Required",R639="Corrected"),S639, IF(AND(J639="Corrective Action Required",R639&lt;&gt;"Corrected"),S639,H639))</f>
        <v>GUAN Jialin</v>
      </c>
      <c r="W639" s="13">
        <f t="shared" ref="W639:W702" si="41">IF(OR(J639="Corrected",J639="NFF"),L639, IF(AND(J639="Corrective Action Required",R639="Corrected"),T639,""))</f>
        <v>44574</v>
      </c>
    </row>
    <row r="640" spans="1:23" ht="14.4" customHeight="1" x14ac:dyDescent="0.3">
      <c r="A640" s="28">
        <v>44571</v>
      </c>
      <c r="B640" s="12" t="s">
        <v>1110</v>
      </c>
      <c r="C640" s="12" t="s">
        <v>1703</v>
      </c>
      <c r="D640" s="5" t="s">
        <v>1675</v>
      </c>
      <c r="E640" s="12">
        <v>415</v>
      </c>
      <c r="F640" s="11" t="s">
        <v>1112</v>
      </c>
      <c r="G640" s="12" t="s">
        <v>7</v>
      </c>
      <c r="H640" s="12" t="s">
        <v>9</v>
      </c>
      <c r="I640" s="11" t="s">
        <v>2660</v>
      </c>
      <c r="J640" s="12" t="s">
        <v>1545</v>
      </c>
      <c r="K640" s="12" t="str">
        <f t="shared" ref="K640:K703" si="42">IF(J640="Corrected","Closed",IF(J640="NFF","Closed","Open"))</f>
        <v>Closed</v>
      </c>
      <c r="L640" s="13">
        <v>44577</v>
      </c>
      <c r="M640" s="12" t="s">
        <v>1111</v>
      </c>
      <c r="N640" s="12" t="s">
        <v>2448</v>
      </c>
      <c r="O640" s="12"/>
      <c r="P640" s="12" t="s">
        <v>3790</v>
      </c>
      <c r="Q640" s="12"/>
      <c r="R640" s="12"/>
      <c r="S640" s="12"/>
      <c r="T640" s="13" t="s">
        <v>1547</v>
      </c>
      <c r="U640" s="12" t="str">
        <f t="shared" si="39"/>
        <v>Corrected</v>
      </c>
      <c r="V640" s="12" t="str">
        <f t="shared" si="40"/>
        <v>KHAN Jahan</v>
      </c>
      <c r="W640" s="13">
        <f t="shared" si="41"/>
        <v>44577</v>
      </c>
    </row>
    <row r="641" spans="1:23" ht="14.4" customHeight="1" x14ac:dyDescent="0.3">
      <c r="A641" s="28">
        <v>44571</v>
      </c>
      <c r="B641" s="12" t="s">
        <v>1446</v>
      </c>
      <c r="C641" s="12" t="s">
        <v>1542</v>
      </c>
      <c r="D641" s="5" t="s">
        <v>2670</v>
      </c>
      <c r="E641" s="12">
        <v>403</v>
      </c>
      <c r="F641" s="11" t="s">
        <v>2671</v>
      </c>
      <c r="G641" s="12" t="s">
        <v>7</v>
      </c>
      <c r="H641" s="12" t="s">
        <v>14</v>
      </c>
      <c r="I641" s="11" t="s">
        <v>2397</v>
      </c>
      <c r="J641" s="12" t="s">
        <v>1545</v>
      </c>
      <c r="K641" s="12" t="str">
        <f t="shared" si="42"/>
        <v>Closed</v>
      </c>
      <c r="L641" s="13">
        <v>44580</v>
      </c>
      <c r="M641" s="12"/>
      <c r="N641" s="12" t="s">
        <v>4427</v>
      </c>
      <c r="O641" s="12" t="s">
        <v>3258</v>
      </c>
      <c r="P641" s="12" t="s">
        <v>3790</v>
      </c>
      <c r="Q641" s="12"/>
      <c r="R641" s="12"/>
      <c r="S641" s="12"/>
      <c r="T641" s="12"/>
      <c r="U641" s="12" t="str">
        <f t="shared" si="39"/>
        <v>Corrected</v>
      </c>
      <c r="V641" s="12" t="str">
        <f t="shared" si="40"/>
        <v>GUAN Jialin</v>
      </c>
      <c r="W641" s="13">
        <f t="shared" si="41"/>
        <v>44580</v>
      </c>
    </row>
    <row r="642" spans="1:23" ht="14.4" customHeight="1" x14ac:dyDescent="0.3">
      <c r="A642" s="28">
        <v>44571</v>
      </c>
      <c r="B642" s="12" t="s">
        <v>2672</v>
      </c>
      <c r="C642" s="12" t="s">
        <v>1542</v>
      </c>
      <c r="D642" s="5" t="s">
        <v>2673</v>
      </c>
      <c r="E642" s="12">
        <v>406</v>
      </c>
      <c r="F642" s="11" t="s">
        <v>2674</v>
      </c>
      <c r="G642" s="12" t="s">
        <v>7</v>
      </c>
      <c r="H642" s="12" t="s">
        <v>14</v>
      </c>
      <c r="I642" s="11"/>
      <c r="J642" s="12" t="s">
        <v>1574</v>
      </c>
      <c r="K642" s="12" t="str">
        <f t="shared" si="42"/>
        <v>Closed</v>
      </c>
      <c r="L642" s="13">
        <v>44637</v>
      </c>
      <c r="M642" s="12"/>
      <c r="N642" s="12" t="s">
        <v>4427</v>
      </c>
      <c r="O642" s="12"/>
      <c r="P642" s="12" t="s">
        <v>3790</v>
      </c>
      <c r="Q642" s="12"/>
      <c r="R642" s="12"/>
      <c r="S642" s="12"/>
      <c r="T642" s="12"/>
      <c r="U642" s="12" t="str">
        <f t="shared" si="39"/>
        <v>NFF</v>
      </c>
      <c r="V642" s="12" t="str">
        <f t="shared" si="40"/>
        <v>GUAN Jialin</v>
      </c>
      <c r="W642" s="13">
        <f t="shared" si="41"/>
        <v>44637</v>
      </c>
    </row>
    <row r="643" spans="1:23" x14ac:dyDescent="0.3">
      <c r="A643" s="28">
        <v>44571</v>
      </c>
      <c r="B643" s="12" t="s">
        <v>2675</v>
      </c>
      <c r="C643" s="12" t="s">
        <v>1542</v>
      </c>
      <c r="D643" s="5" t="s">
        <v>2676</v>
      </c>
      <c r="E643" s="12">
        <v>613</v>
      </c>
      <c r="F643" s="11" t="s">
        <v>2677</v>
      </c>
      <c r="G643" s="12" t="s">
        <v>7</v>
      </c>
      <c r="H643" s="12" t="s">
        <v>9</v>
      </c>
      <c r="I643" s="11" t="s">
        <v>2678</v>
      </c>
      <c r="J643" s="12" t="s">
        <v>1574</v>
      </c>
      <c r="K643" s="12" t="str">
        <f t="shared" si="42"/>
        <v>Closed</v>
      </c>
      <c r="L643" s="13">
        <v>44605</v>
      </c>
      <c r="M643" s="12"/>
      <c r="N643" s="12" t="s">
        <v>4428</v>
      </c>
      <c r="O643" s="12"/>
      <c r="P643" s="12" t="s">
        <v>3790</v>
      </c>
      <c r="Q643" s="12"/>
      <c r="R643" s="12"/>
      <c r="S643" s="12"/>
      <c r="T643" s="13" t="s">
        <v>1547</v>
      </c>
      <c r="U643" s="12" t="str">
        <f t="shared" ref="U643:U706" si="43">IF(AND(J643="Corrective Action Required",R643="Corrected"),"Corrected", IF(AND(J643="Corrective Action Required",R643&lt;&gt;"Corrected"),R643,J643))</f>
        <v>NFF</v>
      </c>
      <c r="V643" s="12" t="str">
        <f t="shared" si="40"/>
        <v>KHAN Jahan</v>
      </c>
      <c r="W643" s="13">
        <f t="shared" si="41"/>
        <v>44605</v>
      </c>
    </row>
    <row r="644" spans="1:23" ht="14.4" customHeight="1" x14ac:dyDescent="0.3">
      <c r="A644" s="28">
        <v>44573</v>
      </c>
      <c r="B644" s="12" t="s">
        <v>2686</v>
      </c>
      <c r="C644" s="12" t="s">
        <v>1690</v>
      </c>
      <c r="D644" s="5" t="s">
        <v>1675</v>
      </c>
      <c r="E644" s="12">
        <v>413</v>
      </c>
      <c r="F644" s="11" t="s">
        <v>2687</v>
      </c>
      <c r="G644" s="12" t="s">
        <v>7</v>
      </c>
      <c r="H644" s="12" t="s">
        <v>9</v>
      </c>
      <c r="I644" s="11"/>
      <c r="J644" s="12" t="s">
        <v>1574</v>
      </c>
      <c r="K644" s="12" t="str">
        <f t="shared" si="42"/>
        <v>Closed</v>
      </c>
      <c r="L644" s="13">
        <v>44592</v>
      </c>
      <c r="M644" s="12"/>
      <c r="N644" s="12" t="s">
        <v>2517</v>
      </c>
      <c r="O644" s="12"/>
      <c r="P644" s="12" t="s">
        <v>3790</v>
      </c>
      <c r="Q644" s="12"/>
      <c r="R644" s="12"/>
      <c r="S644" s="12"/>
      <c r="T644" s="13" t="s">
        <v>1547</v>
      </c>
      <c r="U644" s="12" t="str">
        <f t="shared" si="43"/>
        <v>NFF</v>
      </c>
      <c r="V644" s="12" t="str">
        <f t="shared" si="40"/>
        <v>KHAN Jahan</v>
      </c>
      <c r="W644" s="13">
        <f t="shared" si="41"/>
        <v>44592</v>
      </c>
    </row>
    <row r="645" spans="1:23" ht="14.4" customHeight="1" x14ac:dyDescent="0.3">
      <c r="A645" s="28">
        <v>44573</v>
      </c>
      <c r="B645" s="12" t="s">
        <v>2688</v>
      </c>
      <c r="C645" s="12" t="s">
        <v>1690</v>
      </c>
      <c r="D645" s="5" t="s">
        <v>1675</v>
      </c>
      <c r="E645" s="12">
        <v>424</v>
      </c>
      <c r="F645" s="11" t="s">
        <v>2687</v>
      </c>
      <c r="G645" s="12" t="s">
        <v>7</v>
      </c>
      <c r="H645" s="12" t="s">
        <v>9</v>
      </c>
      <c r="I645" s="11" t="s">
        <v>2689</v>
      </c>
      <c r="J645" s="12" t="s">
        <v>1545</v>
      </c>
      <c r="K645" s="12" t="str">
        <f t="shared" si="42"/>
        <v>Closed</v>
      </c>
      <c r="L645" s="13">
        <v>44573</v>
      </c>
      <c r="M645" s="12"/>
      <c r="N645" s="12" t="s">
        <v>2517</v>
      </c>
      <c r="O645" s="12"/>
      <c r="P645" s="12" t="s">
        <v>3790</v>
      </c>
      <c r="Q645" s="12"/>
      <c r="R645" s="12"/>
      <c r="S645" s="12"/>
      <c r="T645" s="12"/>
      <c r="U645" s="12" t="str">
        <f t="shared" si="43"/>
        <v>Corrected</v>
      </c>
      <c r="V645" s="12" t="str">
        <f t="shared" si="40"/>
        <v>KHAN Jahan</v>
      </c>
      <c r="W645" s="13">
        <f t="shared" si="41"/>
        <v>44573</v>
      </c>
    </row>
    <row r="646" spans="1:23" ht="14.4" customHeight="1" x14ac:dyDescent="0.3">
      <c r="A646" s="28">
        <v>44573</v>
      </c>
      <c r="B646" s="12" t="s">
        <v>2690</v>
      </c>
      <c r="C646" s="12" t="s">
        <v>1690</v>
      </c>
      <c r="D646" s="5" t="s">
        <v>1675</v>
      </c>
      <c r="E646" s="12">
        <v>615</v>
      </c>
      <c r="F646" s="11" t="s">
        <v>2691</v>
      </c>
      <c r="G646" s="12" t="s">
        <v>1</v>
      </c>
      <c r="H646" s="12" t="s">
        <v>9</v>
      </c>
      <c r="I646" s="11" t="s">
        <v>2692</v>
      </c>
      <c r="J646" s="12" t="s">
        <v>1545</v>
      </c>
      <c r="K646" s="12" t="str">
        <f t="shared" si="42"/>
        <v>Closed</v>
      </c>
      <c r="L646" s="13">
        <v>44578</v>
      </c>
      <c r="M646" s="12"/>
      <c r="N646" s="12" t="s">
        <v>4428</v>
      </c>
      <c r="O646" s="12"/>
      <c r="P646" s="12" t="s">
        <v>3790</v>
      </c>
      <c r="Q646" s="12"/>
      <c r="R646" s="12"/>
      <c r="S646" s="12"/>
      <c r="T646" s="13" t="s">
        <v>1547</v>
      </c>
      <c r="U646" s="12" t="str">
        <f t="shared" si="43"/>
        <v>Corrected</v>
      </c>
      <c r="V646" s="12" t="str">
        <f t="shared" si="40"/>
        <v>KHAN Jahan</v>
      </c>
      <c r="W646" s="13">
        <f t="shared" si="41"/>
        <v>44578</v>
      </c>
    </row>
    <row r="647" spans="1:23" ht="14.4" customHeight="1" x14ac:dyDescent="0.3">
      <c r="A647" s="28">
        <v>44573</v>
      </c>
      <c r="B647" s="12" t="s">
        <v>2693</v>
      </c>
      <c r="C647" s="12" t="s">
        <v>1690</v>
      </c>
      <c r="D647" s="5" t="s">
        <v>1675</v>
      </c>
      <c r="E647" s="12">
        <v>407</v>
      </c>
      <c r="F647" s="11" t="s">
        <v>2694</v>
      </c>
      <c r="G647" s="12" t="s">
        <v>7</v>
      </c>
      <c r="H647" s="12" t="s">
        <v>14</v>
      </c>
      <c r="I647" s="11" t="s">
        <v>2695</v>
      </c>
      <c r="J647" s="12" t="s">
        <v>1574</v>
      </c>
      <c r="K647" s="12" t="str">
        <f t="shared" si="42"/>
        <v>Closed</v>
      </c>
      <c r="L647" s="13">
        <v>44598</v>
      </c>
      <c r="M647" s="12"/>
      <c r="N647" s="12" t="s">
        <v>4427</v>
      </c>
      <c r="O647" s="12"/>
      <c r="P647" s="12" t="s">
        <v>3790</v>
      </c>
      <c r="Q647" s="12"/>
      <c r="R647" s="12"/>
      <c r="S647" s="12"/>
      <c r="T647" s="12"/>
      <c r="U647" s="12" t="str">
        <f t="shared" si="43"/>
        <v>NFF</v>
      </c>
      <c r="V647" s="12" t="str">
        <f t="shared" si="40"/>
        <v>GUAN Jialin</v>
      </c>
      <c r="W647" s="13">
        <f t="shared" si="41"/>
        <v>44598</v>
      </c>
    </row>
    <row r="648" spans="1:23" ht="14.4" customHeight="1" x14ac:dyDescent="0.3">
      <c r="A648" s="28">
        <v>44573</v>
      </c>
      <c r="B648" s="12" t="s">
        <v>2697</v>
      </c>
      <c r="C648" s="12" t="s">
        <v>1823</v>
      </c>
      <c r="D648" s="5" t="s">
        <v>1675</v>
      </c>
      <c r="E648" s="12">
        <v>621</v>
      </c>
      <c r="F648" s="11" t="s">
        <v>2698</v>
      </c>
      <c r="G648" s="12" t="s">
        <v>4</v>
      </c>
      <c r="H648" s="12" t="s">
        <v>9</v>
      </c>
      <c r="I648" s="11" t="s">
        <v>2699</v>
      </c>
      <c r="J648" s="12" t="s">
        <v>1574</v>
      </c>
      <c r="K648" s="12" t="str">
        <f t="shared" si="42"/>
        <v>Closed</v>
      </c>
      <c r="L648" s="13">
        <v>44602</v>
      </c>
      <c r="M648" s="12"/>
      <c r="N648" s="12" t="s">
        <v>4428</v>
      </c>
      <c r="O648" s="12"/>
      <c r="P648" s="12" t="s">
        <v>3790</v>
      </c>
      <c r="Q648" s="12"/>
      <c r="R648" s="12"/>
      <c r="S648" s="12"/>
      <c r="T648" s="12"/>
      <c r="U648" s="12" t="str">
        <f t="shared" si="43"/>
        <v>NFF</v>
      </c>
      <c r="V648" s="12" t="str">
        <f t="shared" si="40"/>
        <v>KHAN Jahan</v>
      </c>
      <c r="W648" s="13">
        <f t="shared" si="41"/>
        <v>44602</v>
      </c>
    </row>
    <row r="649" spans="1:23" ht="14.4" customHeight="1" x14ac:dyDescent="0.3">
      <c r="A649" s="28">
        <v>44573</v>
      </c>
      <c r="B649" s="12" t="s">
        <v>2697</v>
      </c>
      <c r="C649" s="12" t="s">
        <v>1823</v>
      </c>
      <c r="D649" s="5" t="s">
        <v>1675</v>
      </c>
      <c r="E649" s="12">
        <v>410</v>
      </c>
      <c r="F649" s="11" t="s">
        <v>2700</v>
      </c>
      <c r="G649" s="12" t="s">
        <v>7</v>
      </c>
      <c r="H649" s="12" t="s">
        <v>9</v>
      </c>
      <c r="I649" s="11" t="s">
        <v>2701</v>
      </c>
      <c r="J649" s="12" t="s">
        <v>1545</v>
      </c>
      <c r="K649" s="12" t="str">
        <f t="shared" si="42"/>
        <v>Closed</v>
      </c>
      <c r="L649" s="13">
        <v>44579</v>
      </c>
      <c r="M649" s="12"/>
      <c r="N649" s="12" t="s">
        <v>2482</v>
      </c>
      <c r="O649" s="12"/>
      <c r="P649" s="12" t="s">
        <v>3790</v>
      </c>
      <c r="Q649" s="12"/>
      <c r="R649" s="12"/>
      <c r="S649" s="12"/>
      <c r="T649" s="12"/>
      <c r="U649" s="12" t="str">
        <f t="shared" si="43"/>
        <v>Corrected</v>
      </c>
      <c r="V649" s="12" t="str">
        <f t="shared" si="40"/>
        <v>KHAN Jahan</v>
      </c>
      <c r="W649" s="13">
        <f t="shared" si="41"/>
        <v>44579</v>
      </c>
    </row>
    <row r="650" spans="1:23" ht="14.4" customHeight="1" x14ac:dyDescent="0.3">
      <c r="A650" s="28">
        <v>44574</v>
      </c>
      <c r="B650" s="12" t="s">
        <v>2702</v>
      </c>
      <c r="C650" s="12" t="s">
        <v>1703</v>
      </c>
      <c r="D650" s="5" t="s">
        <v>1675</v>
      </c>
      <c r="E650" s="12">
        <v>414</v>
      </c>
      <c r="F650" s="11" t="s">
        <v>2703</v>
      </c>
      <c r="G650" s="12" t="s">
        <v>7</v>
      </c>
      <c r="H650" s="12" t="s">
        <v>9</v>
      </c>
      <c r="I650" s="11"/>
      <c r="J650" s="12" t="s">
        <v>1609</v>
      </c>
      <c r="K650" s="12" t="str">
        <f t="shared" si="42"/>
        <v>Open</v>
      </c>
      <c r="L650" s="13"/>
      <c r="M650" s="12" t="s">
        <v>1331</v>
      </c>
      <c r="N650" s="12" t="s">
        <v>2448</v>
      </c>
      <c r="O650" s="12"/>
      <c r="P650" s="12" t="s">
        <v>3790</v>
      </c>
      <c r="Q650" s="12"/>
      <c r="R650" s="12" t="s">
        <v>5</v>
      </c>
      <c r="S650" s="12" t="s">
        <v>3</v>
      </c>
      <c r="T650" s="13" t="s">
        <v>1547</v>
      </c>
      <c r="U650" s="12" t="str">
        <f t="shared" si="43"/>
        <v>No Material</v>
      </c>
      <c r="V650" s="12" t="str">
        <f t="shared" si="40"/>
        <v>SUKIMAN Zamhuri</v>
      </c>
      <c r="W650" s="13" t="str">
        <f t="shared" si="41"/>
        <v/>
      </c>
    </row>
    <row r="651" spans="1:23" ht="14.4" customHeight="1" x14ac:dyDescent="0.3">
      <c r="A651" s="28">
        <v>44577</v>
      </c>
      <c r="B651" s="12" t="s">
        <v>2708</v>
      </c>
      <c r="C651" s="12" t="s">
        <v>1542</v>
      </c>
      <c r="D651" s="5" t="s">
        <v>2705</v>
      </c>
      <c r="E651" s="12">
        <v>404</v>
      </c>
      <c r="F651" s="14" t="s">
        <v>4305</v>
      </c>
      <c r="G651" s="12" t="s">
        <v>7</v>
      </c>
      <c r="H651" s="12" t="s">
        <v>9</v>
      </c>
      <c r="I651" s="11" t="s">
        <v>2709</v>
      </c>
      <c r="J651" s="12" t="s">
        <v>1609</v>
      </c>
      <c r="K651" s="12" t="str">
        <f t="shared" si="42"/>
        <v>Open</v>
      </c>
      <c r="L651" s="13"/>
      <c r="M651" s="12" t="s">
        <v>1332</v>
      </c>
      <c r="N651" s="12" t="s">
        <v>2448</v>
      </c>
      <c r="O651" s="12"/>
      <c r="P651" s="12" t="s">
        <v>3790</v>
      </c>
      <c r="Q651" s="12"/>
      <c r="R651" s="12" t="s">
        <v>5</v>
      </c>
      <c r="S651" s="12" t="s">
        <v>3</v>
      </c>
      <c r="T651" s="12"/>
      <c r="U651" s="12" t="str">
        <f t="shared" si="43"/>
        <v>No Material</v>
      </c>
      <c r="V651" s="12" t="str">
        <f t="shared" si="40"/>
        <v>SUKIMAN Zamhuri</v>
      </c>
      <c r="W651" s="13" t="str">
        <f t="shared" si="41"/>
        <v/>
      </c>
    </row>
    <row r="652" spans="1:23" ht="14.4" customHeight="1" x14ac:dyDescent="0.3">
      <c r="A652" s="28">
        <v>44577</v>
      </c>
      <c r="B652" s="12" t="s">
        <v>2710</v>
      </c>
      <c r="C652" s="12" t="s">
        <v>1542</v>
      </c>
      <c r="D652" s="5" t="s">
        <v>2711</v>
      </c>
      <c r="E652" s="12">
        <v>413</v>
      </c>
      <c r="F652" s="14" t="s">
        <v>4306</v>
      </c>
      <c r="G652" s="12" t="s">
        <v>7</v>
      </c>
      <c r="H652" s="12" t="s">
        <v>14</v>
      </c>
      <c r="I652" s="11" t="s">
        <v>2712</v>
      </c>
      <c r="J652" s="12" t="s">
        <v>1574</v>
      </c>
      <c r="K652" s="12" t="str">
        <f t="shared" si="42"/>
        <v>Closed</v>
      </c>
      <c r="L652" s="13">
        <v>44580</v>
      </c>
      <c r="M652" s="12"/>
      <c r="N652" s="12" t="s">
        <v>4427</v>
      </c>
      <c r="O652" s="12"/>
      <c r="P652" s="12" t="s">
        <v>3790</v>
      </c>
      <c r="Q652" s="12"/>
      <c r="R652" s="12"/>
      <c r="S652" s="12"/>
      <c r="T652" s="12"/>
      <c r="U652" s="12" t="str">
        <f t="shared" si="43"/>
        <v>NFF</v>
      </c>
      <c r="V652" s="12" t="str">
        <f t="shared" si="40"/>
        <v>GUAN Jialin</v>
      </c>
      <c r="W652" s="13">
        <f t="shared" si="41"/>
        <v>44580</v>
      </c>
    </row>
    <row r="653" spans="1:23" ht="14.4" customHeight="1" x14ac:dyDescent="0.3">
      <c r="A653" s="28">
        <v>44578</v>
      </c>
      <c r="B653" s="12" t="s">
        <v>2713</v>
      </c>
      <c r="C653" s="12" t="s">
        <v>1687</v>
      </c>
      <c r="D653" s="5" t="s">
        <v>1675</v>
      </c>
      <c r="E653" s="12">
        <v>403</v>
      </c>
      <c r="F653" s="11" t="s">
        <v>2714</v>
      </c>
      <c r="G653" s="12" t="s">
        <v>7</v>
      </c>
      <c r="H653" s="12" t="s">
        <v>9</v>
      </c>
      <c r="I653" s="11"/>
      <c r="J653" s="12" t="s">
        <v>1545</v>
      </c>
      <c r="K653" s="12" t="str">
        <f t="shared" si="42"/>
        <v>Closed</v>
      </c>
      <c r="L653" s="13">
        <v>44579</v>
      </c>
      <c r="M653" s="12" t="s">
        <v>1132</v>
      </c>
      <c r="N653" s="12" t="s">
        <v>2638</v>
      </c>
      <c r="O653" s="12"/>
      <c r="P653" s="12" t="s">
        <v>3790</v>
      </c>
      <c r="Q653" s="12"/>
      <c r="R653" s="12"/>
      <c r="S653" s="12"/>
      <c r="T653" s="12"/>
      <c r="U653" s="12" t="str">
        <f t="shared" si="43"/>
        <v>Corrected</v>
      </c>
      <c r="V653" s="12" t="str">
        <f t="shared" si="40"/>
        <v>KHAN Jahan</v>
      </c>
      <c r="W653" s="13">
        <f t="shared" si="41"/>
        <v>44579</v>
      </c>
    </row>
    <row r="654" spans="1:23" ht="14.4" customHeight="1" x14ac:dyDescent="0.3">
      <c r="A654" s="28">
        <v>44578</v>
      </c>
      <c r="B654" s="12" t="s">
        <v>2730</v>
      </c>
      <c r="C654" s="12" t="s">
        <v>1542</v>
      </c>
      <c r="D654" s="5" t="s">
        <v>2731</v>
      </c>
      <c r="E654" s="12">
        <v>414</v>
      </c>
      <c r="F654" s="11" t="s">
        <v>2732</v>
      </c>
      <c r="G654" s="12" t="s">
        <v>4</v>
      </c>
      <c r="H654" s="12" t="s">
        <v>14</v>
      </c>
      <c r="I654" s="11" t="s">
        <v>2733</v>
      </c>
      <c r="J654" s="12" t="s">
        <v>1574</v>
      </c>
      <c r="K654" s="12" t="str">
        <f t="shared" si="42"/>
        <v>Closed</v>
      </c>
      <c r="L654" s="13">
        <v>44585</v>
      </c>
      <c r="M654" s="12"/>
      <c r="N654" s="12" t="s">
        <v>4427</v>
      </c>
      <c r="O654" s="12"/>
      <c r="P654" s="12" t="s">
        <v>3790</v>
      </c>
      <c r="Q654" s="12"/>
      <c r="R654" s="12"/>
      <c r="S654" s="12"/>
      <c r="T654" s="13" t="s">
        <v>1547</v>
      </c>
      <c r="U654" s="12" t="str">
        <f t="shared" si="43"/>
        <v>NFF</v>
      </c>
      <c r="V654" s="12" t="str">
        <f t="shared" si="40"/>
        <v>GUAN Jialin</v>
      </c>
      <c r="W654" s="13">
        <f t="shared" si="41"/>
        <v>44585</v>
      </c>
    </row>
    <row r="655" spans="1:23" x14ac:dyDescent="0.3">
      <c r="A655" s="28">
        <v>44578</v>
      </c>
      <c r="B655" s="12" t="s">
        <v>1349</v>
      </c>
      <c r="C655" s="12" t="s">
        <v>1542</v>
      </c>
      <c r="D655" s="5" t="s">
        <v>2731</v>
      </c>
      <c r="E655" s="12">
        <v>414</v>
      </c>
      <c r="F655" s="11" t="s">
        <v>2734</v>
      </c>
      <c r="G655" s="12" t="s">
        <v>7</v>
      </c>
      <c r="H655" s="12" t="s">
        <v>19</v>
      </c>
      <c r="I655" s="11"/>
      <c r="J655" s="12" t="s">
        <v>1545</v>
      </c>
      <c r="K655" s="12" t="str">
        <f t="shared" si="42"/>
        <v>Closed</v>
      </c>
      <c r="L655" s="13">
        <v>44594</v>
      </c>
      <c r="M655" s="12"/>
      <c r="N655" s="12" t="s">
        <v>1652</v>
      </c>
      <c r="O655" s="12"/>
      <c r="P655" s="12" t="s">
        <v>3790</v>
      </c>
      <c r="Q655" s="12"/>
      <c r="R655" s="12" t="s">
        <v>1545</v>
      </c>
      <c r="S655" s="12" t="s">
        <v>15</v>
      </c>
      <c r="T655" s="13">
        <v>44594</v>
      </c>
      <c r="U655" s="12" t="str">
        <f t="shared" si="43"/>
        <v>Corrected</v>
      </c>
      <c r="V655" s="12" t="str">
        <f t="shared" si="40"/>
        <v>DAOUDI Mohamed</v>
      </c>
      <c r="W655" s="13">
        <f t="shared" si="41"/>
        <v>44594</v>
      </c>
    </row>
    <row r="656" spans="1:23" x14ac:dyDescent="0.3">
      <c r="A656" s="28">
        <v>44578</v>
      </c>
      <c r="B656" s="12" t="s">
        <v>2735</v>
      </c>
      <c r="C656" s="12" t="s">
        <v>1542</v>
      </c>
      <c r="D656" s="5" t="s">
        <v>2731</v>
      </c>
      <c r="E656" s="12">
        <v>414</v>
      </c>
      <c r="F656" s="11" t="s">
        <v>2736</v>
      </c>
      <c r="G656" s="12" t="s">
        <v>7</v>
      </c>
      <c r="H656" s="12" t="s">
        <v>14</v>
      </c>
      <c r="I656" s="11" t="s">
        <v>1994</v>
      </c>
      <c r="J656" s="12" t="s">
        <v>1574</v>
      </c>
      <c r="K656" s="12" t="str">
        <f t="shared" si="42"/>
        <v>Closed</v>
      </c>
      <c r="L656" s="13">
        <v>44585</v>
      </c>
      <c r="M656" s="12"/>
      <c r="N656" s="12" t="s">
        <v>4427</v>
      </c>
      <c r="O656" s="12"/>
      <c r="P656" s="12" t="s">
        <v>3790</v>
      </c>
      <c r="Q656" s="12"/>
      <c r="R656" s="12"/>
      <c r="S656" s="12"/>
      <c r="T656" s="12"/>
      <c r="U656" s="12" t="str">
        <f t="shared" si="43"/>
        <v>NFF</v>
      </c>
      <c r="V656" s="12" t="str">
        <f t="shared" si="40"/>
        <v>GUAN Jialin</v>
      </c>
      <c r="W656" s="13">
        <f t="shared" si="41"/>
        <v>44585</v>
      </c>
    </row>
    <row r="657" spans="1:23" ht="14.4" customHeight="1" x14ac:dyDescent="0.3">
      <c r="A657" s="28">
        <v>44578</v>
      </c>
      <c r="B657" s="12" t="s">
        <v>2737</v>
      </c>
      <c r="C657" s="12" t="s">
        <v>1542</v>
      </c>
      <c r="D657" s="5" t="s">
        <v>2738</v>
      </c>
      <c r="E657" s="12">
        <v>422</v>
      </c>
      <c r="F657" s="11" t="s">
        <v>2739</v>
      </c>
      <c r="G657" s="12" t="s">
        <v>7</v>
      </c>
      <c r="H657" s="12" t="s">
        <v>19</v>
      </c>
      <c r="I657" s="11" t="s">
        <v>2740</v>
      </c>
      <c r="J657" s="12" t="s">
        <v>1609</v>
      </c>
      <c r="K657" s="12" t="str">
        <f t="shared" si="42"/>
        <v>Open</v>
      </c>
      <c r="L657" s="13"/>
      <c r="M657" s="12"/>
      <c r="N657" s="12" t="s">
        <v>2707</v>
      </c>
      <c r="O657" s="12"/>
      <c r="P657" s="12" t="s">
        <v>3790</v>
      </c>
      <c r="Q657" s="12"/>
      <c r="R657" s="12" t="s">
        <v>3566</v>
      </c>
      <c r="S657" s="12" t="s">
        <v>3</v>
      </c>
      <c r="T657" s="12"/>
      <c r="U657" s="12" t="str">
        <f t="shared" si="43"/>
        <v>CM Open</v>
      </c>
      <c r="V657" s="12" t="str">
        <f t="shared" si="40"/>
        <v>SUKIMAN Zamhuri</v>
      </c>
      <c r="W657" s="13" t="str">
        <f t="shared" si="41"/>
        <v/>
      </c>
    </row>
    <row r="658" spans="1:23" ht="14.4" customHeight="1" x14ac:dyDescent="0.3">
      <c r="A658" s="28">
        <v>44578</v>
      </c>
      <c r="B658" s="12" t="s">
        <v>2743</v>
      </c>
      <c r="C658" s="12" t="s">
        <v>1690</v>
      </c>
      <c r="D658" s="5" t="s">
        <v>1846</v>
      </c>
      <c r="E658" s="12">
        <v>622</v>
      </c>
      <c r="F658" s="11" t="s">
        <v>2744</v>
      </c>
      <c r="G658" s="12" t="s">
        <v>7</v>
      </c>
      <c r="H658" s="12" t="s">
        <v>14</v>
      </c>
      <c r="I658" s="11" t="s">
        <v>1870</v>
      </c>
      <c r="J658" s="12" t="s">
        <v>1574</v>
      </c>
      <c r="K658" s="12" t="str">
        <f t="shared" si="42"/>
        <v>Closed</v>
      </c>
      <c r="L658" s="13">
        <v>44591</v>
      </c>
      <c r="M658" s="12"/>
      <c r="N658" s="12" t="s">
        <v>4427</v>
      </c>
      <c r="O658" s="12"/>
      <c r="P658" s="12" t="s">
        <v>3790</v>
      </c>
      <c r="Q658" s="12"/>
      <c r="R658" s="12"/>
      <c r="S658" s="12"/>
      <c r="T658" s="12"/>
      <c r="U658" s="12" t="str">
        <f t="shared" si="43"/>
        <v>NFF</v>
      </c>
      <c r="V658" s="12" t="str">
        <f t="shared" si="40"/>
        <v>GUAN Jialin</v>
      </c>
      <c r="W658" s="13">
        <f t="shared" si="41"/>
        <v>44591</v>
      </c>
    </row>
    <row r="659" spans="1:23" ht="28.8" customHeight="1" x14ac:dyDescent="0.3">
      <c r="A659" s="28">
        <v>44578</v>
      </c>
      <c r="B659" s="12" t="s">
        <v>2745</v>
      </c>
      <c r="C659" s="12" t="s">
        <v>1690</v>
      </c>
      <c r="D659" s="5" t="s">
        <v>1846</v>
      </c>
      <c r="E659" s="12">
        <v>651</v>
      </c>
      <c r="F659" s="11" t="s">
        <v>2746</v>
      </c>
      <c r="G659" s="12" t="s">
        <v>7</v>
      </c>
      <c r="H659" s="12" t="s">
        <v>19</v>
      </c>
      <c r="I659" s="14" t="s">
        <v>4307</v>
      </c>
      <c r="J659" s="12" t="s">
        <v>1545</v>
      </c>
      <c r="K659" s="12" t="str">
        <f t="shared" si="42"/>
        <v>Closed</v>
      </c>
      <c r="L659" s="13">
        <v>44588</v>
      </c>
      <c r="M659" s="12" t="s">
        <v>1323</v>
      </c>
      <c r="N659" s="12" t="s">
        <v>2683</v>
      </c>
      <c r="O659" s="12"/>
      <c r="P659" s="12" t="s">
        <v>3790</v>
      </c>
      <c r="Q659" s="12"/>
      <c r="R659" s="12"/>
      <c r="S659" s="12"/>
      <c r="T659" s="12"/>
      <c r="U659" s="12" t="str">
        <f t="shared" si="43"/>
        <v>Corrected</v>
      </c>
      <c r="V659" s="12" t="str">
        <f t="shared" si="40"/>
        <v>DAOUDI Mohamed</v>
      </c>
      <c r="W659" s="13">
        <f t="shared" si="41"/>
        <v>44588</v>
      </c>
    </row>
    <row r="660" spans="1:23" ht="28.8" customHeight="1" x14ac:dyDescent="0.3">
      <c r="A660" s="28">
        <v>44578</v>
      </c>
      <c r="B660" s="12" t="s">
        <v>2747</v>
      </c>
      <c r="C660" s="12" t="s">
        <v>1690</v>
      </c>
      <c r="D660" s="5" t="s">
        <v>1846</v>
      </c>
      <c r="E660" s="12">
        <v>651</v>
      </c>
      <c r="F660" s="11" t="s">
        <v>1348</v>
      </c>
      <c r="G660" s="12" t="s">
        <v>7</v>
      </c>
      <c r="H660" s="12" t="s">
        <v>19</v>
      </c>
      <c r="I660" s="11" t="s">
        <v>2748</v>
      </c>
      <c r="J660" s="12" t="s">
        <v>1545</v>
      </c>
      <c r="K660" s="12" t="str">
        <f t="shared" si="42"/>
        <v>Closed</v>
      </c>
      <c r="L660" s="13">
        <v>44591</v>
      </c>
      <c r="M660" s="12"/>
      <c r="N660" s="12" t="s">
        <v>2517</v>
      </c>
      <c r="O660" s="12" t="s">
        <v>3437</v>
      </c>
      <c r="P660" s="12" t="s">
        <v>3790</v>
      </c>
      <c r="Q660" s="12"/>
      <c r="R660" s="12"/>
      <c r="S660" s="12"/>
      <c r="T660" s="12"/>
      <c r="U660" s="12" t="str">
        <f t="shared" si="43"/>
        <v>Corrected</v>
      </c>
      <c r="V660" s="12" t="str">
        <f t="shared" si="40"/>
        <v>DAOUDI Mohamed</v>
      </c>
      <c r="W660" s="13">
        <f t="shared" si="41"/>
        <v>44591</v>
      </c>
    </row>
    <row r="661" spans="1:23" ht="14.4" customHeight="1" x14ac:dyDescent="0.3">
      <c r="A661" s="28">
        <v>44578</v>
      </c>
      <c r="B661" s="12" t="s">
        <v>2749</v>
      </c>
      <c r="C661" s="12" t="s">
        <v>1687</v>
      </c>
      <c r="D661" s="5" t="s">
        <v>1675</v>
      </c>
      <c r="E661" s="12">
        <v>615</v>
      </c>
      <c r="F661" s="11" t="s">
        <v>2058</v>
      </c>
      <c r="G661" s="12" t="s">
        <v>7</v>
      </c>
      <c r="H661" s="12" t="s">
        <v>9</v>
      </c>
      <c r="I661" s="11"/>
      <c r="J661" s="12" t="s">
        <v>1609</v>
      </c>
      <c r="K661" s="12" t="str">
        <f t="shared" si="42"/>
        <v>Open</v>
      </c>
      <c r="L661" s="13"/>
      <c r="M661" s="12" t="s">
        <v>1148</v>
      </c>
      <c r="N661" s="12" t="s">
        <v>4428</v>
      </c>
      <c r="O661" s="12"/>
      <c r="P661" s="12" t="s">
        <v>3790</v>
      </c>
      <c r="Q661" s="12"/>
      <c r="R661" s="12" t="s">
        <v>1545</v>
      </c>
      <c r="S661" s="12" t="s">
        <v>15</v>
      </c>
      <c r="T661" s="13">
        <v>44690</v>
      </c>
      <c r="U661" s="12" t="str">
        <f t="shared" si="43"/>
        <v>Corrected</v>
      </c>
      <c r="V661" s="12" t="str">
        <f>IF(AND(J661="Corrective Action Required",R661="Corrected"),S1027, IF(AND(J661="Corrective Action Required",R661&lt;&gt;"Corrected"),S1027,H661))</f>
        <v>Imran Rasheed</v>
      </c>
      <c r="W661" s="13">
        <f t="shared" si="41"/>
        <v>44690</v>
      </c>
    </row>
    <row r="662" spans="1:23" x14ac:dyDescent="0.3">
      <c r="A662" s="28">
        <v>44579</v>
      </c>
      <c r="B662" s="12" t="s">
        <v>2750</v>
      </c>
      <c r="C662" s="12" t="s">
        <v>1716</v>
      </c>
      <c r="D662" s="5"/>
      <c r="E662" s="12">
        <v>603</v>
      </c>
      <c r="F662" s="11" t="s">
        <v>2751</v>
      </c>
      <c r="G662" s="12" t="s">
        <v>7</v>
      </c>
      <c r="H662" s="12" t="s">
        <v>9</v>
      </c>
      <c r="I662" s="11"/>
      <c r="J662" s="12" t="s">
        <v>1545</v>
      </c>
      <c r="K662" s="12" t="str">
        <f t="shared" si="42"/>
        <v>Closed</v>
      </c>
      <c r="L662" s="13">
        <v>44592</v>
      </c>
      <c r="M662" s="12" t="s">
        <v>1324</v>
      </c>
      <c r="N662" s="12" t="s">
        <v>2448</v>
      </c>
      <c r="O662" s="12"/>
      <c r="P662" s="12" t="s">
        <v>3790</v>
      </c>
      <c r="Q662" s="12"/>
      <c r="R662" s="12"/>
      <c r="S662" s="12"/>
      <c r="T662" s="13" t="s">
        <v>1547</v>
      </c>
      <c r="U662" s="12" t="str">
        <f t="shared" si="43"/>
        <v>Corrected</v>
      </c>
      <c r="V662" s="12" t="str">
        <f t="shared" si="40"/>
        <v>KHAN Jahan</v>
      </c>
      <c r="W662" s="13">
        <f t="shared" si="41"/>
        <v>44592</v>
      </c>
    </row>
    <row r="663" spans="1:23" ht="14.4" customHeight="1" x14ac:dyDescent="0.3">
      <c r="A663" s="28">
        <v>44579</v>
      </c>
      <c r="B663" s="12" t="s">
        <v>2757</v>
      </c>
      <c r="C663" s="12" t="s">
        <v>1542</v>
      </c>
      <c r="D663" s="5" t="s">
        <v>2758</v>
      </c>
      <c r="E663" s="12">
        <v>411</v>
      </c>
      <c r="F663" s="11" t="s">
        <v>2759</v>
      </c>
      <c r="G663" s="12" t="s">
        <v>7</v>
      </c>
      <c r="H663" s="12" t="s">
        <v>14</v>
      </c>
      <c r="I663" s="11" t="s">
        <v>2760</v>
      </c>
      <c r="J663" s="12" t="s">
        <v>1574</v>
      </c>
      <c r="K663" s="12" t="str">
        <f t="shared" si="42"/>
        <v>Closed</v>
      </c>
      <c r="L663" s="13">
        <v>44587</v>
      </c>
      <c r="M663" s="12"/>
      <c r="N663" s="12" t="s">
        <v>4427</v>
      </c>
      <c r="O663" s="12"/>
      <c r="P663" s="12" t="s">
        <v>3790</v>
      </c>
      <c r="Q663" s="12"/>
      <c r="R663" s="12"/>
      <c r="S663" s="12"/>
      <c r="T663" s="12"/>
      <c r="U663" s="12" t="str">
        <f t="shared" si="43"/>
        <v>NFF</v>
      </c>
      <c r="V663" s="12" t="str">
        <f t="shared" si="40"/>
        <v>GUAN Jialin</v>
      </c>
      <c r="W663" s="13">
        <f t="shared" si="41"/>
        <v>44587</v>
      </c>
    </row>
    <row r="664" spans="1:23" x14ac:dyDescent="0.3">
      <c r="A664" s="28">
        <v>44579</v>
      </c>
      <c r="B664" s="12" t="s">
        <v>2761</v>
      </c>
      <c r="C664" s="12" t="s">
        <v>1542</v>
      </c>
      <c r="D664" s="5" t="s">
        <v>2762</v>
      </c>
      <c r="E664" s="12">
        <v>412</v>
      </c>
      <c r="F664" s="11" t="s">
        <v>2763</v>
      </c>
      <c r="G664" s="12" t="s">
        <v>7</v>
      </c>
      <c r="H664" s="12" t="s">
        <v>9</v>
      </c>
      <c r="I664" s="11" t="s">
        <v>2764</v>
      </c>
      <c r="J664" s="12" t="s">
        <v>1574</v>
      </c>
      <c r="K664" s="12" t="str">
        <f t="shared" si="42"/>
        <v>Closed</v>
      </c>
      <c r="L664" s="13">
        <v>44605</v>
      </c>
      <c r="M664" s="12"/>
      <c r="N664" s="12" t="s">
        <v>4429</v>
      </c>
      <c r="O664" s="12"/>
      <c r="P664" s="12" t="s">
        <v>3790</v>
      </c>
      <c r="Q664" s="12"/>
      <c r="R664" s="12"/>
      <c r="S664" s="12"/>
      <c r="T664" s="12"/>
      <c r="U664" s="12" t="str">
        <f t="shared" si="43"/>
        <v>NFF</v>
      </c>
      <c r="V664" s="12" t="str">
        <f t="shared" si="40"/>
        <v>KHAN Jahan</v>
      </c>
      <c r="W664" s="13">
        <f t="shared" si="41"/>
        <v>44605</v>
      </c>
    </row>
    <row r="665" spans="1:23" ht="14.4" customHeight="1" x14ac:dyDescent="0.3">
      <c r="A665" s="28">
        <v>44579</v>
      </c>
      <c r="B665" s="12" t="s">
        <v>2765</v>
      </c>
      <c r="C665" s="12" t="s">
        <v>1542</v>
      </c>
      <c r="D665" s="5" t="s">
        <v>2766</v>
      </c>
      <c r="E665" s="12">
        <v>603</v>
      </c>
      <c r="F665" s="11" t="s">
        <v>2767</v>
      </c>
      <c r="G665" s="12" t="s">
        <v>7</v>
      </c>
      <c r="H665" s="12" t="s">
        <v>19</v>
      </c>
      <c r="I665" s="11" t="s">
        <v>2475</v>
      </c>
      <c r="J665" s="12" t="s">
        <v>1545</v>
      </c>
      <c r="K665" s="12" t="str">
        <f t="shared" si="42"/>
        <v>Closed</v>
      </c>
      <c r="L665" s="13">
        <v>44633</v>
      </c>
      <c r="M665" s="12"/>
      <c r="N665" s="12" t="s">
        <v>1652</v>
      </c>
      <c r="O665" s="12" t="s">
        <v>1675</v>
      </c>
      <c r="P665" s="12" t="s">
        <v>3790</v>
      </c>
      <c r="Q665" s="12"/>
      <c r="R665" s="12" t="s">
        <v>1545</v>
      </c>
      <c r="S665" s="12" t="s">
        <v>15</v>
      </c>
      <c r="T665" s="25">
        <v>44633</v>
      </c>
      <c r="U665" s="12" t="str">
        <f t="shared" si="43"/>
        <v>Corrected</v>
      </c>
      <c r="V665" s="12" t="str">
        <f t="shared" si="40"/>
        <v>DAOUDI Mohamed</v>
      </c>
      <c r="W665" s="13">
        <f t="shared" si="41"/>
        <v>44633</v>
      </c>
    </row>
    <row r="666" spans="1:23" ht="28.8" x14ac:dyDescent="0.3">
      <c r="A666" s="28">
        <v>44579</v>
      </c>
      <c r="B666" s="12" t="s">
        <v>2768</v>
      </c>
      <c r="C666" s="12" t="s">
        <v>1542</v>
      </c>
      <c r="D666" s="5" t="s">
        <v>2769</v>
      </c>
      <c r="E666" s="12">
        <v>608</v>
      </c>
      <c r="F666" s="14" t="s">
        <v>4308</v>
      </c>
      <c r="G666" s="12" t="s">
        <v>7</v>
      </c>
      <c r="H666" s="12" t="s">
        <v>19</v>
      </c>
      <c r="I666" s="11" t="s">
        <v>2475</v>
      </c>
      <c r="J666" s="12" t="s">
        <v>1609</v>
      </c>
      <c r="K666" s="12" t="str">
        <f t="shared" si="42"/>
        <v>Open</v>
      </c>
      <c r="L666" s="13">
        <v>44648</v>
      </c>
      <c r="M666" s="12"/>
      <c r="N666" s="12" t="s">
        <v>1652</v>
      </c>
      <c r="O666" s="12" t="s">
        <v>1675</v>
      </c>
      <c r="P666" s="12" t="s">
        <v>3790</v>
      </c>
      <c r="Q666" s="12"/>
      <c r="R666" s="12" t="s">
        <v>1545</v>
      </c>
      <c r="S666" s="12" t="s">
        <v>15</v>
      </c>
      <c r="T666" s="25">
        <v>44647</v>
      </c>
      <c r="U666" s="12" t="str">
        <f t="shared" si="43"/>
        <v>Corrected</v>
      </c>
      <c r="V666" s="12" t="str">
        <f t="shared" si="40"/>
        <v>Imran Rasheed</v>
      </c>
      <c r="W666" s="13">
        <f t="shared" si="41"/>
        <v>44647</v>
      </c>
    </row>
    <row r="667" spans="1:23" ht="14.4" customHeight="1" x14ac:dyDescent="0.3">
      <c r="A667" s="28">
        <v>44579</v>
      </c>
      <c r="B667" s="12" t="s">
        <v>2773</v>
      </c>
      <c r="C667" s="12" t="s">
        <v>1542</v>
      </c>
      <c r="D667" s="5" t="s">
        <v>2774</v>
      </c>
      <c r="E667" s="12">
        <v>403</v>
      </c>
      <c r="F667" s="11" t="s">
        <v>2775</v>
      </c>
      <c r="G667" s="12" t="s">
        <v>7</v>
      </c>
      <c r="H667" s="12" t="s">
        <v>19</v>
      </c>
      <c r="I667" s="11" t="s">
        <v>2776</v>
      </c>
      <c r="J667" s="12" t="s">
        <v>1609</v>
      </c>
      <c r="K667" s="12" t="str">
        <f t="shared" si="42"/>
        <v>Open</v>
      </c>
      <c r="L667" s="13"/>
      <c r="M667" s="12"/>
      <c r="N667" s="12" t="s">
        <v>2707</v>
      </c>
      <c r="O667" s="12"/>
      <c r="P667" s="12" t="s">
        <v>3790</v>
      </c>
      <c r="Q667" s="12"/>
      <c r="R667" s="12" t="s">
        <v>3566</v>
      </c>
      <c r="S667" s="12" t="s">
        <v>3</v>
      </c>
      <c r="T667" s="12"/>
      <c r="U667" s="12" t="str">
        <f t="shared" si="43"/>
        <v>CM Open</v>
      </c>
      <c r="V667" s="12" t="str">
        <f t="shared" si="40"/>
        <v>SUKIMAN Zamhuri</v>
      </c>
      <c r="W667" s="13" t="str">
        <f t="shared" si="41"/>
        <v/>
      </c>
    </row>
    <row r="668" spans="1:23" ht="14.4" customHeight="1" x14ac:dyDescent="0.3">
      <c r="A668" s="28">
        <v>44579</v>
      </c>
      <c r="B668" s="12" t="s">
        <v>2781</v>
      </c>
      <c r="C668" s="12" t="s">
        <v>1690</v>
      </c>
      <c r="D668" s="5" t="s">
        <v>1675</v>
      </c>
      <c r="E668" s="12">
        <v>418</v>
      </c>
      <c r="F668" s="11" t="s">
        <v>2782</v>
      </c>
      <c r="G668" s="12" t="s">
        <v>7</v>
      </c>
      <c r="H668" s="12" t="s">
        <v>9</v>
      </c>
      <c r="I668" s="11"/>
      <c r="J668" s="12" t="s">
        <v>1574</v>
      </c>
      <c r="K668" s="12" t="str">
        <f t="shared" si="42"/>
        <v>Closed</v>
      </c>
      <c r="L668" s="13">
        <v>44591</v>
      </c>
      <c r="M668" s="12"/>
      <c r="N668" s="12" t="s">
        <v>2448</v>
      </c>
      <c r="O668" s="12"/>
      <c r="P668" s="12" t="s">
        <v>3790</v>
      </c>
      <c r="Q668" s="12"/>
      <c r="R668" s="12"/>
      <c r="S668" s="12"/>
      <c r="T668" s="12"/>
      <c r="U668" s="12" t="str">
        <f t="shared" si="43"/>
        <v>NFF</v>
      </c>
      <c r="V668" s="12" t="str">
        <f t="shared" si="40"/>
        <v>KHAN Jahan</v>
      </c>
      <c r="W668" s="13">
        <f t="shared" si="41"/>
        <v>44591</v>
      </c>
    </row>
    <row r="669" spans="1:23" ht="14.4" customHeight="1" x14ac:dyDescent="0.3">
      <c r="A669" s="28">
        <v>44579</v>
      </c>
      <c r="B669" s="12" t="s">
        <v>1305</v>
      </c>
      <c r="C669" s="12" t="s">
        <v>1690</v>
      </c>
      <c r="D669" s="5" t="s">
        <v>1675</v>
      </c>
      <c r="E669" s="12">
        <v>419</v>
      </c>
      <c r="F669" s="14" t="s">
        <v>4309</v>
      </c>
      <c r="G669" s="12" t="s">
        <v>7</v>
      </c>
      <c r="H669" s="12" t="s">
        <v>17</v>
      </c>
      <c r="I669" s="11" t="s">
        <v>2783</v>
      </c>
      <c r="J669" s="12" t="s">
        <v>1545</v>
      </c>
      <c r="K669" s="12" t="str">
        <f t="shared" si="42"/>
        <v>Closed</v>
      </c>
      <c r="L669" s="13">
        <v>44585</v>
      </c>
      <c r="M669" s="12"/>
      <c r="N669" s="12" t="s">
        <v>2528</v>
      </c>
      <c r="O669" s="12"/>
      <c r="P669" s="12" t="s">
        <v>3790</v>
      </c>
      <c r="Q669" s="12"/>
      <c r="R669" s="12"/>
      <c r="S669" s="12"/>
      <c r="T669" s="12"/>
      <c r="U669" s="12" t="str">
        <f t="shared" si="43"/>
        <v>Corrected</v>
      </c>
      <c r="V669" s="12" t="str">
        <f t="shared" si="40"/>
        <v>FATHI Charafeddine</v>
      </c>
      <c r="W669" s="13">
        <f t="shared" si="41"/>
        <v>44585</v>
      </c>
    </row>
    <row r="670" spans="1:23" x14ac:dyDescent="0.3">
      <c r="A670" s="28">
        <v>44579</v>
      </c>
      <c r="B670" s="12" t="s">
        <v>2784</v>
      </c>
      <c r="C670" s="12" t="s">
        <v>1690</v>
      </c>
      <c r="D670" s="5" t="s">
        <v>1675</v>
      </c>
      <c r="E670" s="12">
        <v>419</v>
      </c>
      <c r="F670" s="11" t="s">
        <v>2785</v>
      </c>
      <c r="G670" s="12" t="s">
        <v>1</v>
      </c>
      <c r="H670" s="12" t="s">
        <v>19</v>
      </c>
      <c r="I670" s="11" t="s">
        <v>2787</v>
      </c>
      <c r="J670" s="12" t="s">
        <v>1545</v>
      </c>
      <c r="K670" s="12" t="str">
        <f t="shared" si="42"/>
        <v>Closed</v>
      </c>
      <c r="L670" s="13">
        <v>44586</v>
      </c>
      <c r="M670" s="12" t="s">
        <v>2786</v>
      </c>
      <c r="N670" s="12" t="s">
        <v>2482</v>
      </c>
      <c r="O670" s="12"/>
      <c r="P670" s="12" t="s">
        <v>2788</v>
      </c>
      <c r="Q670" s="12"/>
      <c r="R670" s="12"/>
      <c r="S670" s="12"/>
      <c r="T670" s="12"/>
      <c r="U670" s="12" t="str">
        <f t="shared" si="43"/>
        <v>Corrected</v>
      </c>
      <c r="V670" s="12" t="str">
        <f t="shared" si="40"/>
        <v>DAOUDI Mohamed</v>
      </c>
      <c r="W670" s="13">
        <f t="shared" si="41"/>
        <v>44586</v>
      </c>
    </row>
    <row r="671" spans="1:23" ht="14.4" customHeight="1" x14ac:dyDescent="0.3">
      <c r="A671" s="28">
        <v>44579</v>
      </c>
      <c r="B671" s="12" t="s">
        <v>2789</v>
      </c>
      <c r="C671" s="12" t="s">
        <v>1690</v>
      </c>
      <c r="D671" s="5" t="s">
        <v>1846</v>
      </c>
      <c r="E671" s="12">
        <v>401</v>
      </c>
      <c r="F671" s="11" t="s">
        <v>2744</v>
      </c>
      <c r="G671" s="12" t="s">
        <v>7</v>
      </c>
      <c r="H671" s="12" t="s">
        <v>18</v>
      </c>
      <c r="I671" s="11" t="s">
        <v>1870</v>
      </c>
      <c r="J671" s="12" t="s">
        <v>1574</v>
      </c>
      <c r="K671" s="12" t="str">
        <f t="shared" si="42"/>
        <v>Closed</v>
      </c>
      <c r="L671" s="13">
        <v>44591</v>
      </c>
      <c r="M671" s="12"/>
      <c r="N671" s="12" t="s">
        <v>4427</v>
      </c>
      <c r="O671" s="12"/>
      <c r="P671" s="12" t="s">
        <v>3790</v>
      </c>
      <c r="Q671" s="12"/>
      <c r="R671" s="12"/>
      <c r="S671" s="12"/>
      <c r="T671" s="12"/>
      <c r="U671" s="12" t="str">
        <f t="shared" si="43"/>
        <v>NFF</v>
      </c>
      <c r="V671" s="12" t="str">
        <f t="shared" si="40"/>
        <v>BENAYED Elie</v>
      </c>
      <c r="W671" s="13">
        <f t="shared" si="41"/>
        <v>44591</v>
      </c>
    </row>
    <row r="672" spans="1:23" ht="14.4" customHeight="1" x14ac:dyDescent="0.3">
      <c r="A672" s="28">
        <v>44580</v>
      </c>
      <c r="B672" s="12" t="s">
        <v>2797</v>
      </c>
      <c r="C672" s="12" t="s">
        <v>1690</v>
      </c>
      <c r="D672" s="5" t="s">
        <v>1846</v>
      </c>
      <c r="E672" s="12">
        <v>408</v>
      </c>
      <c r="F672" s="11" t="s">
        <v>2744</v>
      </c>
      <c r="G672" s="12" t="s">
        <v>7</v>
      </c>
      <c r="H672" s="12" t="s">
        <v>18</v>
      </c>
      <c r="I672" s="11" t="s">
        <v>1606</v>
      </c>
      <c r="J672" s="12" t="s">
        <v>1574</v>
      </c>
      <c r="K672" s="12" t="str">
        <f t="shared" si="42"/>
        <v>Closed</v>
      </c>
      <c r="L672" s="13">
        <v>44581</v>
      </c>
      <c r="M672" s="12"/>
      <c r="N672" s="12" t="s">
        <v>4427</v>
      </c>
      <c r="O672" s="12"/>
      <c r="P672" s="12" t="s">
        <v>3790</v>
      </c>
      <c r="Q672" s="12"/>
      <c r="R672" s="12"/>
      <c r="S672" s="12"/>
      <c r="T672" s="13" t="s">
        <v>1547</v>
      </c>
      <c r="U672" s="12" t="str">
        <f t="shared" si="43"/>
        <v>NFF</v>
      </c>
      <c r="V672" s="12" t="str">
        <f t="shared" si="40"/>
        <v>BENAYED Elie</v>
      </c>
      <c r="W672" s="13">
        <f t="shared" si="41"/>
        <v>44581</v>
      </c>
    </row>
    <row r="673" spans="1:23" ht="14.4" customHeight="1" x14ac:dyDescent="0.3">
      <c r="A673" s="28">
        <v>44580</v>
      </c>
      <c r="B673" s="12" t="s">
        <v>2798</v>
      </c>
      <c r="C673" s="12" t="s">
        <v>1690</v>
      </c>
      <c r="D673" s="5" t="s">
        <v>1846</v>
      </c>
      <c r="E673" s="12">
        <v>613</v>
      </c>
      <c r="F673" s="11" t="s">
        <v>2794</v>
      </c>
      <c r="G673" s="12" t="s">
        <v>4</v>
      </c>
      <c r="H673" s="12" t="s">
        <v>9</v>
      </c>
      <c r="I673" s="11"/>
      <c r="J673" s="12" t="s">
        <v>1574</v>
      </c>
      <c r="K673" s="12" t="str">
        <f t="shared" si="42"/>
        <v>Closed</v>
      </c>
      <c r="L673" s="13">
        <v>44592</v>
      </c>
      <c r="M673" s="12"/>
      <c r="N673" s="12" t="s">
        <v>2517</v>
      </c>
      <c r="O673" s="12"/>
      <c r="P673" s="12" t="s">
        <v>3790</v>
      </c>
      <c r="Q673" s="12"/>
      <c r="R673" s="12"/>
      <c r="S673" s="12"/>
      <c r="T673" s="13" t="s">
        <v>1547</v>
      </c>
      <c r="U673" s="12" t="str">
        <f t="shared" si="43"/>
        <v>NFF</v>
      </c>
      <c r="V673" s="12" t="str">
        <f t="shared" si="40"/>
        <v>KHAN Jahan</v>
      </c>
      <c r="W673" s="13">
        <f t="shared" si="41"/>
        <v>44592</v>
      </c>
    </row>
    <row r="674" spans="1:23" ht="14.4" customHeight="1" x14ac:dyDescent="0.3">
      <c r="A674" s="28">
        <v>44580</v>
      </c>
      <c r="B674" s="12" t="s">
        <v>2799</v>
      </c>
      <c r="C674" s="12" t="s">
        <v>1690</v>
      </c>
      <c r="D674" s="5" t="s">
        <v>1846</v>
      </c>
      <c r="E674" s="12">
        <v>624</v>
      </c>
      <c r="F674" s="14" t="s">
        <v>4310</v>
      </c>
      <c r="G674" s="12" t="s">
        <v>4</v>
      </c>
      <c r="H674" s="12" t="s">
        <v>17</v>
      </c>
      <c r="I674" s="11" t="s">
        <v>2800</v>
      </c>
      <c r="J674" s="12" t="s">
        <v>1574</v>
      </c>
      <c r="K674" s="12" t="str">
        <f t="shared" si="42"/>
        <v>Closed</v>
      </c>
      <c r="L674" s="13">
        <v>44602</v>
      </c>
      <c r="M674" s="12"/>
      <c r="N674" s="12" t="s">
        <v>2683</v>
      </c>
      <c r="O674" s="12"/>
      <c r="P674" s="12" t="s">
        <v>3790</v>
      </c>
      <c r="Q674" s="12"/>
      <c r="R674" s="12"/>
      <c r="S674" s="12"/>
      <c r="T674" s="13" t="s">
        <v>1547</v>
      </c>
      <c r="U674" s="12" t="str">
        <f t="shared" si="43"/>
        <v>NFF</v>
      </c>
      <c r="V674" s="12" t="str">
        <f t="shared" si="40"/>
        <v>FATHI Charafeddine</v>
      </c>
      <c r="W674" s="13">
        <f t="shared" si="41"/>
        <v>44602</v>
      </c>
    </row>
    <row r="675" spans="1:23" ht="14.4" customHeight="1" x14ac:dyDescent="0.3">
      <c r="A675" s="28">
        <v>44580</v>
      </c>
      <c r="B675" s="12" t="s">
        <v>2801</v>
      </c>
      <c r="C675" s="12" t="s">
        <v>1690</v>
      </c>
      <c r="D675" s="5" t="s">
        <v>1846</v>
      </c>
      <c r="E675" s="12">
        <v>401</v>
      </c>
      <c r="F675" s="14" t="s">
        <v>4311</v>
      </c>
      <c r="G675" s="12" t="s">
        <v>4</v>
      </c>
      <c r="H675" s="12" t="s">
        <v>17</v>
      </c>
      <c r="I675" s="11" t="s">
        <v>2802</v>
      </c>
      <c r="J675" s="12" t="s">
        <v>1574</v>
      </c>
      <c r="K675" s="12" t="str">
        <f t="shared" si="42"/>
        <v>Closed</v>
      </c>
      <c r="L675" s="13">
        <v>44601</v>
      </c>
      <c r="M675" s="12"/>
      <c r="N675" s="12" t="s">
        <v>4429</v>
      </c>
      <c r="O675" s="12"/>
      <c r="P675" s="12" t="s">
        <v>3790</v>
      </c>
      <c r="Q675" s="12"/>
      <c r="R675" s="12"/>
      <c r="S675" s="12"/>
      <c r="T675" s="13" t="s">
        <v>1547</v>
      </c>
      <c r="U675" s="12" t="str">
        <f t="shared" si="43"/>
        <v>NFF</v>
      </c>
      <c r="V675" s="12" t="str">
        <f t="shared" si="40"/>
        <v>FATHI Charafeddine</v>
      </c>
      <c r="W675" s="13">
        <f t="shared" si="41"/>
        <v>44601</v>
      </c>
    </row>
    <row r="676" spans="1:23" ht="14.4" customHeight="1" x14ac:dyDescent="0.3">
      <c r="A676" s="28">
        <v>44580</v>
      </c>
      <c r="B676" s="12" t="s">
        <v>2803</v>
      </c>
      <c r="C676" s="12" t="s">
        <v>1703</v>
      </c>
      <c r="D676" s="5" t="s">
        <v>1675</v>
      </c>
      <c r="E676" s="12">
        <v>622</v>
      </c>
      <c r="F676" s="11" t="s">
        <v>2804</v>
      </c>
      <c r="G676" s="12" t="s">
        <v>7</v>
      </c>
      <c r="H676" s="12" t="s">
        <v>11</v>
      </c>
      <c r="I676" s="11" t="s">
        <v>2805</v>
      </c>
      <c r="J676" s="12" t="s">
        <v>1574</v>
      </c>
      <c r="K676" s="12" t="str">
        <f t="shared" si="42"/>
        <v>Closed</v>
      </c>
      <c r="L676" s="13">
        <v>44633</v>
      </c>
      <c r="M676" s="12"/>
      <c r="N676" s="12" t="s">
        <v>2448</v>
      </c>
      <c r="O676" s="12"/>
      <c r="P676" s="12" t="s">
        <v>3790</v>
      </c>
      <c r="Q676" s="12"/>
      <c r="R676" s="12"/>
      <c r="S676" s="12"/>
      <c r="T676" s="13" t="s">
        <v>1547</v>
      </c>
      <c r="U676" s="12" t="str">
        <f t="shared" si="43"/>
        <v>NFF</v>
      </c>
      <c r="V676" s="12" t="str">
        <f t="shared" si="40"/>
        <v>FIRDUS Ahmad</v>
      </c>
      <c r="W676" s="13">
        <f t="shared" si="41"/>
        <v>44633</v>
      </c>
    </row>
    <row r="677" spans="1:23" ht="14.4" customHeight="1" x14ac:dyDescent="0.3">
      <c r="A677" s="28">
        <v>44580</v>
      </c>
      <c r="B677" s="12" t="s">
        <v>2806</v>
      </c>
      <c r="C677" s="12" t="s">
        <v>1703</v>
      </c>
      <c r="D677" s="5" t="s">
        <v>1675</v>
      </c>
      <c r="E677" s="12">
        <v>402</v>
      </c>
      <c r="F677" s="11" t="s">
        <v>2807</v>
      </c>
      <c r="G677" s="12" t="s">
        <v>7</v>
      </c>
      <c r="H677" s="12" t="s">
        <v>9</v>
      </c>
      <c r="I677" s="11"/>
      <c r="J677" s="12" t="s">
        <v>1574</v>
      </c>
      <c r="K677" s="12" t="str">
        <f t="shared" si="42"/>
        <v>Closed</v>
      </c>
      <c r="L677" s="13">
        <v>44635</v>
      </c>
      <c r="M677" s="12"/>
      <c r="N677" s="12" t="s">
        <v>2448</v>
      </c>
      <c r="O677" s="12"/>
      <c r="P677" s="12" t="s">
        <v>3790</v>
      </c>
      <c r="Q677" s="12"/>
      <c r="R677" s="12"/>
      <c r="S677" s="12"/>
      <c r="T677" s="13" t="s">
        <v>1547</v>
      </c>
      <c r="U677" s="12" t="str">
        <f t="shared" si="43"/>
        <v>NFF</v>
      </c>
      <c r="V677" s="12" t="str">
        <f t="shared" si="40"/>
        <v>KHAN Jahan</v>
      </c>
      <c r="W677" s="13">
        <f t="shared" si="41"/>
        <v>44635</v>
      </c>
    </row>
    <row r="678" spans="1:23" ht="14.4" customHeight="1" x14ac:dyDescent="0.3">
      <c r="A678" s="28">
        <v>44585</v>
      </c>
      <c r="B678" s="12" t="s">
        <v>2808</v>
      </c>
      <c r="C678" s="12" t="s">
        <v>1687</v>
      </c>
      <c r="D678" s="5" t="s">
        <v>1675</v>
      </c>
      <c r="E678" s="12">
        <v>626</v>
      </c>
      <c r="F678" s="11" t="s">
        <v>2809</v>
      </c>
      <c r="G678" s="12" t="s">
        <v>2810</v>
      </c>
      <c r="H678" s="12" t="s">
        <v>9</v>
      </c>
      <c r="I678" s="11" t="s">
        <v>2811</v>
      </c>
      <c r="J678" s="12" t="s">
        <v>1545</v>
      </c>
      <c r="K678" s="12" t="str">
        <f t="shared" si="42"/>
        <v>Closed</v>
      </c>
      <c r="L678" s="13">
        <v>44585</v>
      </c>
      <c r="M678" s="12" t="s">
        <v>1335</v>
      </c>
      <c r="N678" s="12" t="s">
        <v>2528</v>
      </c>
      <c r="O678" s="12"/>
      <c r="P678" s="12" t="s">
        <v>3790</v>
      </c>
      <c r="Q678" s="12"/>
      <c r="R678" s="12"/>
      <c r="S678" s="12"/>
      <c r="T678" s="13" t="s">
        <v>1547</v>
      </c>
      <c r="U678" s="12" t="str">
        <f t="shared" si="43"/>
        <v>Corrected</v>
      </c>
      <c r="V678" s="12" t="str">
        <f t="shared" si="40"/>
        <v>KHAN Jahan</v>
      </c>
      <c r="W678" s="13">
        <f t="shared" si="41"/>
        <v>44585</v>
      </c>
    </row>
    <row r="679" spans="1:23" ht="14.4" customHeight="1" x14ac:dyDescent="0.3">
      <c r="A679" s="28">
        <v>44587</v>
      </c>
      <c r="B679" s="12" t="s">
        <v>2812</v>
      </c>
      <c r="C679" s="12" t="s">
        <v>1542</v>
      </c>
      <c r="D679" s="5" t="s">
        <v>1675</v>
      </c>
      <c r="E679" s="12">
        <v>411</v>
      </c>
      <c r="F679" s="11" t="s">
        <v>2813</v>
      </c>
      <c r="G679" s="12" t="s">
        <v>2815</v>
      </c>
      <c r="H679" s="12" t="s">
        <v>14</v>
      </c>
      <c r="I679" s="11" t="s">
        <v>2816</v>
      </c>
      <c r="J679" s="12" t="s">
        <v>1545</v>
      </c>
      <c r="K679" s="12" t="str">
        <f t="shared" si="42"/>
        <v>Closed</v>
      </c>
      <c r="L679" s="13">
        <v>44587</v>
      </c>
      <c r="M679" s="12" t="s">
        <v>2814</v>
      </c>
      <c r="N679" s="12" t="s">
        <v>4427</v>
      </c>
      <c r="O679" s="12" t="s">
        <v>2445</v>
      </c>
      <c r="P679" s="12" t="s">
        <v>3790</v>
      </c>
      <c r="Q679" s="12"/>
      <c r="R679" s="12"/>
      <c r="S679" s="12"/>
      <c r="T679" s="13" t="s">
        <v>1547</v>
      </c>
      <c r="U679" s="12" t="str">
        <f t="shared" si="43"/>
        <v>Corrected</v>
      </c>
      <c r="V679" s="12" t="str">
        <f t="shared" si="40"/>
        <v>GUAN Jialin</v>
      </c>
      <c r="W679" s="13">
        <f t="shared" si="41"/>
        <v>44587</v>
      </c>
    </row>
    <row r="680" spans="1:23" ht="14.4" customHeight="1" x14ac:dyDescent="0.3">
      <c r="A680" s="28">
        <v>44587</v>
      </c>
      <c r="B680" s="12" t="s">
        <v>2817</v>
      </c>
      <c r="C680" s="12" t="s">
        <v>1542</v>
      </c>
      <c r="D680" s="5" t="s">
        <v>1675</v>
      </c>
      <c r="E680" s="12">
        <v>615</v>
      </c>
      <c r="F680" s="11" t="s">
        <v>2818</v>
      </c>
      <c r="G680" s="12" t="s">
        <v>2815</v>
      </c>
      <c r="H680" s="12" t="s">
        <v>9</v>
      </c>
      <c r="I680" s="11" t="s">
        <v>2819</v>
      </c>
      <c r="J680" s="12" t="s">
        <v>1545</v>
      </c>
      <c r="K680" s="12" t="str">
        <f t="shared" si="42"/>
        <v>Closed</v>
      </c>
      <c r="L680" s="13">
        <v>44587</v>
      </c>
      <c r="M680" s="12"/>
      <c r="N680" s="12" t="s">
        <v>2448</v>
      </c>
      <c r="O680" s="12"/>
      <c r="P680" s="12" t="s">
        <v>3790</v>
      </c>
      <c r="Q680" s="12"/>
      <c r="R680" s="12"/>
      <c r="S680" s="12"/>
      <c r="T680" s="12"/>
      <c r="U680" s="12" t="str">
        <f t="shared" si="43"/>
        <v>Corrected</v>
      </c>
      <c r="V680" s="12" t="str">
        <f t="shared" si="40"/>
        <v>KHAN Jahan</v>
      </c>
      <c r="W680" s="13">
        <f t="shared" si="41"/>
        <v>44587</v>
      </c>
    </row>
    <row r="681" spans="1:23" ht="14.4" customHeight="1" x14ac:dyDescent="0.3">
      <c r="A681" s="28">
        <v>44591</v>
      </c>
      <c r="B681" s="12" t="s">
        <v>2822</v>
      </c>
      <c r="C681" s="12" t="s">
        <v>1690</v>
      </c>
      <c r="D681" s="5" t="s">
        <v>1675</v>
      </c>
      <c r="E681" s="12">
        <v>611</v>
      </c>
      <c r="F681" s="11" t="s">
        <v>2823</v>
      </c>
      <c r="G681" s="12" t="s">
        <v>7</v>
      </c>
      <c r="H681" s="12" t="s">
        <v>9</v>
      </c>
      <c r="I681" s="11" t="s">
        <v>2821</v>
      </c>
      <c r="J681" s="12" t="s">
        <v>1545</v>
      </c>
      <c r="K681" s="12" t="str">
        <f t="shared" si="42"/>
        <v>Closed</v>
      </c>
      <c r="L681" s="13">
        <v>44592</v>
      </c>
      <c r="M681" s="12" t="s">
        <v>1336</v>
      </c>
      <c r="N681" s="12" t="s">
        <v>2638</v>
      </c>
      <c r="O681" s="12"/>
      <c r="P681" s="12" t="s">
        <v>3790</v>
      </c>
      <c r="Q681" s="12"/>
      <c r="R681" s="12"/>
      <c r="S681" s="12"/>
      <c r="T681" s="13" t="s">
        <v>1547</v>
      </c>
      <c r="U681" s="12" t="str">
        <f t="shared" si="43"/>
        <v>Corrected</v>
      </c>
      <c r="V681" s="12" t="str">
        <f t="shared" si="40"/>
        <v>KHAN Jahan</v>
      </c>
      <c r="W681" s="13">
        <f t="shared" si="41"/>
        <v>44592</v>
      </c>
    </row>
    <row r="682" spans="1:23" ht="14.4" customHeight="1" x14ac:dyDescent="0.3">
      <c r="A682" s="28">
        <v>44591</v>
      </c>
      <c r="B682" s="12" t="s">
        <v>2824</v>
      </c>
      <c r="C682" s="12" t="s">
        <v>1690</v>
      </c>
      <c r="D682" s="5" t="s">
        <v>1675</v>
      </c>
      <c r="E682" s="12">
        <v>625</v>
      </c>
      <c r="F682" s="11" t="s">
        <v>2825</v>
      </c>
      <c r="G682" s="12" t="s">
        <v>7</v>
      </c>
      <c r="H682" s="12" t="s">
        <v>9</v>
      </c>
      <c r="I682" s="11" t="s">
        <v>2821</v>
      </c>
      <c r="J682" s="12" t="s">
        <v>1545</v>
      </c>
      <c r="K682" s="12" t="str">
        <f t="shared" si="42"/>
        <v>Closed</v>
      </c>
      <c r="L682" s="13">
        <v>44592</v>
      </c>
      <c r="M682" s="12" t="s">
        <v>1337</v>
      </c>
      <c r="N682" s="12" t="s">
        <v>2638</v>
      </c>
      <c r="O682" s="12"/>
      <c r="P682" s="12" t="s">
        <v>3790</v>
      </c>
      <c r="Q682" s="12"/>
      <c r="R682" s="12"/>
      <c r="S682" s="12"/>
      <c r="T682" s="13" t="s">
        <v>1547</v>
      </c>
      <c r="U682" s="12" t="str">
        <f t="shared" si="43"/>
        <v>Corrected</v>
      </c>
      <c r="V682" s="12" t="str">
        <f t="shared" si="40"/>
        <v>KHAN Jahan</v>
      </c>
      <c r="W682" s="13">
        <f t="shared" si="41"/>
        <v>44592</v>
      </c>
    </row>
    <row r="683" spans="1:23" ht="14.4" customHeight="1" x14ac:dyDescent="0.3">
      <c r="A683" s="28">
        <v>44591</v>
      </c>
      <c r="B683" s="12" t="s">
        <v>2826</v>
      </c>
      <c r="C683" s="12" t="s">
        <v>1542</v>
      </c>
      <c r="D683" s="5" t="s">
        <v>2827</v>
      </c>
      <c r="E683" s="12">
        <v>401</v>
      </c>
      <c r="F683" s="11" t="s">
        <v>2828</v>
      </c>
      <c r="G683" s="12" t="s">
        <v>7</v>
      </c>
      <c r="H683" s="12" t="s">
        <v>14</v>
      </c>
      <c r="I683" s="11" t="s">
        <v>1994</v>
      </c>
      <c r="J683" s="12" t="s">
        <v>1545</v>
      </c>
      <c r="K683" s="12" t="str">
        <f t="shared" si="42"/>
        <v>Closed</v>
      </c>
      <c r="L683" s="13">
        <v>44606</v>
      </c>
      <c r="M683" s="12"/>
      <c r="N683" s="12" t="s">
        <v>4427</v>
      </c>
      <c r="O683" s="12" t="s">
        <v>3411</v>
      </c>
      <c r="P683" s="12" t="s">
        <v>3790</v>
      </c>
      <c r="Q683" s="12"/>
      <c r="R683" s="12" t="s">
        <v>1545</v>
      </c>
      <c r="S683" s="12" t="s">
        <v>337</v>
      </c>
      <c r="T683" s="13">
        <v>44636</v>
      </c>
      <c r="U683" s="12" t="str">
        <f t="shared" si="43"/>
        <v>Corrected</v>
      </c>
      <c r="V683" s="12" t="str">
        <f t="shared" si="40"/>
        <v>GUAN Jialin</v>
      </c>
      <c r="W683" s="13">
        <f t="shared" si="41"/>
        <v>44606</v>
      </c>
    </row>
    <row r="684" spans="1:23" ht="14.4" customHeight="1" x14ac:dyDescent="0.3">
      <c r="A684" s="28">
        <v>44591</v>
      </c>
      <c r="B684" s="12" t="s">
        <v>2829</v>
      </c>
      <c r="C684" s="12" t="s">
        <v>1542</v>
      </c>
      <c r="D684" s="5" t="s">
        <v>2830</v>
      </c>
      <c r="E684" s="12">
        <v>422</v>
      </c>
      <c r="F684" s="11" t="s">
        <v>2831</v>
      </c>
      <c r="G684" s="12" t="s">
        <v>7</v>
      </c>
      <c r="H684" s="12" t="s">
        <v>14</v>
      </c>
      <c r="I684" s="11" t="s">
        <v>2832</v>
      </c>
      <c r="J684" s="12" t="s">
        <v>1574</v>
      </c>
      <c r="K684" s="12" t="str">
        <f t="shared" si="42"/>
        <v>Closed</v>
      </c>
      <c r="L684" s="13">
        <v>44616</v>
      </c>
      <c r="M684" s="12"/>
      <c r="N684" s="12" t="s">
        <v>4427</v>
      </c>
      <c r="O684" s="12"/>
      <c r="P684" s="12" t="s">
        <v>3790</v>
      </c>
      <c r="Q684" s="12"/>
      <c r="R684" s="12"/>
      <c r="S684" s="12"/>
      <c r="T684" s="12"/>
      <c r="U684" s="12" t="str">
        <f t="shared" si="43"/>
        <v>NFF</v>
      </c>
      <c r="V684" s="12" t="str">
        <f t="shared" si="40"/>
        <v>GUAN Jialin</v>
      </c>
      <c r="W684" s="13">
        <f t="shared" si="41"/>
        <v>44616</v>
      </c>
    </row>
    <row r="685" spans="1:23" x14ac:dyDescent="0.3">
      <c r="A685" s="28">
        <v>44591</v>
      </c>
      <c r="B685" s="12" t="s">
        <v>2833</v>
      </c>
      <c r="C685" s="12" t="s">
        <v>1542</v>
      </c>
      <c r="D685" s="5" t="s">
        <v>2834</v>
      </c>
      <c r="E685" s="12">
        <v>423</v>
      </c>
      <c r="F685" s="11" t="s">
        <v>2835</v>
      </c>
      <c r="G685" s="12" t="s">
        <v>7</v>
      </c>
      <c r="H685" s="12" t="s">
        <v>14</v>
      </c>
      <c r="I685" s="11"/>
      <c r="J685" s="12" t="s">
        <v>1574</v>
      </c>
      <c r="K685" s="12" t="str">
        <f t="shared" si="42"/>
        <v>Closed</v>
      </c>
      <c r="L685" s="13">
        <v>44620</v>
      </c>
      <c r="M685" s="12"/>
      <c r="N685" s="12" t="s">
        <v>4427</v>
      </c>
      <c r="O685" s="12"/>
      <c r="P685" s="12" t="s">
        <v>3790</v>
      </c>
      <c r="Q685" s="12"/>
      <c r="R685" s="12"/>
      <c r="S685" s="12"/>
      <c r="T685" s="13" t="s">
        <v>1547</v>
      </c>
      <c r="U685" s="12" t="str">
        <f t="shared" si="43"/>
        <v>NFF</v>
      </c>
      <c r="V685" s="12" t="str">
        <f t="shared" si="40"/>
        <v>GUAN Jialin</v>
      </c>
      <c r="W685" s="13">
        <f t="shared" si="41"/>
        <v>44620</v>
      </c>
    </row>
    <row r="686" spans="1:23" ht="14.4" customHeight="1" x14ac:dyDescent="0.3">
      <c r="A686" s="28">
        <v>44592</v>
      </c>
      <c r="B686" s="12" t="s">
        <v>2836</v>
      </c>
      <c r="C686" s="12" t="s">
        <v>1690</v>
      </c>
      <c r="D686" s="5"/>
      <c r="E686" s="12">
        <v>406</v>
      </c>
      <c r="F686" s="11" t="s">
        <v>2837</v>
      </c>
      <c r="G686" s="12" t="s">
        <v>1</v>
      </c>
      <c r="H686" s="12" t="s">
        <v>19</v>
      </c>
      <c r="I686" s="14" t="s">
        <v>4312</v>
      </c>
      <c r="J686" s="12" t="s">
        <v>1574</v>
      </c>
      <c r="K686" s="12" t="str">
        <f t="shared" si="42"/>
        <v>Closed</v>
      </c>
      <c r="L686" s="13">
        <v>44622</v>
      </c>
      <c r="M686" s="12"/>
      <c r="N686" s="12" t="s">
        <v>2603</v>
      </c>
      <c r="O686" s="12"/>
      <c r="P686" s="12" t="s">
        <v>2788</v>
      </c>
      <c r="Q686" s="12"/>
      <c r="R686" s="12"/>
      <c r="S686" s="12"/>
      <c r="T686" s="13" t="s">
        <v>1547</v>
      </c>
      <c r="U686" s="12" t="str">
        <f t="shared" si="43"/>
        <v>NFF</v>
      </c>
      <c r="V686" s="12" t="str">
        <f t="shared" si="40"/>
        <v>DAOUDI Mohamed</v>
      </c>
      <c r="W686" s="13">
        <f t="shared" si="41"/>
        <v>44622</v>
      </c>
    </row>
    <row r="687" spans="1:23" x14ac:dyDescent="0.3">
      <c r="A687" s="28">
        <v>44595</v>
      </c>
      <c r="B687" s="12" t="s">
        <v>2838</v>
      </c>
      <c r="C687" s="12" t="s">
        <v>1687</v>
      </c>
      <c r="D687" s="5"/>
      <c r="E687" s="12">
        <v>625</v>
      </c>
      <c r="F687" s="11" t="s">
        <v>2839</v>
      </c>
      <c r="G687" s="12" t="s">
        <v>7</v>
      </c>
      <c r="H687" s="12" t="s">
        <v>14</v>
      </c>
      <c r="I687" s="11" t="s">
        <v>2841</v>
      </c>
      <c r="J687" s="12" t="s">
        <v>1545</v>
      </c>
      <c r="K687" s="12" t="str">
        <f t="shared" si="42"/>
        <v>Closed</v>
      </c>
      <c r="L687" s="13">
        <v>44595</v>
      </c>
      <c r="M687" s="12" t="s">
        <v>2840</v>
      </c>
      <c r="N687" s="12" t="s">
        <v>4427</v>
      </c>
      <c r="O687" s="12" t="s">
        <v>3371</v>
      </c>
      <c r="P687" s="12" t="s">
        <v>3790</v>
      </c>
      <c r="Q687" s="12"/>
      <c r="R687" s="12"/>
      <c r="S687" s="12"/>
      <c r="T687" s="13" t="s">
        <v>1547</v>
      </c>
      <c r="U687" s="12" t="str">
        <f t="shared" si="43"/>
        <v>Corrected</v>
      </c>
      <c r="V687" s="12" t="str">
        <f t="shared" si="40"/>
        <v>GUAN Jialin</v>
      </c>
      <c r="W687" s="13">
        <f t="shared" si="41"/>
        <v>44595</v>
      </c>
    </row>
    <row r="688" spans="1:23" x14ac:dyDescent="0.3">
      <c r="A688" s="28">
        <v>44595</v>
      </c>
      <c r="B688" s="12" t="s">
        <v>2842</v>
      </c>
      <c r="C688" s="12" t="s">
        <v>1687</v>
      </c>
      <c r="D688" s="5"/>
      <c r="E688" s="12">
        <v>626</v>
      </c>
      <c r="F688" s="11" t="s">
        <v>1347</v>
      </c>
      <c r="G688" s="12" t="s">
        <v>1</v>
      </c>
      <c r="H688" s="12" t="s">
        <v>9</v>
      </c>
      <c r="I688" s="11" t="s">
        <v>2843</v>
      </c>
      <c r="J688" s="12" t="s">
        <v>1545</v>
      </c>
      <c r="K688" s="12" t="str">
        <f t="shared" si="42"/>
        <v>Closed</v>
      </c>
      <c r="L688" s="13">
        <v>44595</v>
      </c>
      <c r="M688" s="12" t="s">
        <v>1346</v>
      </c>
      <c r="N688" s="12" t="s">
        <v>4429</v>
      </c>
      <c r="O688" s="12" t="s">
        <v>3439</v>
      </c>
      <c r="P688" s="12" t="s">
        <v>3790</v>
      </c>
      <c r="Q688" s="12"/>
      <c r="R688" s="12"/>
      <c r="S688" s="12"/>
      <c r="T688" s="13" t="s">
        <v>1547</v>
      </c>
      <c r="U688" s="12" t="str">
        <f t="shared" si="43"/>
        <v>Corrected</v>
      </c>
      <c r="V688" s="12" t="str">
        <f t="shared" si="40"/>
        <v>KHAN Jahan</v>
      </c>
      <c r="W688" s="13">
        <f t="shared" si="41"/>
        <v>44595</v>
      </c>
    </row>
    <row r="689" spans="1:23" ht="14.4" customHeight="1" x14ac:dyDescent="0.3">
      <c r="A689" s="28">
        <v>44593</v>
      </c>
      <c r="B689" s="12" t="s">
        <v>2844</v>
      </c>
      <c r="C689" s="12" t="s">
        <v>1542</v>
      </c>
      <c r="D689" s="5" t="s">
        <v>2845</v>
      </c>
      <c r="E689" s="12">
        <v>608</v>
      </c>
      <c r="F689" s="11" t="s">
        <v>2846</v>
      </c>
      <c r="G689" s="12" t="s">
        <v>7</v>
      </c>
      <c r="H689" s="12" t="s">
        <v>11</v>
      </c>
      <c r="I689" s="11" t="s">
        <v>3619</v>
      </c>
      <c r="J689" s="12" t="s">
        <v>1609</v>
      </c>
      <c r="K689" s="12" t="str">
        <f t="shared" si="42"/>
        <v>Open</v>
      </c>
      <c r="L689" s="13"/>
      <c r="M689" s="12"/>
      <c r="N689" s="12" t="s">
        <v>4429</v>
      </c>
      <c r="O689" s="12"/>
      <c r="P689" s="12" t="s">
        <v>3790</v>
      </c>
      <c r="Q689" s="12"/>
      <c r="R689" s="12" t="s">
        <v>3566</v>
      </c>
      <c r="S689" s="12" t="s">
        <v>3</v>
      </c>
      <c r="T689" s="13" t="s">
        <v>1547</v>
      </c>
      <c r="U689" s="12" t="str">
        <f t="shared" si="43"/>
        <v>CM Open</v>
      </c>
      <c r="V689" s="12" t="str">
        <f t="shared" si="40"/>
        <v>SUKIMAN Zamhuri</v>
      </c>
      <c r="W689" s="13" t="str">
        <f t="shared" si="41"/>
        <v/>
      </c>
    </row>
    <row r="690" spans="1:23" ht="14.4" customHeight="1" x14ac:dyDescent="0.3">
      <c r="A690" s="28">
        <v>44593</v>
      </c>
      <c r="B690" s="12" t="s">
        <v>2856</v>
      </c>
      <c r="C690" s="12" t="s">
        <v>1542</v>
      </c>
      <c r="D690" s="5" t="s">
        <v>2857</v>
      </c>
      <c r="E690" s="12">
        <v>415</v>
      </c>
      <c r="F690" s="11" t="s">
        <v>4313</v>
      </c>
      <c r="G690" s="12" t="s">
        <v>7</v>
      </c>
      <c r="H690" s="12" t="s">
        <v>11</v>
      </c>
      <c r="I690" s="11"/>
      <c r="J690" s="12" t="s">
        <v>1545</v>
      </c>
      <c r="K690" s="12" t="str">
        <f t="shared" si="42"/>
        <v>Closed</v>
      </c>
      <c r="L690" s="13">
        <v>44697</v>
      </c>
      <c r="M690" s="12"/>
      <c r="N690" s="12"/>
      <c r="O690" s="12"/>
      <c r="P690" s="12" t="s">
        <v>3790</v>
      </c>
      <c r="Q690" s="12"/>
      <c r="R690" s="12" t="s">
        <v>1546</v>
      </c>
      <c r="S690" s="12" t="s">
        <v>4381</v>
      </c>
      <c r="T690" s="13" t="s">
        <v>1547</v>
      </c>
      <c r="U690" s="12" t="str">
        <f t="shared" si="43"/>
        <v>Corrected</v>
      </c>
      <c r="V690" s="12" t="str">
        <f t="shared" si="40"/>
        <v>FIRDUS Ahmad</v>
      </c>
      <c r="W690" s="13">
        <f>IF(OR(J690="Corrected",J690="NFF"),L690, IF(AND(J690="Corrective Action Required",R690="Corrected"),T690,""))</f>
        <v>44697</v>
      </c>
    </row>
    <row r="691" spans="1:23" ht="14.4" customHeight="1" x14ac:dyDescent="0.3">
      <c r="A691" s="28">
        <v>44593</v>
      </c>
      <c r="B691" s="12" t="s">
        <v>2858</v>
      </c>
      <c r="C691" s="12" t="s">
        <v>1542</v>
      </c>
      <c r="D691" s="5" t="s">
        <v>2859</v>
      </c>
      <c r="E691" s="12">
        <v>416</v>
      </c>
      <c r="F691" s="11" t="s">
        <v>2860</v>
      </c>
      <c r="G691" s="12" t="s">
        <v>7</v>
      </c>
      <c r="H691" s="12" t="s">
        <v>19</v>
      </c>
      <c r="I691" s="11" t="s">
        <v>2861</v>
      </c>
      <c r="J691" s="12" t="s">
        <v>1609</v>
      </c>
      <c r="K691" s="12" t="str">
        <f t="shared" si="42"/>
        <v>Open</v>
      </c>
      <c r="L691" s="13"/>
      <c r="M691" s="12"/>
      <c r="N691" s="12" t="s">
        <v>1652</v>
      </c>
      <c r="O691" s="12"/>
      <c r="P691" s="12" t="s">
        <v>3790</v>
      </c>
      <c r="Q691" s="12"/>
      <c r="R691" s="12" t="s">
        <v>5</v>
      </c>
      <c r="S691" s="12" t="s">
        <v>3</v>
      </c>
      <c r="T691" s="12"/>
      <c r="U691" s="12" t="str">
        <f t="shared" si="43"/>
        <v>No Material</v>
      </c>
      <c r="V691" s="12" t="str">
        <f t="shared" si="40"/>
        <v>SUKIMAN Zamhuri</v>
      </c>
      <c r="W691" s="13" t="str">
        <f t="shared" si="41"/>
        <v/>
      </c>
    </row>
    <row r="692" spans="1:23" ht="14.4" customHeight="1" x14ac:dyDescent="0.3">
      <c r="A692" s="28">
        <v>44593</v>
      </c>
      <c r="B692" s="12" t="s">
        <v>2862</v>
      </c>
      <c r="C692" s="12" t="s">
        <v>1542</v>
      </c>
      <c r="D692" s="5" t="s">
        <v>2859</v>
      </c>
      <c r="E692" s="12">
        <v>416</v>
      </c>
      <c r="F692" s="14" t="s">
        <v>4314</v>
      </c>
      <c r="G692" s="12" t="s">
        <v>7</v>
      </c>
      <c r="H692" s="12" t="s">
        <v>19</v>
      </c>
      <c r="I692" s="11"/>
      <c r="J692" s="12" t="s">
        <v>1640</v>
      </c>
      <c r="K692" s="12" t="str">
        <f t="shared" si="42"/>
        <v>Open</v>
      </c>
      <c r="L692" s="13"/>
      <c r="M692" s="12"/>
      <c r="N692" s="12" t="s">
        <v>2638</v>
      </c>
      <c r="O692" s="12"/>
      <c r="P692" s="12" t="s">
        <v>3790</v>
      </c>
      <c r="Q692" s="12"/>
      <c r="R692" s="12"/>
      <c r="S692" s="12"/>
      <c r="T692" s="12"/>
      <c r="U692" s="12" t="str">
        <f t="shared" si="43"/>
        <v>Under Investigation</v>
      </c>
      <c r="V692" s="12" t="str">
        <f t="shared" si="40"/>
        <v>DAOUDI Mohamed</v>
      </c>
      <c r="W692" s="13" t="str">
        <f t="shared" si="41"/>
        <v/>
      </c>
    </row>
    <row r="693" spans="1:23" ht="28.8" customHeight="1" x14ac:dyDescent="0.3">
      <c r="A693" s="28">
        <v>44593</v>
      </c>
      <c r="B693" s="12" t="s">
        <v>2863</v>
      </c>
      <c r="C693" s="12" t="s">
        <v>1542</v>
      </c>
      <c r="D693" s="5" t="s">
        <v>2864</v>
      </c>
      <c r="E693" s="12">
        <v>606</v>
      </c>
      <c r="F693" s="11" t="s">
        <v>2865</v>
      </c>
      <c r="G693" s="12" t="s">
        <v>7</v>
      </c>
      <c r="H693" s="12" t="s">
        <v>9</v>
      </c>
      <c r="I693" s="11"/>
      <c r="J693" s="12" t="s">
        <v>1574</v>
      </c>
      <c r="K693" s="12" t="str">
        <f t="shared" si="42"/>
        <v>Closed</v>
      </c>
      <c r="L693" s="13">
        <v>44620</v>
      </c>
      <c r="M693" s="12"/>
      <c r="N693" s="12"/>
      <c r="O693" s="12"/>
      <c r="P693" s="12" t="s">
        <v>3790</v>
      </c>
      <c r="Q693" s="12"/>
      <c r="R693" s="12"/>
      <c r="S693" s="12"/>
      <c r="T693" s="12"/>
      <c r="U693" s="12" t="str">
        <f t="shared" si="43"/>
        <v>NFF</v>
      </c>
      <c r="V693" s="12" t="str">
        <f t="shared" si="40"/>
        <v>KHAN Jahan</v>
      </c>
      <c r="W693" s="13">
        <f t="shared" si="41"/>
        <v>44620</v>
      </c>
    </row>
    <row r="694" spans="1:23" ht="14.4" customHeight="1" x14ac:dyDescent="0.3">
      <c r="A694" s="28">
        <v>44593</v>
      </c>
      <c r="B694" s="12" t="s">
        <v>2866</v>
      </c>
      <c r="C694" s="12" t="s">
        <v>1690</v>
      </c>
      <c r="D694" s="5"/>
      <c r="E694" s="12">
        <v>608</v>
      </c>
      <c r="F694" s="14" t="s">
        <v>4315</v>
      </c>
      <c r="G694" s="12" t="s">
        <v>7</v>
      </c>
      <c r="H694" s="12" t="s">
        <v>18</v>
      </c>
      <c r="I694" s="11" t="s">
        <v>2867</v>
      </c>
      <c r="J694" s="12" t="s">
        <v>1574</v>
      </c>
      <c r="K694" s="12" t="str">
        <f t="shared" si="42"/>
        <v>Closed</v>
      </c>
      <c r="L694" s="13">
        <v>44619</v>
      </c>
      <c r="M694" s="12"/>
      <c r="N694" s="12"/>
      <c r="O694" s="12"/>
      <c r="P694" s="12" t="s">
        <v>3790</v>
      </c>
      <c r="Q694" s="12"/>
      <c r="R694" s="12"/>
      <c r="S694" s="12"/>
      <c r="T694" s="13" t="s">
        <v>1547</v>
      </c>
      <c r="U694" s="12" t="str">
        <f t="shared" si="43"/>
        <v>NFF</v>
      </c>
      <c r="V694" s="12" t="str">
        <f t="shared" si="40"/>
        <v>BENAYED Elie</v>
      </c>
      <c r="W694" s="13">
        <f t="shared" si="41"/>
        <v>44619</v>
      </c>
    </row>
    <row r="695" spans="1:23" ht="14.4" customHeight="1" x14ac:dyDescent="0.3">
      <c r="A695" s="28">
        <v>44598</v>
      </c>
      <c r="B695" s="12" t="s">
        <v>2891</v>
      </c>
      <c r="C695" s="12" t="s">
        <v>1542</v>
      </c>
      <c r="D695" s="5" t="s">
        <v>2892</v>
      </c>
      <c r="E695" s="12">
        <v>610</v>
      </c>
      <c r="F695" s="11" t="s">
        <v>2893</v>
      </c>
      <c r="G695" s="12" t="s">
        <v>7</v>
      </c>
      <c r="H695" s="12" t="s">
        <v>9</v>
      </c>
      <c r="I695" s="11"/>
      <c r="J695" s="12" t="s">
        <v>1609</v>
      </c>
      <c r="K695" s="12" t="str">
        <f t="shared" si="42"/>
        <v>Open</v>
      </c>
      <c r="L695" s="13"/>
      <c r="M695" s="12"/>
      <c r="N695" s="12"/>
      <c r="O695" s="12"/>
      <c r="P695" s="12" t="s">
        <v>3790</v>
      </c>
      <c r="Q695" s="12"/>
      <c r="R695" s="12" t="s">
        <v>5</v>
      </c>
      <c r="S695" s="12" t="s">
        <v>3</v>
      </c>
      <c r="T695" s="12"/>
      <c r="U695" s="12" t="str">
        <f t="shared" si="43"/>
        <v>No Material</v>
      </c>
      <c r="V695" s="12" t="str">
        <f t="shared" si="40"/>
        <v>SUKIMAN Zamhuri</v>
      </c>
      <c r="W695" s="13" t="str">
        <f t="shared" si="41"/>
        <v/>
      </c>
    </row>
    <row r="696" spans="1:23" ht="14.55" customHeight="1" x14ac:dyDescent="0.3">
      <c r="A696" s="28">
        <v>44598</v>
      </c>
      <c r="B696" s="12" t="s">
        <v>2894</v>
      </c>
      <c r="C696" s="12" t="s">
        <v>1542</v>
      </c>
      <c r="D696" s="5" t="s">
        <v>2895</v>
      </c>
      <c r="E696" s="12">
        <v>618</v>
      </c>
      <c r="F696" s="11" t="s">
        <v>2896</v>
      </c>
      <c r="G696" s="12" t="s">
        <v>7</v>
      </c>
      <c r="H696" s="12" t="s">
        <v>11</v>
      </c>
      <c r="I696" s="11"/>
      <c r="J696" s="12" t="s">
        <v>1609</v>
      </c>
      <c r="K696" s="12" t="str">
        <f t="shared" si="42"/>
        <v>Open</v>
      </c>
      <c r="L696" s="13"/>
      <c r="M696" s="12" t="s">
        <v>2897</v>
      </c>
      <c r="N696" s="12"/>
      <c r="O696" s="12"/>
      <c r="P696" s="12" t="s">
        <v>3790</v>
      </c>
      <c r="Q696" s="12"/>
      <c r="R696" s="12" t="s">
        <v>5</v>
      </c>
      <c r="S696" s="12" t="s">
        <v>3</v>
      </c>
      <c r="T696" s="13" t="s">
        <v>1547</v>
      </c>
      <c r="U696" s="12" t="str">
        <f t="shared" si="43"/>
        <v>No Material</v>
      </c>
      <c r="V696" s="12" t="str">
        <f t="shared" si="40"/>
        <v>SUKIMAN Zamhuri</v>
      </c>
      <c r="W696" s="13" t="str">
        <f>IF(OR(J696="Corrected",J696="NFF"),L696, IF(AND(J696="Corrective Action Required",R696="Corrected"),T696,""))</f>
        <v/>
      </c>
    </row>
    <row r="697" spans="1:23" ht="14.4" customHeight="1" x14ac:dyDescent="0.3">
      <c r="A697" s="28">
        <v>44598</v>
      </c>
      <c r="B697" s="12" t="s">
        <v>2898</v>
      </c>
      <c r="C697" s="12" t="s">
        <v>1542</v>
      </c>
      <c r="D697" s="5" t="s">
        <v>2899</v>
      </c>
      <c r="E697" s="12">
        <v>414</v>
      </c>
      <c r="F697" s="11" t="s">
        <v>2900</v>
      </c>
      <c r="G697" s="12" t="s">
        <v>7</v>
      </c>
      <c r="H697" s="12" t="s">
        <v>19</v>
      </c>
      <c r="I697" s="11"/>
      <c r="J697" s="12" t="s">
        <v>1640</v>
      </c>
      <c r="K697" s="12" t="str">
        <f t="shared" si="42"/>
        <v>Open</v>
      </c>
      <c r="L697" s="13"/>
      <c r="M697" s="12"/>
      <c r="N697" s="12" t="s">
        <v>2638</v>
      </c>
      <c r="O697" s="12"/>
      <c r="P697" s="12" t="s">
        <v>3790</v>
      </c>
      <c r="Q697" s="12"/>
      <c r="R697" s="12"/>
      <c r="S697" s="12"/>
      <c r="T697" s="13" t="s">
        <v>1547</v>
      </c>
      <c r="U697" s="12" t="str">
        <f t="shared" si="43"/>
        <v>Under Investigation</v>
      </c>
      <c r="V697" s="12" t="str">
        <f t="shared" si="40"/>
        <v>DAOUDI Mohamed</v>
      </c>
      <c r="W697" s="13" t="str">
        <f t="shared" si="41"/>
        <v/>
      </c>
    </row>
    <row r="698" spans="1:23" ht="14.4" customHeight="1" x14ac:dyDescent="0.3">
      <c r="A698" s="28">
        <v>44598</v>
      </c>
      <c r="B698" s="12" t="s">
        <v>2901</v>
      </c>
      <c r="C698" s="12" t="s">
        <v>1542</v>
      </c>
      <c r="D698" s="5" t="s">
        <v>2899</v>
      </c>
      <c r="E698" s="12">
        <v>414</v>
      </c>
      <c r="F698" s="11" t="s">
        <v>2902</v>
      </c>
      <c r="G698" s="12" t="s">
        <v>7</v>
      </c>
      <c r="H698" s="12" t="s">
        <v>19</v>
      </c>
      <c r="I698" s="11" t="s">
        <v>3451</v>
      </c>
      <c r="J698" s="12" t="s">
        <v>1574</v>
      </c>
      <c r="K698" s="12" t="str">
        <f t="shared" si="42"/>
        <v>Closed</v>
      </c>
      <c r="L698" s="13">
        <v>44635</v>
      </c>
      <c r="M698" s="12"/>
      <c r="N698" s="12"/>
      <c r="O698" s="12"/>
      <c r="P698" s="12" t="s">
        <v>3790</v>
      </c>
      <c r="Q698" s="12"/>
      <c r="R698" s="12"/>
      <c r="S698" s="12"/>
      <c r="T698" s="13" t="s">
        <v>1547</v>
      </c>
      <c r="U698" s="12" t="str">
        <f t="shared" si="43"/>
        <v>NFF</v>
      </c>
      <c r="V698" s="12" t="str">
        <f t="shared" si="40"/>
        <v>DAOUDI Mohamed</v>
      </c>
      <c r="W698" s="13">
        <f t="shared" si="41"/>
        <v>44635</v>
      </c>
    </row>
    <row r="699" spans="1:23" ht="14.4" customHeight="1" x14ac:dyDescent="0.3">
      <c r="A699" s="28">
        <v>44598</v>
      </c>
      <c r="B699" s="12" t="s">
        <v>2903</v>
      </c>
      <c r="C699" s="12" t="s">
        <v>1542</v>
      </c>
      <c r="D699" s="5" t="s">
        <v>2899</v>
      </c>
      <c r="E699" s="12">
        <v>414</v>
      </c>
      <c r="F699" s="11" t="s">
        <v>2904</v>
      </c>
      <c r="G699" s="12" t="s">
        <v>7</v>
      </c>
      <c r="H699" s="12" t="s">
        <v>17</v>
      </c>
      <c r="I699" s="11" t="s">
        <v>3567</v>
      </c>
      <c r="J699" s="12" t="s">
        <v>1609</v>
      </c>
      <c r="K699" s="12" t="str">
        <f t="shared" si="42"/>
        <v>Open</v>
      </c>
      <c r="L699" s="13">
        <v>44648</v>
      </c>
      <c r="M699" s="12"/>
      <c r="N699" s="12" t="s">
        <v>2707</v>
      </c>
      <c r="O699" s="12" t="s">
        <v>1675</v>
      </c>
      <c r="P699" s="12" t="s">
        <v>3790</v>
      </c>
      <c r="Q699" s="12"/>
      <c r="R699" s="12" t="s">
        <v>5</v>
      </c>
      <c r="S699" s="12" t="s">
        <v>3</v>
      </c>
      <c r="T699" s="12"/>
      <c r="U699" s="12" t="str">
        <f t="shared" si="43"/>
        <v>No Material</v>
      </c>
      <c r="V699" s="12" t="str">
        <f t="shared" si="40"/>
        <v>SUKIMAN Zamhuri</v>
      </c>
      <c r="W699" s="13" t="str">
        <f t="shared" si="41"/>
        <v/>
      </c>
    </row>
    <row r="700" spans="1:23" ht="14.4" customHeight="1" x14ac:dyDescent="0.3">
      <c r="A700" s="28">
        <v>44598</v>
      </c>
      <c r="B700" s="12" t="s">
        <v>2905</v>
      </c>
      <c r="C700" s="12" t="s">
        <v>1542</v>
      </c>
      <c r="D700" s="5" t="s">
        <v>2845</v>
      </c>
      <c r="E700" s="12">
        <v>608</v>
      </c>
      <c r="F700" s="11" t="s">
        <v>2906</v>
      </c>
      <c r="G700" s="12" t="s">
        <v>7</v>
      </c>
      <c r="H700" s="12" t="s">
        <v>9</v>
      </c>
      <c r="I700" s="11"/>
      <c r="J700" s="12" t="s">
        <v>1574</v>
      </c>
      <c r="K700" s="12" t="str">
        <f t="shared" si="42"/>
        <v>Closed</v>
      </c>
      <c r="L700" s="13">
        <v>44616</v>
      </c>
      <c r="M700" s="12"/>
      <c r="N700" s="12"/>
      <c r="O700" s="12"/>
      <c r="P700" s="12" t="s">
        <v>3790</v>
      </c>
      <c r="Q700" s="12"/>
      <c r="R700" s="12"/>
      <c r="S700" s="12"/>
      <c r="T700" s="12"/>
      <c r="U700" s="12" t="str">
        <f t="shared" si="43"/>
        <v>NFF</v>
      </c>
      <c r="V700" s="12" t="str">
        <f t="shared" si="40"/>
        <v>KHAN Jahan</v>
      </c>
      <c r="W700" s="13">
        <f t="shared" si="41"/>
        <v>44616</v>
      </c>
    </row>
    <row r="701" spans="1:23" x14ac:dyDescent="0.3">
      <c r="A701" s="28">
        <v>44598</v>
      </c>
      <c r="B701" s="12" t="s">
        <v>2907</v>
      </c>
      <c r="C701" s="12" t="s">
        <v>1542</v>
      </c>
      <c r="D701" s="5" t="s">
        <v>2908</v>
      </c>
      <c r="E701" s="12">
        <v>411</v>
      </c>
      <c r="F701" s="11" t="s">
        <v>2909</v>
      </c>
      <c r="G701" s="12" t="s">
        <v>7</v>
      </c>
      <c r="H701" s="12" t="s">
        <v>14</v>
      </c>
      <c r="I701" s="11"/>
      <c r="J701" s="12" t="s">
        <v>1574</v>
      </c>
      <c r="K701" s="12" t="str">
        <f t="shared" si="42"/>
        <v>Closed</v>
      </c>
      <c r="L701" s="13">
        <v>44620</v>
      </c>
      <c r="M701" s="12"/>
      <c r="N701" s="12"/>
      <c r="O701" s="12"/>
      <c r="P701" s="12" t="s">
        <v>3790</v>
      </c>
      <c r="Q701" s="12"/>
      <c r="R701" s="12"/>
      <c r="S701" s="12"/>
      <c r="T701" s="12"/>
      <c r="U701" s="12" t="str">
        <f t="shared" si="43"/>
        <v>NFF</v>
      </c>
      <c r="V701" s="12" t="str">
        <f t="shared" si="40"/>
        <v>GUAN Jialin</v>
      </c>
      <c r="W701" s="13">
        <f t="shared" si="41"/>
        <v>44620</v>
      </c>
    </row>
    <row r="702" spans="1:23" ht="14.4" customHeight="1" x14ac:dyDescent="0.3">
      <c r="A702" s="28">
        <v>44599</v>
      </c>
      <c r="B702" s="12" t="s">
        <v>2910</v>
      </c>
      <c r="C702" s="12" t="s">
        <v>1542</v>
      </c>
      <c r="D702" s="5" t="s">
        <v>2911</v>
      </c>
      <c r="E702" s="12">
        <v>408</v>
      </c>
      <c r="F702" s="11" t="s">
        <v>2912</v>
      </c>
      <c r="G702" s="12" t="s">
        <v>7</v>
      </c>
      <c r="H702" s="12" t="s">
        <v>14</v>
      </c>
      <c r="I702" s="11"/>
      <c r="J702" s="12" t="s">
        <v>1574</v>
      </c>
      <c r="K702" s="12" t="str">
        <f t="shared" si="42"/>
        <v>Closed</v>
      </c>
      <c r="L702" s="13">
        <v>44620</v>
      </c>
      <c r="M702" s="12"/>
      <c r="N702" s="12"/>
      <c r="O702" s="12"/>
      <c r="P702" s="12" t="s">
        <v>3790</v>
      </c>
      <c r="Q702" s="12"/>
      <c r="R702" s="12"/>
      <c r="S702" s="12"/>
      <c r="T702" s="12"/>
      <c r="U702" s="12" t="str">
        <f t="shared" si="43"/>
        <v>NFF</v>
      </c>
      <c r="V702" s="12" t="str">
        <f t="shared" si="40"/>
        <v>GUAN Jialin</v>
      </c>
      <c r="W702" s="13">
        <f t="shared" si="41"/>
        <v>44620</v>
      </c>
    </row>
    <row r="703" spans="1:23" ht="14.4" customHeight="1" x14ac:dyDescent="0.3">
      <c r="A703" s="28">
        <v>44599</v>
      </c>
      <c r="B703" s="12" t="s">
        <v>2913</v>
      </c>
      <c r="C703" s="12" t="s">
        <v>1542</v>
      </c>
      <c r="D703" s="5" t="s">
        <v>2911</v>
      </c>
      <c r="E703" s="12">
        <v>408</v>
      </c>
      <c r="F703" s="11" t="s">
        <v>2914</v>
      </c>
      <c r="G703" s="12" t="s">
        <v>7</v>
      </c>
      <c r="H703" s="12" t="s">
        <v>9</v>
      </c>
      <c r="I703" s="11"/>
      <c r="J703" s="12" t="s">
        <v>1609</v>
      </c>
      <c r="K703" s="12" t="str">
        <f t="shared" si="42"/>
        <v>Open</v>
      </c>
      <c r="L703" s="13"/>
      <c r="M703" s="12" t="s">
        <v>1069</v>
      </c>
      <c r="N703" s="12"/>
      <c r="O703" s="12"/>
      <c r="P703" s="12" t="s">
        <v>3790</v>
      </c>
      <c r="Q703" s="12"/>
      <c r="R703" s="12" t="s">
        <v>5</v>
      </c>
      <c r="S703" s="12" t="s">
        <v>3</v>
      </c>
      <c r="T703" s="12"/>
      <c r="U703" s="12" t="str">
        <f t="shared" si="43"/>
        <v>No Material</v>
      </c>
      <c r="V703" s="12" t="str">
        <f t="shared" ref="V703:V766" si="44">IF(AND(J703="Corrective Action Required",R703="Corrected"),S703, IF(AND(J703="Corrective Action Required",R703&lt;&gt;"Corrected"),S703,H703))</f>
        <v>SUKIMAN Zamhuri</v>
      </c>
      <c r="W703" s="13" t="str">
        <f t="shared" ref="W703:W766" si="45">IF(OR(J703="Corrected",J703="NFF"),L703, IF(AND(J703="Corrective Action Required",R703="Corrected"),T703,""))</f>
        <v/>
      </c>
    </row>
    <row r="704" spans="1:23" ht="14.4" customHeight="1" x14ac:dyDescent="0.3">
      <c r="A704" s="28">
        <v>44599</v>
      </c>
      <c r="B704" s="12" t="s">
        <v>2915</v>
      </c>
      <c r="C704" s="12" t="s">
        <v>1542</v>
      </c>
      <c r="D704" s="5" t="s">
        <v>2916</v>
      </c>
      <c r="E704" s="12">
        <v>404</v>
      </c>
      <c r="F704" s="11" t="s">
        <v>2917</v>
      </c>
      <c r="G704" s="12" t="s">
        <v>7</v>
      </c>
      <c r="H704" s="12" t="s">
        <v>14</v>
      </c>
      <c r="I704" s="11" t="s">
        <v>2918</v>
      </c>
      <c r="J704" s="12" t="s">
        <v>1574</v>
      </c>
      <c r="K704" s="12" t="str">
        <f t="shared" ref="K704:K767" si="46">IF(J704="Corrected","Closed",IF(J704="NFF","Closed","Open"))</f>
        <v>Closed</v>
      </c>
      <c r="L704" s="13">
        <v>44609</v>
      </c>
      <c r="M704" s="12"/>
      <c r="N704" s="12"/>
      <c r="O704" s="12"/>
      <c r="P704" s="12" t="s">
        <v>3790</v>
      </c>
      <c r="Q704" s="12"/>
      <c r="R704" s="12"/>
      <c r="S704" s="12"/>
      <c r="T704" s="12"/>
      <c r="U704" s="12" t="str">
        <f t="shared" si="43"/>
        <v>NFF</v>
      </c>
      <c r="V704" s="12" t="str">
        <f t="shared" si="44"/>
        <v>GUAN Jialin</v>
      </c>
      <c r="W704" s="13">
        <f t="shared" si="45"/>
        <v>44609</v>
      </c>
    </row>
    <row r="705" spans="1:23" ht="14.4" customHeight="1" x14ac:dyDescent="0.3">
      <c r="A705" s="28">
        <v>44599</v>
      </c>
      <c r="B705" s="12" t="s">
        <v>2919</v>
      </c>
      <c r="C705" s="12" t="s">
        <v>1542</v>
      </c>
      <c r="D705" s="5" t="s">
        <v>2899</v>
      </c>
      <c r="E705" s="12">
        <v>404</v>
      </c>
      <c r="F705" s="11" t="s">
        <v>2920</v>
      </c>
      <c r="G705" s="12" t="s">
        <v>7</v>
      </c>
      <c r="H705" s="12" t="s">
        <v>19</v>
      </c>
      <c r="I705" s="11"/>
      <c r="J705" s="12" t="s">
        <v>1640</v>
      </c>
      <c r="K705" s="12" t="str">
        <f t="shared" si="46"/>
        <v>Open</v>
      </c>
      <c r="L705" s="13"/>
      <c r="M705" s="12"/>
      <c r="N705" s="12" t="s">
        <v>2638</v>
      </c>
      <c r="O705" s="12"/>
      <c r="P705" s="12" t="s">
        <v>3790</v>
      </c>
      <c r="Q705" s="12"/>
      <c r="R705" s="12"/>
      <c r="S705" s="12"/>
      <c r="T705" s="12"/>
      <c r="U705" s="12" t="str">
        <f t="shared" si="43"/>
        <v>Under Investigation</v>
      </c>
      <c r="V705" s="12" t="str">
        <f t="shared" si="44"/>
        <v>DAOUDI Mohamed</v>
      </c>
      <c r="W705" s="13" t="str">
        <f t="shared" si="45"/>
        <v/>
      </c>
    </row>
    <row r="706" spans="1:23" ht="14.4" customHeight="1" x14ac:dyDescent="0.3">
      <c r="A706" s="28">
        <v>44599</v>
      </c>
      <c r="B706" s="12" t="s">
        <v>2921</v>
      </c>
      <c r="C706" s="12" t="s">
        <v>1542</v>
      </c>
      <c r="D706" s="5" t="s">
        <v>2922</v>
      </c>
      <c r="E706" s="12">
        <v>612</v>
      </c>
      <c r="F706" s="11" t="s">
        <v>2923</v>
      </c>
      <c r="G706" s="12" t="s">
        <v>7</v>
      </c>
      <c r="H706" s="12" t="s">
        <v>9</v>
      </c>
      <c r="I706" s="11"/>
      <c r="J706" s="12" t="s">
        <v>1574</v>
      </c>
      <c r="K706" s="12" t="str">
        <f t="shared" si="46"/>
        <v>Closed</v>
      </c>
      <c r="L706" s="13">
        <v>44662</v>
      </c>
      <c r="M706" s="12"/>
      <c r="N706" s="12"/>
      <c r="O706" s="12"/>
      <c r="P706" s="12" t="s">
        <v>3790</v>
      </c>
      <c r="Q706" s="12"/>
      <c r="R706" s="12"/>
      <c r="S706" s="12"/>
      <c r="T706" s="12"/>
      <c r="U706" s="12" t="str">
        <f t="shared" si="43"/>
        <v>NFF</v>
      </c>
      <c r="V706" s="12" t="str">
        <f t="shared" si="44"/>
        <v>KHAN Jahan</v>
      </c>
      <c r="W706" s="13">
        <f t="shared" si="45"/>
        <v>44662</v>
      </c>
    </row>
    <row r="707" spans="1:23" ht="14.4" customHeight="1" x14ac:dyDescent="0.3">
      <c r="A707" s="28">
        <v>44599</v>
      </c>
      <c r="B707" s="12" t="s">
        <v>2924</v>
      </c>
      <c r="C707" s="12" t="s">
        <v>1687</v>
      </c>
      <c r="D707" s="5"/>
      <c r="E707" s="12">
        <v>613</v>
      </c>
      <c r="F707" s="11" t="s">
        <v>2742</v>
      </c>
      <c r="G707" s="12" t="s">
        <v>1</v>
      </c>
      <c r="H707" s="12" t="s">
        <v>19</v>
      </c>
      <c r="I707" s="11" t="s">
        <v>2925</v>
      </c>
      <c r="J707" s="12" t="s">
        <v>1574</v>
      </c>
      <c r="K707" s="12" t="str">
        <f t="shared" si="46"/>
        <v>Closed</v>
      </c>
      <c r="L707" s="13">
        <v>44600</v>
      </c>
      <c r="M707" s="12"/>
      <c r="N707" s="12"/>
      <c r="O707" s="12"/>
      <c r="P707" s="12" t="s">
        <v>3790</v>
      </c>
      <c r="Q707" s="12"/>
      <c r="R707" s="12"/>
      <c r="S707" s="12"/>
      <c r="T707" s="12"/>
      <c r="U707" s="12" t="str">
        <f t="shared" ref="U707:U770" si="47">IF(AND(J707="Corrective Action Required",R707="Corrected"),"Corrected", IF(AND(J707="Corrective Action Required",R707&lt;&gt;"Corrected"),R707,J707))</f>
        <v>NFF</v>
      </c>
      <c r="V707" s="12" t="str">
        <f t="shared" si="44"/>
        <v>DAOUDI Mohamed</v>
      </c>
      <c r="W707" s="13">
        <f t="shared" si="45"/>
        <v>44600</v>
      </c>
    </row>
    <row r="708" spans="1:23" ht="14.4" customHeight="1" x14ac:dyDescent="0.3">
      <c r="A708" s="28">
        <v>44599</v>
      </c>
      <c r="B708" s="12" t="s">
        <v>2926</v>
      </c>
      <c r="C708" s="12" t="s">
        <v>1690</v>
      </c>
      <c r="D708" s="5"/>
      <c r="E708" s="12">
        <v>417</v>
      </c>
      <c r="F708" s="11" t="s">
        <v>2927</v>
      </c>
      <c r="G708" s="12" t="s">
        <v>1</v>
      </c>
      <c r="H708" s="12" t="s">
        <v>19</v>
      </c>
      <c r="I708" s="11" t="s">
        <v>2929</v>
      </c>
      <c r="J708" s="12" t="s">
        <v>1574</v>
      </c>
      <c r="K708" s="12" t="str">
        <f t="shared" si="46"/>
        <v>Closed</v>
      </c>
      <c r="L708" s="13">
        <v>44599</v>
      </c>
      <c r="M708" s="12" t="s">
        <v>2928</v>
      </c>
      <c r="N708" s="12"/>
      <c r="O708" s="12"/>
      <c r="P708" s="12" t="s">
        <v>2788</v>
      </c>
      <c r="Q708" s="12"/>
      <c r="R708" s="12"/>
      <c r="S708" s="12"/>
      <c r="T708" s="13" t="s">
        <v>1547</v>
      </c>
      <c r="U708" s="12" t="str">
        <f t="shared" si="47"/>
        <v>NFF</v>
      </c>
      <c r="V708" s="12" t="str">
        <f t="shared" si="44"/>
        <v>DAOUDI Mohamed</v>
      </c>
      <c r="W708" s="13">
        <f t="shared" si="45"/>
        <v>44599</v>
      </c>
    </row>
    <row r="709" spans="1:23" ht="14.4" customHeight="1" x14ac:dyDescent="0.3">
      <c r="A709" s="28">
        <v>44599</v>
      </c>
      <c r="B709" s="12" t="s">
        <v>1358</v>
      </c>
      <c r="C709" s="12" t="s">
        <v>1690</v>
      </c>
      <c r="D709" s="5"/>
      <c r="E709" s="12">
        <v>626</v>
      </c>
      <c r="F709" s="11" t="s">
        <v>2930</v>
      </c>
      <c r="G709" s="12" t="s">
        <v>1</v>
      </c>
      <c r="H709" s="12" t="s">
        <v>14</v>
      </c>
      <c r="I709" s="11" t="s">
        <v>2931</v>
      </c>
      <c r="J709" s="12" t="s">
        <v>1545</v>
      </c>
      <c r="K709" s="12" t="str">
        <f t="shared" si="46"/>
        <v>Closed</v>
      </c>
      <c r="L709" s="13">
        <v>44601</v>
      </c>
      <c r="M709" s="12"/>
      <c r="N709" s="12" t="s">
        <v>2528</v>
      </c>
      <c r="O709" s="12"/>
      <c r="P709" s="12" t="s">
        <v>3790</v>
      </c>
      <c r="Q709" s="12"/>
      <c r="R709" s="12"/>
      <c r="S709" s="12"/>
      <c r="T709" s="12"/>
      <c r="U709" s="12" t="str">
        <f t="shared" si="47"/>
        <v>Corrected</v>
      </c>
      <c r="V709" s="12" t="str">
        <f t="shared" si="44"/>
        <v>GUAN Jialin</v>
      </c>
      <c r="W709" s="13">
        <f t="shared" si="45"/>
        <v>44601</v>
      </c>
    </row>
    <row r="710" spans="1:23" ht="14.4" customHeight="1" x14ac:dyDescent="0.3">
      <c r="A710" s="28">
        <v>44599</v>
      </c>
      <c r="B710" s="12" t="s">
        <v>2932</v>
      </c>
      <c r="C710" s="12" t="s">
        <v>1703</v>
      </c>
      <c r="D710" s="5"/>
      <c r="E710" s="12">
        <v>617</v>
      </c>
      <c r="F710" s="11" t="s">
        <v>2933</v>
      </c>
      <c r="G710" s="12" t="s">
        <v>1</v>
      </c>
      <c r="H710" s="12" t="s">
        <v>9</v>
      </c>
      <c r="I710" s="11"/>
      <c r="J710" s="12" t="s">
        <v>1609</v>
      </c>
      <c r="K710" s="12" t="str">
        <f t="shared" si="46"/>
        <v>Open</v>
      </c>
      <c r="L710" s="13"/>
      <c r="M710" s="12" t="s">
        <v>1484</v>
      </c>
      <c r="N710" s="12"/>
      <c r="O710" s="12"/>
      <c r="P710" s="12" t="s">
        <v>3790</v>
      </c>
      <c r="Q710" s="12"/>
      <c r="R710" s="12" t="s">
        <v>5</v>
      </c>
      <c r="S710" s="12" t="s">
        <v>3</v>
      </c>
      <c r="T710" s="12"/>
      <c r="U710" s="12" t="str">
        <f t="shared" si="47"/>
        <v>No Material</v>
      </c>
      <c r="V710" s="12" t="str">
        <f t="shared" si="44"/>
        <v>SUKIMAN Zamhuri</v>
      </c>
      <c r="W710" s="13" t="str">
        <f t="shared" si="45"/>
        <v/>
      </c>
    </row>
    <row r="711" spans="1:23" ht="14.4" customHeight="1" x14ac:dyDescent="0.3">
      <c r="A711" s="28">
        <v>44599</v>
      </c>
      <c r="B711" s="12" t="s">
        <v>2934</v>
      </c>
      <c r="C711" s="12" t="s">
        <v>1703</v>
      </c>
      <c r="D711" s="5"/>
      <c r="E711" s="12">
        <v>617</v>
      </c>
      <c r="F711" s="11" t="s">
        <v>2935</v>
      </c>
      <c r="G711" s="12" t="s">
        <v>7</v>
      </c>
      <c r="H711" s="12" t="s">
        <v>9</v>
      </c>
      <c r="I711" s="11"/>
      <c r="J711" s="12" t="s">
        <v>1574</v>
      </c>
      <c r="K711" s="12" t="str">
        <f t="shared" si="46"/>
        <v>Closed</v>
      </c>
      <c r="L711" s="13">
        <v>44608</v>
      </c>
      <c r="M711" s="12"/>
      <c r="N711" s="12"/>
      <c r="O711" s="12"/>
      <c r="P711" s="12" t="s">
        <v>3790</v>
      </c>
      <c r="Q711" s="12"/>
      <c r="R711" s="12"/>
      <c r="S711" s="12"/>
      <c r="T711" s="12"/>
      <c r="U711" s="12" t="str">
        <f t="shared" si="47"/>
        <v>NFF</v>
      </c>
      <c r="V711" s="12" t="str">
        <f t="shared" si="44"/>
        <v>KHAN Jahan</v>
      </c>
      <c r="W711" s="13">
        <f t="shared" si="45"/>
        <v>44608</v>
      </c>
    </row>
    <row r="712" spans="1:23" ht="14.4" customHeight="1" x14ac:dyDescent="0.3">
      <c r="A712" s="28">
        <v>44599</v>
      </c>
      <c r="B712" s="12" t="s">
        <v>2936</v>
      </c>
      <c r="C712" s="12" t="s">
        <v>1703</v>
      </c>
      <c r="D712" s="5"/>
      <c r="E712" s="12">
        <v>617</v>
      </c>
      <c r="F712" s="11" t="s">
        <v>2937</v>
      </c>
      <c r="G712" s="12" t="s">
        <v>7</v>
      </c>
      <c r="H712" s="12" t="s">
        <v>9</v>
      </c>
      <c r="I712" s="11"/>
      <c r="J712" s="12" t="s">
        <v>1574</v>
      </c>
      <c r="K712" s="12" t="str">
        <f t="shared" si="46"/>
        <v>Closed</v>
      </c>
      <c r="L712" s="13">
        <v>44608</v>
      </c>
      <c r="M712" s="12"/>
      <c r="N712" s="12"/>
      <c r="O712" s="12"/>
      <c r="P712" s="12" t="s">
        <v>3790</v>
      </c>
      <c r="Q712" s="12"/>
      <c r="R712" s="12"/>
      <c r="S712" s="12"/>
      <c r="T712" s="12"/>
      <c r="U712" s="12" t="str">
        <f t="shared" si="47"/>
        <v>NFF</v>
      </c>
      <c r="V712" s="12" t="str">
        <f t="shared" si="44"/>
        <v>KHAN Jahan</v>
      </c>
      <c r="W712" s="13">
        <f t="shared" si="45"/>
        <v>44608</v>
      </c>
    </row>
    <row r="713" spans="1:23" ht="14.4" customHeight="1" x14ac:dyDescent="0.3">
      <c r="A713" s="28">
        <v>44600</v>
      </c>
      <c r="B713" s="12" t="s">
        <v>2938</v>
      </c>
      <c r="C713" s="12" t="s">
        <v>1542</v>
      </c>
      <c r="D713" s="5" t="s">
        <v>2939</v>
      </c>
      <c r="E713" s="12">
        <v>420</v>
      </c>
      <c r="F713" s="11" t="s">
        <v>1489</v>
      </c>
      <c r="G713" s="12" t="s">
        <v>4</v>
      </c>
      <c r="H713" s="12" t="s">
        <v>9</v>
      </c>
      <c r="I713" s="11"/>
      <c r="J713" s="12" t="s">
        <v>1545</v>
      </c>
      <c r="K713" s="12" t="str">
        <f t="shared" si="46"/>
        <v>Closed</v>
      </c>
      <c r="L713" s="13">
        <v>44607</v>
      </c>
      <c r="M713" s="12" t="s">
        <v>1224</v>
      </c>
      <c r="N713" s="12" t="s">
        <v>1652</v>
      </c>
      <c r="O713" s="12" t="s">
        <v>2463</v>
      </c>
      <c r="P713" s="12" t="s">
        <v>3790</v>
      </c>
      <c r="Q713" s="12"/>
      <c r="R713" s="12"/>
      <c r="S713" s="12"/>
      <c r="T713" s="13" t="s">
        <v>1547</v>
      </c>
      <c r="U713" s="12" t="str">
        <f t="shared" si="47"/>
        <v>Corrected</v>
      </c>
      <c r="V713" s="12" t="str">
        <f t="shared" si="44"/>
        <v>KHAN Jahan</v>
      </c>
      <c r="W713" s="13">
        <f t="shared" si="45"/>
        <v>44607</v>
      </c>
    </row>
    <row r="714" spans="1:23" ht="14.4" customHeight="1" x14ac:dyDescent="0.3">
      <c r="A714" s="28">
        <v>44600</v>
      </c>
      <c r="B714" s="12" t="s">
        <v>2940</v>
      </c>
      <c r="C714" s="12" t="s">
        <v>1542</v>
      </c>
      <c r="D714" s="5" t="s">
        <v>2941</v>
      </c>
      <c r="E714" s="12">
        <v>611</v>
      </c>
      <c r="F714" s="11" t="s">
        <v>1496</v>
      </c>
      <c r="G714" s="12" t="s">
        <v>7</v>
      </c>
      <c r="H714" s="12" t="s">
        <v>9</v>
      </c>
      <c r="I714" s="11"/>
      <c r="J714" s="12" t="s">
        <v>1609</v>
      </c>
      <c r="K714" s="12" t="str">
        <f t="shared" si="46"/>
        <v>Open</v>
      </c>
      <c r="L714" s="13"/>
      <c r="M714" s="12" t="s">
        <v>1495</v>
      </c>
      <c r="N714" s="12"/>
      <c r="O714" s="12"/>
      <c r="P714" s="12" t="s">
        <v>3790</v>
      </c>
      <c r="Q714" s="12"/>
      <c r="R714" s="12" t="s">
        <v>5</v>
      </c>
      <c r="S714" s="12" t="s">
        <v>3</v>
      </c>
      <c r="T714" s="12"/>
      <c r="U714" s="12" t="str">
        <f t="shared" si="47"/>
        <v>No Material</v>
      </c>
      <c r="V714" s="12" t="str">
        <f t="shared" si="44"/>
        <v>SUKIMAN Zamhuri</v>
      </c>
      <c r="W714" s="13" t="str">
        <f t="shared" si="45"/>
        <v/>
      </c>
    </row>
    <row r="715" spans="1:23" ht="14.4" customHeight="1" x14ac:dyDescent="0.3">
      <c r="A715" s="28">
        <v>44600</v>
      </c>
      <c r="B715" s="12" t="s">
        <v>2954</v>
      </c>
      <c r="C715" s="12" t="s">
        <v>1690</v>
      </c>
      <c r="D715" s="5"/>
      <c r="E715" s="12">
        <v>414</v>
      </c>
      <c r="F715" s="11" t="s">
        <v>2955</v>
      </c>
      <c r="G715" s="12" t="s">
        <v>7</v>
      </c>
      <c r="H715" s="12" t="s">
        <v>9</v>
      </c>
      <c r="I715" s="11"/>
      <c r="J715" s="12" t="s">
        <v>1574</v>
      </c>
      <c r="K715" s="12" t="str">
        <f t="shared" si="46"/>
        <v>Closed</v>
      </c>
      <c r="L715" s="13">
        <v>44570</v>
      </c>
      <c r="M715" s="12"/>
      <c r="N715" s="12"/>
      <c r="O715" s="12"/>
      <c r="P715" s="12" t="s">
        <v>3790</v>
      </c>
      <c r="Q715" s="12"/>
      <c r="R715" s="12"/>
      <c r="S715" s="12"/>
      <c r="T715" s="12"/>
      <c r="U715" s="12" t="str">
        <f t="shared" si="47"/>
        <v>NFF</v>
      </c>
      <c r="V715" s="12" t="str">
        <f t="shared" si="44"/>
        <v>KHAN Jahan</v>
      </c>
      <c r="W715" s="13">
        <f t="shared" si="45"/>
        <v>44570</v>
      </c>
    </row>
    <row r="716" spans="1:23" ht="14.4" customHeight="1" x14ac:dyDescent="0.3">
      <c r="A716" s="28">
        <v>44600</v>
      </c>
      <c r="B716" s="12" t="s">
        <v>2956</v>
      </c>
      <c r="C716" s="12" t="s">
        <v>1690</v>
      </c>
      <c r="D716" s="5" t="s">
        <v>1675</v>
      </c>
      <c r="E716" s="12">
        <v>609</v>
      </c>
      <c r="F716" s="11" t="s">
        <v>2957</v>
      </c>
      <c r="G716" s="12" t="s">
        <v>1</v>
      </c>
      <c r="H716" s="12" t="s">
        <v>14</v>
      </c>
      <c r="I716" s="14" t="s">
        <v>4316</v>
      </c>
      <c r="J716" s="12" t="s">
        <v>1545</v>
      </c>
      <c r="K716" s="12" t="str">
        <f t="shared" si="46"/>
        <v>Closed</v>
      </c>
      <c r="L716" s="13">
        <v>44606</v>
      </c>
      <c r="M716" s="12" t="s">
        <v>2958</v>
      </c>
      <c r="N716" s="12" t="s">
        <v>4427</v>
      </c>
      <c r="O716" s="12" t="s">
        <v>3371</v>
      </c>
      <c r="P716" s="12" t="s">
        <v>3790</v>
      </c>
      <c r="Q716" s="12"/>
      <c r="R716" s="12"/>
      <c r="S716" s="12"/>
      <c r="T716" s="12"/>
      <c r="U716" s="12" t="str">
        <f t="shared" si="47"/>
        <v>Corrected</v>
      </c>
      <c r="V716" s="12" t="str">
        <f t="shared" si="44"/>
        <v>GUAN Jialin</v>
      </c>
      <c r="W716" s="13">
        <f t="shared" si="45"/>
        <v>44606</v>
      </c>
    </row>
    <row r="717" spans="1:23" ht="14.4" customHeight="1" x14ac:dyDescent="0.3">
      <c r="A717" s="28">
        <v>44600</v>
      </c>
      <c r="B717" s="12" t="s">
        <v>2959</v>
      </c>
      <c r="C717" s="12" t="s">
        <v>1690</v>
      </c>
      <c r="D717" s="5"/>
      <c r="E717" s="12">
        <v>625</v>
      </c>
      <c r="F717" s="11" t="s">
        <v>2960</v>
      </c>
      <c r="G717" s="12" t="s">
        <v>7</v>
      </c>
      <c r="H717" s="12" t="s">
        <v>11</v>
      </c>
      <c r="I717" s="11"/>
      <c r="J717" s="12" t="s">
        <v>1574</v>
      </c>
      <c r="K717" s="12" t="str">
        <f t="shared" si="46"/>
        <v>Closed</v>
      </c>
      <c r="L717" s="13">
        <v>44608</v>
      </c>
      <c r="M717" s="12"/>
      <c r="N717" s="12"/>
      <c r="O717" s="12"/>
      <c r="P717" s="12" t="s">
        <v>3790</v>
      </c>
      <c r="Q717" s="12"/>
      <c r="R717" s="12"/>
      <c r="S717" s="12"/>
      <c r="T717" s="12"/>
      <c r="U717" s="12" t="str">
        <f t="shared" si="47"/>
        <v>NFF</v>
      </c>
      <c r="V717" s="12" t="str">
        <f t="shared" si="44"/>
        <v>FIRDUS Ahmad</v>
      </c>
      <c r="W717" s="13">
        <f t="shared" si="45"/>
        <v>44608</v>
      </c>
    </row>
    <row r="718" spans="1:23" ht="14.4" customHeight="1" x14ac:dyDescent="0.3">
      <c r="A718" s="28">
        <v>44600</v>
      </c>
      <c r="B718" s="12" t="s">
        <v>2961</v>
      </c>
      <c r="C718" s="12" t="s">
        <v>1690</v>
      </c>
      <c r="D718" s="5"/>
      <c r="E718" s="12">
        <v>401</v>
      </c>
      <c r="F718" s="11" t="s">
        <v>2962</v>
      </c>
      <c r="G718" s="12" t="s">
        <v>7</v>
      </c>
      <c r="H718" s="12" t="s">
        <v>19</v>
      </c>
      <c r="I718" s="11" t="s">
        <v>2963</v>
      </c>
      <c r="J718" s="12" t="s">
        <v>1574</v>
      </c>
      <c r="K718" s="12" t="str">
        <f t="shared" si="46"/>
        <v>Closed</v>
      </c>
      <c r="L718" s="13">
        <v>44619</v>
      </c>
      <c r="M718" s="12"/>
      <c r="N718" s="12"/>
      <c r="O718" s="12"/>
      <c r="P718" s="12" t="s">
        <v>3790</v>
      </c>
      <c r="Q718" s="12"/>
      <c r="R718" s="12"/>
      <c r="S718" s="12"/>
      <c r="T718" s="12"/>
      <c r="U718" s="12" t="str">
        <f t="shared" si="47"/>
        <v>NFF</v>
      </c>
      <c r="V718" s="12" t="str">
        <f t="shared" si="44"/>
        <v>DAOUDI Mohamed</v>
      </c>
      <c r="W718" s="13">
        <f t="shared" si="45"/>
        <v>44619</v>
      </c>
    </row>
    <row r="719" spans="1:23" ht="14.4" customHeight="1" x14ac:dyDescent="0.3">
      <c r="A719" s="28">
        <v>44600</v>
      </c>
      <c r="B719" s="12" t="s">
        <v>2961</v>
      </c>
      <c r="C719" s="12" t="s">
        <v>1690</v>
      </c>
      <c r="D719" s="5"/>
      <c r="E719" s="12">
        <v>408</v>
      </c>
      <c r="F719" s="11" t="s">
        <v>2964</v>
      </c>
      <c r="G719" s="12" t="s">
        <v>4</v>
      </c>
      <c r="H719" s="12" t="s">
        <v>9</v>
      </c>
      <c r="I719" s="11" t="s">
        <v>2965</v>
      </c>
      <c r="J719" s="12" t="s">
        <v>1574</v>
      </c>
      <c r="K719" s="12" t="str">
        <f t="shared" si="46"/>
        <v>Closed</v>
      </c>
      <c r="L719" s="13">
        <v>44602</v>
      </c>
      <c r="M719" s="12"/>
      <c r="N719" s="12"/>
      <c r="O719" s="12"/>
      <c r="P719" s="12" t="s">
        <v>3790</v>
      </c>
      <c r="Q719" s="12"/>
      <c r="R719" s="12"/>
      <c r="S719" s="12"/>
      <c r="T719" s="13" t="s">
        <v>1547</v>
      </c>
      <c r="U719" s="12" t="str">
        <f t="shared" si="47"/>
        <v>NFF</v>
      </c>
      <c r="V719" s="12" t="str">
        <f t="shared" si="44"/>
        <v>KHAN Jahan</v>
      </c>
      <c r="W719" s="13">
        <f t="shared" si="45"/>
        <v>44602</v>
      </c>
    </row>
    <row r="720" spans="1:23" ht="14.4" customHeight="1" x14ac:dyDescent="0.3">
      <c r="A720" s="28">
        <v>44601</v>
      </c>
      <c r="B720" s="12" t="s">
        <v>2966</v>
      </c>
      <c r="C720" s="12" t="s">
        <v>1690</v>
      </c>
      <c r="D720" s="5" t="s">
        <v>1675</v>
      </c>
      <c r="E720" s="12">
        <v>609</v>
      </c>
      <c r="F720" s="11" t="s">
        <v>2967</v>
      </c>
      <c r="G720" s="12" t="s">
        <v>1</v>
      </c>
      <c r="H720" s="12" t="s">
        <v>9</v>
      </c>
      <c r="I720" s="11"/>
      <c r="J720" s="12" t="s">
        <v>1545</v>
      </c>
      <c r="K720" s="12" t="str">
        <f t="shared" si="46"/>
        <v>Closed</v>
      </c>
      <c r="L720" s="13">
        <v>44601</v>
      </c>
      <c r="M720" s="12" t="s">
        <v>1354</v>
      </c>
      <c r="N720" s="12"/>
      <c r="O720" s="12"/>
      <c r="P720" s="12" t="s">
        <v>2788</v>
      </c>
      <c r="Q720" s="12"/>
      <c r="R720" s="12"/>
      <c r="S720" s="12"/>
      <c r="T720" s="13" t="s">
        <v>1547</v>
      </c>
      <c r="U720" s="12" t="str">
        <f t="shared" si="47"/>
        <v>Corrected</v>
      </c>
      <c r="V720" s="12" t="str">
        <f t="shared" si="44"/>
        <v>KHAN Jahan</v>
      </c>
      <c r="W720" s="13">
        <f t="shared" si="45"/>
        <v>44601</v>
      </c>
    </row>
    <row r="721" spans="1:23" ht="14.4" customHeight="1" x14ac:dyDescent="0.3">
      <c r="A721" s="28">
        <v>44602</v>
      </c>
      <c r="B721" s="12" t="s">
        <v>2968</v>
      </c>
      <c r="C721" s="12" t="s">
        <v>1690</v>
      </c>
      <c r="D721" s="5"/>
      <c r="E721" s="12">
        <v>608</v>
      </c>
      <c r="F721" s="11" t="s">
        <v>2969</v>
      </c>
      <c r="G721" s="12" t="s">
        <v>7</v>
      </c>
      <c r="H721" s="12" t="s">
        <v>9</v>
      </c>
      <c r="I721" s="11" t="s">
        <v>3787</v>
      </c>
      <c r="J721" s="12" t="s">
        <v>1574</v>
      </c>
      <c r="K721" s="12" t="str">
        <f t="shared" si="46"/>
        <v>Closed</v>
      </c>
      <c r="L721" s="13">
        <v>44705</v>
      </c>
      <c r="M721" s="12"/>
      <c r="N721" s="12" t="s">
        <v>1652</v>
      </c>
      <c r="O721" s="12"/>
      <c r="P721" s="12" t="s">
        <v>3790</v>
      </c>
      <c r="Q721" s="12"/>
      <c r="R721" s="12" t="s">
        <v>5</v>
      </c>
      <c r="S721" s="12"/>
      <c r="T721" s="13" t="s">
        <v>1547</v>
      </c>
      <c r="U721" s="12" t="str">
        <f t="shared" si="47"/>
        <v>NFF</v>
      </c>
      <c r="V721" s="12" t="str">
        <f t="shared" si="44"/>
        <v>KHAN Jahan</v>
      </c>
      <c r="W721" s="13">
        <f t="shared" si="45"/>
        <v>44705</v>
      </c>
    </row>
    <row r="722" spans="1:23" ht="14.55" customHeight="1" x14ac:dyDescent="0.3">
      <c r="A722" s="28">
        <v>44602</v>
      </c>
      <c r="B722" s="12" t="s">
        <v>2970</v>
      </c>
      <c r="C722" s="12" t="s">
        <v>1687</v>
      </c>
      <c r="D722" s="5"/>
      <c r="E722" s="12">
        <v>422</v>
      </c>
      <c r="F722" s="11" t="s">
        <v>2971</v>
      </c>
      <c r="G722" s="12" t="s">
        <v>7</v>
      </c>
      <c r="H722" s="12" t="s">
        <v>14</v>
      </c>
      <c r="I722" s="11" t="s">
        <v>2972</v>
      </c>
      <c r="J722" s="12" t="s">
        <v>1574</v>
      </c>
      <c r="K722" s="12" t="str">
        <f t="shared" si="46"/>
        <v>Closed</v>
      </c>
      <c r="L722" s="13">
        <v>44605</v>
      </c>
      <c r="M722" s="12"/>
      <c r="N722" s="12"/>
      <c r="O722" s="12"/>
      <c r="P722" s="12" t="s">
        <v>3790</v>
      </c>
      <c r="Q722" s="12"/>
      <c r="R722" s="12"/>
      <c r="S722" s="12"/>
      <c r="T722" s="13" t="s">
        <v>1547</v>
      </c>
      <c r="U722" s="12" t="str">
        <f t="shared" si="47"/>
        <v>NFF</v>
      </c>
      <c r="V722" s="12" t="str">
        <f t="shared" si="44"/>
        <v>GUAN Jialin</v>
      </c>
      <c r="W722" s="13">
        <f t="shared" si="45"/>
        <v>44605</v>
      </c>
    </row>
    <row r="723" spans="1:23" ht="14.4" customHeight="1" x14ac:dyDescent="0.3">
      <c r="A723" s="28">
        <v>44602</v>
      </c>
      <c r="B723" s="12" t="s">
        <v>2973</v>
      </c>
      <c r="C723" s="12" t="s">
        <v>1687</v>
      </c>
      <c r="D723" s="5"/>
      <c r="E723" s="12">
        <v>404</v>
      </c>
      <c r="F723" s="11" t="s">
        <v>2971</v>
      </c>
      <c r="G723" s="12" t="s">
        <v>7</v>
      </c>
      <c r="H723" s="12" t="s">
        <v>14</v>
      </c>
      <c r="I723" s="11" t="s">
        <v>2974</v>
      </c>
      <c r="J723" s="12" t="s">
        <v>1545</v>
      </c>
      <c r="K723" s="12" t="str">
        <f t="shared" si="46"/>
        <v>Closed</v>
      </c>
      <c r="L723" s="13">
        <v>44605</v>
      </c>
      <c r="M723" s="12"/>
      <c r="N723" s="12" t="s">
        <v>4427</v>
      </c>
      <c r="O723" s="12" t="s">
        <v>3371</v>
      </c>
      <c r="P723" s="12" t="s">
        <v>3790</v>
      </c>
      <c r="Q723" s="12"/>
      <c r="R723" s="12"/>
      <c r="S723" s="12"/>
      <c r="T723" s="12"/>
      <c r="U723" s="12" t="str">
        <f t="shared" si="47"/>
        <v>Corrected</v>
      </c>
      <c r="V723" s="12" t="str">
        <f t="shared" si="44"/>
        <v>GUAN Jialin</v>
      </c>
      <c r="W723" s="13">
        <f t="shared" si="45"/>
        <v>44605</v>
      </c>
    </row>
    <row r="724" spans="1:23" ht="14.4" customHeight="1" x14ac:dyDescent="0.3">
      <c r="A724" s="28">
        <v>44606</v>
      </c>
      <c r="B724" s="12" t="s">
        <v>2975</v>
      </c>
      <c r="C724" s="12" t="s">
        <v>1690</v>
      </c>
      <c r="D724" s="5"/>
      <c r="E724" s="12">
        <v>620</v>
      </c>
      <c r="F724" s="11" t="s">
        <v>2744</v>
      </c>
      <c r="G724" s="12" t="s">
        <v>7</v>
      </c>
      <c r="H724" s="12" t="s">
        <v>14</v>
      </c>
      <c r="I724" s="11" t="s">
        <v>2867</v>
      </c>
      <c r="J724" s="12" t="s">
        <v>1574</v>
      </c>
      <c r="K724" s="12" t="str">
        <f t="shared" si="46"/>
        <v>Closed</v>
      </c>
      <c r="L724" s="13">
        <v>44619</v>
      </c>
      <c r="M724" s="12"/>
      <c r="N724" s="12"/>
      <c r="O724" s="12"/>
      <c r="P724" s="12" t="s">
        <v>3790</v>
      </c>
      <c r="Q724" s="12"/>
      <c r="R724" s="12"/>
      <c r="S724" s="12"/>
      <c r="T724" s="12"/>
      <c r="U724" s="12" t="str">
        <f t="shared" si="47"/>
        <v>NFF</v>
      </c>
      <c r="V724" s="12" t="str">
        <f t="shared" si="44"/>
        <v>GUAN Jialin</v>
      </c>
      <c r="W724" s="13">
        <f t="shared" si="45"/>
        <v>44619</v>
      </c>
    </row>
    <row r="725" spans="1:23" ht="14.4" customHeight="1" x14ac:dyDescent="0.3">
      <c r="A725" s="28">
        <v>44606</v>
      </c>
      <c r="B725" s="12" t="s">
        <v>2976</v>
      </c>
      <c r="C725" s="12" t="s">
        <v>1690</v>
      </c>
      <c r="D725" s="5"/>
      <c r="E725" s="12">
        <v>413</v>
      </c>
      <c r="F725" s="11" t="s">
        <v>2744</v>
      </c>
      <c r="G725" s="12" t="s">
        <v>7</v>
      </c>
      <c r="H725" s="12" t="s">
        <v>18</v>
      </c>
      <c r="I725" s="11"/>
      <c r="J725" s="12" t="s">
        <v>1574</v>
      </c>
      <c r="K725" s="12" t="str">
        <f t="shared" si="46"/>
        <v>Closed</v>
      </c>
      <c r="L725" s="13">
        <v>44620</v>
      </c>
      <c r="M725" s="12"/>
      <c r="N725" s="12"/>
      <c r="O725" s="12"/>
      <c r="P725" s="12" t="s">
        <v>3790</v>
      </c>
      <c r="Q725" s="12"/>
      <c r="R725" s="12"/>
      <c r="S725" s="12"/>
      <c r="T725" s="13" t="s">
        <v>1547</v>
      </c>
      <c r="U725" s="12" t="str">
        <f t="shared" si="47"/>
        <v>NFF</v>
      </c>
      <c r="V725" s="12" t="str">
        <f t="shared" si="44"/>
        <v>BENAYED Elie</v>
      </c>
      <c r="W725" s="13">
        <f t="shared" si="45"/>
        <v>44620</v>
      </c>
    </row>
    <row r="726" spans="1:23" ht="14.4" customHeight="1" x14ac:dyDescent="0.3">
      <c r="A726" s="28">
        <v>44602</v>
      </c>
      <c r="B726" s="12" t="s">
        <v>2977</v>
      </c>
      <c r="C726" s="12" t="s">
        <v>1542</v>
      </c>
      <c r="D726" s="5"/>
      <c r="E726" s="12">
        <v>406</v>
      </c>
      <c r="F726" s="11" t="s">
        <v>2978</v>
      </c>
      <c r="G726" s="12" t="s">
        <v>7</v>
      </c>
      <c r="H726" s="12" t="s">
        <v>14</v>
      </c>
      <c r="I726" s="11"/>
      <c r="J726" s="12" t="s">
        <v>1574</v>
      </c>
      <c r="K726" s="12" t="str">
        <f t="shared" si="46"/>
        <v>Closed</v>
      </c>
      <c r="L726" s="13">
        <v>44637</v>
      </c>
      <c r="M726" s="12"/>
      <c r="N726" s="12"/>
      <c r="O726" s="12"/>
      <c r="P726" s="12" t="s">
        <v>3790</v>
      </c>
      <c r="Q726" s="12"/>
      <c r="R726" s="12"/>
      <c r="S726" s="12"/>
      <c r="T726" s="12"/>
      <c r="U726" s="12" t="str">
        <f t="shared" si="47"/>
        <v>NFF</v>
      </c>
      <c r="V726" s="12" t="str">
        <f t="shared" si="44"/>
        <v>GUAN Jialin</v>
      </c>
      <c r="W726" s="13">
        <f t="shared" si="45"/>
        <v>44637</v>
      </c>
    </row>
    <row r="727" spans="1:23" ht="14.4" customHeight="1" x14ac:dyDescent="0.3">
      <c r="A727" s="28">
        <v>44602</v>
      </c>
      <c r="B727" s="12" t="s">
        <v>2979</v>
      </c>
      <c r="C727" s="12" t="s">
        <v>1542</v>
      </c>
      <c r="D727" s="5"/>
      <c r="E727" s="12">
        <v>413</v>
      </c>
      <c r="F727" s="11" t="s">
        <v>2980</v>
      </c>
      <c r="G727" s="12" t="s">
        <v>7</v>
      </c>
      <c r="H727" s="12" t="s">
        <v>14</v>
      </c>
      <c r="I727" s="11"/>
      <c r="J727" s="12" t="s">
        <v>1574</v>
      </c>
      <c r="K727" s="12" t="str">
        <f t="shared" si="46"/>
        <v>Closed</v>
      </c>
      <c r="L727" s="13">
        <v>44620</v>
      </c>
      <c r="M727" s="12"/>
      <c r="N727" s="12"/>
      <c r="O727" s="12"/>
      <c r="P727" s="12" t="s">
        <v>3790</v>
      </c>
      <c r="Q727" s="12"/>
      <c r="R727" s="12" t="s">
        <v>1545</v>
      </c>
      <c r="S727" s="12" t="s">
        <v>3</v>
      </c>
      <c r="T727" s="13">
        <v>44641</v>
      </c>
      <c r="U727" s="12" t="str">
        <f t="shared" si="47"/>
        <v>NFF</v>
      </c>
      <c r="V727" s="12" t="str">
        <f t="shared" si="44"/>
        <v>GUAN Jialin</v>
      </c>
      <c r="W727" s="13">
        <f t="shared" si="45"/>
        <v>44620</v>
      </c>
    </row>
    <row r="728" spans="1:23" x14ac:dyDescent="0.3">
      <c r="A728" s="28">
        <v>44602</v>
      </c>
      <c r="B728" s="12" t="s">
        <v>2981</v>
      </c>
      <c r="C728" s="12" t="s">
        <v>1542</v>
      </c>
      <c r="D728" s="5"/>
      <c r="E728" s="12">
        <v>601</v>
      </c>
      <c r="F728" s="11" t="s">
        <v>1360</v>
      </c>
      <c r="G728" s="12" t="s">
        <v>7</v>
      </c>
      <c r="H728" s="12" t="s">
        <v>14</v>
      </c>
      <c r="I728" s="11" t="s">
        <v>2867</v>
      </c>
      <c r="J728" s="12" t="s">
        <v>1574</v>
      </c>
      <c r="K728" s="12" t="str">
        <f t="shared" si="46"/>
        <v>Closed</v>
      </c>
      <c r="L728" s="13">
        <v>44619</v>
      </c>
      <c r="M728" s="12"/>
      <c r="N728" s="12"/>
      <c r="O728" s="12"/>
      <c r="P728" s="12" t="s">
        <v>3790</v>
      </c>
      <c r="Q728" s="12"/>
      <c r="R728" s="12" t="s">
        <v>1545</v>
      </c>
      <c r="S728" s="12" t="s">
        <v>3</v>
      </c>
      <c r="T728" s="13">
        <v>44636</v>
      </c>
      <c r="U728" s="12" t="str">
        <f t="shared" si="47"/>
        <v>NFF</v>
      </c>
      <c r="V728" s="12" t="str">
        <f t="shared" si="44"/>
        <v>GUAN Jialin</v>
      </c>
      <c r="W728" s="13">
        <f t="shared" si="45"/>
        <v>44619</v>
      </c>
    </row>
    <row r="729" spans="1:23" x14ac:dyDescent="0.3">
      <c r="A729" s="28">
        <v>44602</v>
      </c>
      <c r="B729" s="12" t="s">
        <v>2982</v>
      </c>
      <c r="C729" s="12" t="s">
        <v>1542</v>
      </c>
      <c r="D729" s="5"/>
      <c r="E729" s="12">
        <v>616</v>
      </c>
      <c r="F729" s="11" t="s">
        <v>2983</v>
      </c>
      <c r="G729" s="12" t="s">
        <v>7</v>
      </c>
      <c r="H729" s="12" t="s">
        <v>19</v>
      </c>
      <c r="I729" s="11" t="s">
        <v>2984</v>
      </c>
      <c r="J729" s="12" t="s">
        <v>1609</v>
      </c>
      <c r="K729" s="12" t="str">
        <f t="shared" si="46"/>
        <v>Open</v>
      </c>
      <c r="L729" s="13"/>
      <c r="M729" s="12"/>
      <c r="N729" s="12" t="s">
        <v>1652</v>
      </c>
      <c r="O729" s="12"/>
      <c r="P729" s="12" t="s">
        <v>3790</v>
      </c>
      <c r="Q729" s="12"/>
      <c r="R729" s="12" t="s">
        <v>1545</v>
      </c>
      <c r="S729" s="12" t="s">
        <v>19</v>
      </c>
      <c r="T729" s="13">
        <v>44704</v>
      </c>
      <c r="U729" s="12" t="str">
        <f t="shared" si="47"/>
        <v>Corrected</v>
      </c>
      <c r="V729" s="12" t="str">
        <f t="shared" si="44"/>
        <v>DAOUDI Mohamed</v>
      </c>
      <c r="W729" s="13">
        <f t="shared" si="45"/>
        <v>44704</v>
      </c>
    </row>
    <row r="730" spans="1:23" x14ac:dyDescent="0.3">
      <c r="A730" s="28">
        <v>44606</v>
      </c>
      <c r="B730" s="12" t="s">
        <v>2989</v>
      </c>
      <c r="C730" s="12" t="s">
        <v>1690</v>
      </c>
      <c r="D730" s="5"/>
      <c r="E730" s="12">
        <v>424</v>
      </c>
      <c r="F730" s="11" t="s">
        <v>2990</v>
      </c>
      <c r="G730" s="12" t="s">
        <v>7</v>
      </c>
      <c r="H730" s="12" t="s">
        <v>17</v>
      </c>
      <c r="I730" s="11" t="s">
        <v>1859</v>
      </c>
      <c r="J730" s="12" t="s">
        <v>1574</v>
      </c>
      <c r="K730" s="12" t="str">
        <f t="shared" si="46"/>
        <v>Closed</v>
      </c>
      <c r="L730" s="13"/>
      <c r="M730" s="12"/>
      <c r="N730" s="12"/>
      <c r="O730" s="12"/>
      <c r="P730" s="12" t="s">
        <v>3790</v>
      </c>
      <c r="Q730" s="12"/>
      <c r="R730" s="12"/>
      <c r="S730" s="12"/>
      <c r="T730" s="12"/>
      <c r="U730" s="12" t="str">
        <f t="shared" si="47"/>
        <v>NFF</v>
      </c>
      <c r="V730" s="12" t="str">
        <f t="shared" si="44"/>
        <v>FATHI Charafeddine</v>
      </c>
      <c r="W730" s="13"/>
    </row>
    <row r="731" spans="1:23" ht="14.4" customHeight="1" x14ac:dyDescent="0.3">
      <c r="A731" s="28">
        <v>44606</v>
      </c>
      <c r="B731" s="12" t="s">
        <v>2991</v>
      </c>
      <c r="C731" s="12" t="s">
        <v>1690</v>
      </c>
      <c r="D731" s="5"/>
      <c r="E731" s="12">
        <v>422</v>
      </c>
      <c r="F731" s="14" t="s">
        <v>4317</v>
      </c>
      <c r="G731" s="12" t="s">
        <v>7</v>
      </c>
      <c r="H731" s="12" t="s">
        <v>17</v>
      </c>
      <c r="I731" s="11" t="s">
        <v>2992</v>
      </c>
      <c r="J731" s="12" t="s">
        <v>1574</v>
      </c>
      <c r="K731" s="12" t="str">
        <f t="shared" si="46"/>
        <v>Closed</v>
      </c>
      <c r="L731" s="13"/>
      <c r="M731" s="12"/>
      <c r="N731" s="12"/>
      <c r="O731" s="12"/>
      <c r="P731" s="12" t="s">
        <v>3790</v>
      </c>
      <c r="Q731" s="12"/>
      <c r="R731" s="12"/>
      <c r="S731" s="12"/>
      <c r="T731" s="13" t="s">
        <v>1547</v>
      </c>
      <c r="U731" s="12" t="str">
        <f t="shared" si="47"/>
        <v>NFF</v>
      </c>
      <c r="V731" s="12" t="str">
        <f t="shared" si="44"/>
        <v>FATHI Charafeddine</v>
      </c>
      <c r="W731" s="13"/>
    </row>
    <row r="732" spans="1:23" ht="28.8" customHeight="1" x14ac:dyDescent="0.3">
      <c r="A732" s="28">
        <v>44606</v>
      </c>
      <c r="B732" s="12" t="s">
        <v>2993</v>
      </c>
      <c r="C732" s="12" t="s">
        <v>1690</v>
      </c>
      <c r="D732" s="5"/>
      <c r="E732" s="12">
        <v>601</v>
      </c>
      <c r="F732" s="11" t="s">
        <v>2744</v>
      </c>
      <c r="G732" s="12" t="s">
        <v>7</v>
      </c>
      <c r="H732" s="12" t="s">
        <v>18</v>
      </c>
      <c r="I732" s="11" t="s">
        <v>2867</v>
      </c>
      <c r="J732" s="12" t="s">
        <v>1574</v>
      </c>
      <c r="K732" s="12" t="str">
        <f t="shared" si="46"/>
        <v>Closed</v>
      </c>
      <c r="L732" s="13">
        <v>44619</v>
      </c>
      <c r="M732" s="12"/>
      <c r="N732" s="12"/>
      <c r="O732" s="12"/>
      <c r="P732" s="12" t="s">
        <v>3790</v>
      </c>
      <c r="Q732" s="12"/>
      <c r="R732" s="12"/>
      <c r="S732" s="12"/>
      <c r="T732" s="13" t="s">
        <v>1547</v>
      </c>
      <c r="U732" s="12" t="str">
        <f t="shared" si="47"/>
        <v>NFF</v>
      </c>
      <c r="V732" s="12" t="str">
        <f t="shared" si="44"/>
        <v>BENAYED Elie</v>
      </c>
      <c r="W732" s="13">
        <f t="shared" si="45"/>
        <v>44619</v>
      </c>
    </row>
    <row r="733" spans="1:23" x14ac:dyDescent="0.3">
      <c r="A733" s="28">
        <v>44606</v>
      </c>
      <c r="B733" s="12" t="s">
        <v>2994</v>
      </c>
      <c r="C733" s="12" t="s">
        <v>1690</v>
      </c>
      <c r="D733" s="5"/>
      <c r="E733" s="12">
        <v>607</v>
      </c>
      <c r="F733" s="11" t="s">
        <v>2744</v>
      </c>
      <c r="G733" s="12" t="s">
        <v>7</v>
      </c>
      <c r="H733" s="12" t="s">
        <v>18</v>
      </c>
      <c r="I733" s="11" t="s">
        <v>2832</v>
      </c>
      <c r="J733" s="12" t="s">
        <v>1574</v>
      </c>
      <c r="K733" s="12" t="str">
        <f t="shared" si="46"/>
        <v>Closed</v>
      </c>
      <c r="L733" s="13">
        <v>44616</v>
      </c>
      <c r="M733" s="12"/>
      <c r="N733" s="12"/>
      <c r="O733" s="12"/>
      <c r="P733" s="12" t="s">
        <v>3790</v>
      </c>
      <c r="Q733" s="12"/>
      <c r="R733" s="12"/>
      <c r="S733" s="12"/>
      <c r="T733" s="13" t="s">
        <v>1547</v>
      </c>
      <c r="U733" s="12" t="str">
        <f t="shared" si="47"/>
        <v>NFF</v>
      </c>
      <c r="V733" s="12" t="str">
        <f t="shared" si="44"/>
        <v>BENAYED Elie</v>
      </c>
      <c r="W733" s="13">
        <f t="shared" si="45"/>
        <v>44616</v>
      </c>
    </row>
    <row r="734" spans="1:23" ht="28.8" customHeight="1" x14ac:dyDescent="0.3">
      <c r="A734" s="28">
        <v>44603</v>
      </c>
      <c r="B734" s="12" t="s">
        <v>2995</v>
      </c>
      <c r="C734" s="12" t="s">
        <v>1542</v>
      </c>
      <c r="D734" s="5" t="s">
        <v>2996</v>
      </c>
      <c r="E734" s="12">
        <v>607</v>
      </c>
      <c r="F734" s="11" t="s">
        <v>2997</v>
      </c>
      <c r="G734" s="12" t="s">
        <v>7</v>
      </c>
      <c r="H734" s="12" t="s">
        <v>14</v>
      </c>
      <c r="I734" s="11" t="s">
        <v>2832</v>
      </c>
      <c r="J734" s="12" t="s">
        <v>1574</v>
      </c>
      <c r="K734" s="12" t="str">
        <f t="shared" si="46"/>
        <v>Closed</v>
      </c>
      <c r="L734" s="13">
        <v>44616</v>
      </c>
      <c r="M734" s="12"/>
      <c r="N734" s="12"/>
      <c r="O734" s="12"/>
      <c r="P734" s="12" t="s">
        <v>3790</v>
      </c>
      <c r="Q734" s="12"/>
      <c r="R734" s="12"/>
      <c r="S734" s="12"/>
      <c r="T734" s="13" t="s">
        <v>1547</v>
      </c>
      <c r="U734" s="12" t="str">
        <f t="shared" si="47"/>
        <v>NFF</v>
      </c>
      <c r="V734" s="12" t="str">
        <f t="shared" si="44"/>
        <v>GUAN Jialin</v>
      </c>
      <c r="W734" s="13">
        <f t="shared" si="45"/>
        <v>44616</v>
      </c>
    </row>
    <row r="735" spans="1:23" ht="14.4" customHeight="1" x14ac:dyDescent="0.3">
      <c r="A735" s="28">
        <v>44603</v>
      </c>
      <c r="B735" s="12" t="s">
        <v>2998</v>
      </c>
      <c r="C735" s="12" t="s">
        <v>1542</v>
      </c>
      <c r="D735" s="5" t="s">
        <v>2999</v>
      </c>
      <c r="E735" s="12">
        <v>619</v>
      </c>
      <c r="F735" s="11" t="s">
        <v>3000</v>
      </c>
      <c r="G735" s="12" t="s">
        <v>7</v>
      </c>
      <c r="H735" s="12" t="s">
        <v>9</v>
      </c>
      <c r="I735" s="11" t="s">
        <v>3787</v>
      </c>
      <c r="J735" s="12" t="s">
        <v>1574</v>
      </c>
      <c r="K735" s="12" t="str">
        <f t="shared" si="46"/>
        <v>Closed</v>
      </c>
      <c r="L735" s="13">
        <v>44663</v>
      </c>
      <c r="M735" s="12" t="s">
        <v>3788</v>
      </c>
      <c r="N735" s="12" t="s">
        <v>4428</v>
      </c>
      <c r="O735" s="12" t="s">
        <v>3789</v>
      </c>
      <c r="P735" s="12" t="s">
        <v>3790</v>
      </c>
      <c r="Q735" s="12"/>
      <c r="R735" s="12"/>
      <c r="S735" s="12"/>
      <c r="T735" s="13" t="s">
        <v>1547</v>
      </c>
      <c r="U735" s="12" t="str">
        <f t="shared" si="47"/>
        <v>NFF</v>
      </c>
      <c r="V735" s="12" t="str">
        <f t="shared" si="44"/>
        <v>KHAN Jahan</v>
      </c>
      <c r="W735" s="13">
        <f t="shared" si="45"/>
        <v>44663</v>
      </c>
    </row>
    <row r="736" spans="1:23" ht="14.4" customHeight="1" x14ac:dyDescent="0.3">
      <c r="A736" s="28">
        <v>44603</v>
      </c>
      <c r="B736" s="12" t="s">
        <v>3001</v>
      </c>
      <c r="C736" s="12" t="s">
        <v>1542</v>
      </c>
      <c r="D736" s="5" t="s">
        <v>3002</v>
      </c>
      <c r="E736" s="12">
        <v>409</v>
      </c>
      <c r="F736" s="11" t="s">
        <v>1529</v>
      </c>
      <c r="G736" s="12" t="s">
        <v>7</v>
      </c>
      <c r="H736" s="12" t="s">
        <v>14</v>
      </c>
      <c r="I736" s="11" t="s">
        <v>3003</v>
      </c>
      <c r="J736" s="12" t="s">
        <v>1609</v>
      </c>
      <c r="K736" s="12" t="str">
        <f t="shared" si="46"/>
        <v>Open</v>
      </c>
      <c r="L736" s="13"/>
      <c r="M736" s="12" t="s">
        <v>1528</v>
      </c>
      <c r="N736" s="12" t="s">
        <v>4427</v>
      </c>
      <c r="O736" s="12" t="s">
        <v>2546</v>
      </c>
      <c r="P736" s="12" t="s">
        <v>3790</v>
      </c>
      <c r="Q736" s="12"/>
      <c r="R736" s="12" t="s">
        <v>1545</v>
      </c>
      <c r="S736" s="12" t="s">
        <v>15</v>
      </c>
      <c r="T736" s="13">
        <v>44649</v>
      </c>
      <c r="U736" s="12" t="str">
        <f t="shared" si="47"/>
        <v>Corrected</v>
      </c>
      <c r="V736" s="12" t="str">
        <f t="shared" si="44"/>
        <v>Imran Rasheed</v>
      </c>
      <c r="W736" s="13">
        <f t="shared" si="45"/>
        <v>44649</v>
      </c>
    </row>
    <row r="737" spans="1:23" ht="14.4" customHeight="1" x14ac:dyDescent="0.3">
      <c r="A737" s="28">
        <v>44603</v>
      </c>
      <c r="B737" s="12" t="s">
        <v>3004</v>
      </c>
      <c r="C737" s="12" t="s">
        <v>1542</v>
      </c>
      <c r="D737" s="5" t="s">
        <v>3005</v>
      </c>
      <c r="E737" s="12">
        <v>623</v>
      </c>
      <c r="F737" s="11" t="s">
        <v>3006</v>
      </c>
      <c r="G737" s="12" t="s">
        <v>7</v>
      </c>
      <c r="H737" s="12" t="s">
        <v>9</v>
      </c>
      <c r="I737" s="11"/>
      <c r="J737" s="12" t="s">
        <v>1609</v>
      </c>
      <c r="K737" s="12" t="str">
        <f t="shared" si="46"/>
        <v>Open</v>
      </c>
      <c r="L737" s="13"/>
      <c r="M737" s="12" t="s">
        <v>431</v>
      </c>
      <c r="N737" s="12"/>
      <c r="O737" s="12"/>
      <c r="P737" s="12" t="s">
        <v>3790</v>
      </c>
      <c r="Q737" s="12"/>
      <c r="R737" s="12" t="s">
        <v>1545</v>
      </c>
      <c r="S737" s="12" t="s">
        <v>15</v>
      </c>
      <c r="T737" s="13">
        <v>44643</v>
      </c>
      <c r="U737" s="12" t="str">
        <f t="shared" si="47"/>
        <v>Corrected</v>
      </c>
      <c r="V737" s="12" t="str">
        <f t="shared" si="44"/>
        <v>Imran Rasheed</v>
      </c>
      <c r="W737" s="13">
        <f t="shared" si="45"/>
        <v>44643</v>
      </c>
    </row>
    <row r="738" spans="1:23" ht="14.4" customHeight="1" x14ac:dyDescent="0.3">
      <c r="A738" s="28">
        <v>44603</v>
      </c>
      <c r="B738" s="12" t="s">
        <v>3007</v>
      </c>
      <c r="C738" s="12" t="s">
        <v>1542</v>
      </c>
      <c r="D738" s="5" t="s">
        <v>3005</v>
      </c>
      <c r="E738" s="12">
        <v>623</v>
      </c>
      <c r="F738" s="11" t="s">
        <v>3008</v>
      </c>
      <c r="G738" s="12" t="s">
        <v>7</v>
      </c>
      <c r="H738" s="12" t="s">
        <v>9</v>
      </c>
      <c r="I738" s="11" t="s">
        <v>3484</v>
      </c>
      <c r="J738" s="12" t="s">
        <v>1545</v>
      </c>
      <c r="K738" s="12" t="str">
        <f t="shared" si="46"/>
        <v>Closed</v>
      </c>
      <c r="L738" s="13">
        <v>44643</v>
      </c>
      <c r="M738" s="12"/>
      <c r="N738" s="12" t="s">
        <v>2638</v>
      </c>
      <c r="O738" s="12" t="s">
        <v>1675</v>
      </c>
      <c r="P738" s="12" t="s">
        <v>3790</v>
      </c>
      <c r="Q738" s="12"/>
      <c r="R738" s="12"/>
      <c r="S738" s="12"/>
      <c r="T738" s="12"/>
      <c r="U738" s="12" t="str">
        <f t="shared" si="47"/>
        <v>Corrected</v>
      </c>
      <c r="V738" s="12" t="str">
        <f t="shared" si="44"/>
        <v>KHAN Jahan</v>
      </c>
      <c r="W738" s="13">
        <f t="shared" si="45"/>
        <v>44643</v>
      </c>
    </row>
    <row r="739" spans="1:23" ht="14.4" customHeight="1" x14ac:dyDescent="0.3">
      <c r="A739" s="28">
        <v>44605</v>
      </c>
      <c r="B739" s="12" t="s">
        <v>3022</v>
      </c>
      <c r="C739" s="12" t="s">
        <v>1716</v>
      </c>
      <c r="D739" s="5" t="s">
        <v>1675</v>
      </c>
      <c r="E739" s="12">
        <v>626</v>
      </c>
      <c r="F739" s="11" t="s">
        <v>3023</v>
      </c>
      <c r="G739" s="12" t="s">
        <v>7</v>
      </c>
      <c r="H739" s="12" t="s">
        <v>9</v>
      </c>
      <c r="I739" s="11"/>
      <c r="J739" s="12" t="s">
        <v>1609</v>
      </c>
      <c r="K739" s="12" t="str">
        <f t="shared" si="46"/>
        <v>Open</v>
      </c>
      <c r="L739" s="13"/>
      <c r="M739" s="12" t="s">
        <v>1481</v>
      </c>
      <c r="N739" s="12"/>
      <c r="O739" s="12"/>
      <c r="P739" s="12" t="s">
        <v>3790</v>
      </c>
      <c r="Q739" s="12"/>
      <c r="R739" s="12" t="s">
        <v>1545</v>
      </c>
      <c r="S739" s="12" t="s">
        <v>3</v>
      </c>
      <c r="T739" s="13">
        <v>44634</v>
      </c>
      <c r="U739" s="12" t="str">
        <f t="shared" si="47"/>
        <v>Corrected</v>
      </c>
      <c r="V739" s="12" t="str">
        <f t="shared" si="44"/>
        <v>SUKIMAN Zamhuri</v>
      </c>
      <c r="W739" s="13">
        <f t="shared" si="45"/>
        <v>44634</v>
      </c>
    </row>
    <row r="740" spans="1:23" ht="14.4" customHeight="1" x14ac:dyDescent="0.3">
      <c r="A740" s="28">
        <v>44606</v>
      </c>
      <c r="B740" s="12" t="s">
        <v>3025</v>
      </c>
      <c r="C740" s="12" t="s">
        <v>1542</v>
      </c>
      <c r="D740" s="5" t="s">
        <v>3026</v>
      </c>
      <c r="E740" s="12">
        <v>401</v>
      </c>
      <c r="F740" s="11" t="s">
        <v>3027</v>
      </c>
      <c r="G740" s="12" t="s">
        <v>7</v>
      </c>
      <c r="H740" s="12" t="s">
        <v>19</v>
      </c>
      <c r="I740" s="11" t="s">
        <v>3567</v>
      </c>
      <c r="J740" s="12" t="s">
        <v>1609</v>
      </c>
      <c r="K740" s="12" t="str">
        <f t="shared" si="46"/>
        <v>Open</v>
      </c>
      <c r="L740" s="13">
        <v>44648</v>
      </c>
      <c r="M740" s="12"/>
      <c r="N740" s="12" t="s">
        <v>1652</v>
      </c>
      <c r="O740" s="12" t="s">
        <v>1675</v>
      </c>
      <c r="P740" s="12" t="s">
        <v>3790</v>
      </c>
      <c r="Q740" s="12"/>
      <c r="R740" s="12" t="s">
        <v>1545</v>
      </c>
      <c r="S740" s="12" t="s">
        <v>15</v>
      </c>
      <c r="T740" s="25">
        <v>44647</v>
      </c>
      <c r="U740" s="12" t="str">
        <f t="shared" si="47"/>
        <v>Corrected</v>
      </c>
      <c r="V740" s="12" t="str">
        <f t="shared" si="44"/>
        <v>Imran Rasheed</v>
      </c>
      <c r="W740" s="13">
        <f t="shared" si="45"/>
        <v>44647</v>
      </c>
    </row>
    <row r="741" spans="1:23" ht="14.4" customHeight="1" x14ac:dyDescent="0.3">
      <c r="A741" s="28">
        <v>44606</v>
      </c>
      <c r="B741" s="12" t="s">
        <v>3028</v>
      </c>
      <c r="C741" s="12" t="s">
        <v>1542</v>
      </c>
      <c r="D741" s="5" t="s">
        <v>3029</v>
      </c>
      <c r="E741" s="12">
        <v>411</v>
      </c>
      <c r="F741" s="11" t="s">
        <v>4318</v>
      </c>
      <c r="G741" s="12" t="s">
        <v>7</v>
      </c>
      <c r="H741" s="12" t="s">
        <v>11</v>
      </c>
      <c r="I741" s="11" t="s">
        <v>3030</v>
      </c>
      <c r="J741" s="12" t="s">
        <v>1609</v>
      </c>
      <c r="K741" s="12" t="str">
        <f t="shared" si="46"/>
        <v>Open</v>
      </c>
      <c r="L741" s="13"/>
      <c r="M741" s="12" t="s">
        <v>1531</v>
      </c>
      <c r="N741" s="12"/>
      <c r="O741" s="12"/>
      <c r="P741" s="12" t="s">
        <v>3790</v>
      </c>
      <c r="Q741" s="12"/>
      <c r="R741" s="12" t="s">
        <v>1545</v>
      </c>
      <c r="S741" s="12" t="s">
        <v>6</v>
      </c>
      <c r="T741" s="25">
        <v>44647</v>
      </c>
      <c r="U741" s="12" t="str">
        <f t="shared" si="47"/>
        <v>Corrected</v>
      </c>
      <c r="V741" s="12" t="str">
        <f t="shared" si="44"/>
        <v>MUHAMMAD ALIF BIN ALI</v>
      </c>
      <c r="W741" s="13">
        <f t="shared" si="45"/>
        <v>44647</v>
      </c>
    </row>
    <row r="742" spans="1:23" x14ac:dyDescent="0.3">
      <c r="A742" s="28">
        <v>44606</v>
      </c>
      <c r="B742" s="12" t="s">
        <v>3031</v>
      </c>
      <c r="C742" s="12" t="s">
        <v>1542</v>
      </c>
      <c r="D742" s="5" t="s">
        <v>3032</v>
      </c>
      <c r="E742" s="12">
        <v>412</v>
      </c>
      <c r="F742" s="11" t="s">
        <v>4319</v>
      </c>
      <c r="G742" s="12" t="s">
        <v>7</v>
      </c>
      <c r="H742" s="12" t="s">
        <v>11</v>
      </c>
      <c r="I742" s="11"/>
      <c r="J742" s="12" t="s">
        <v>1609</v>
      </c>
      <c r="K742" s="12" t="str">
        <f t="shared" si="46"/>
        <v>Open</v>
      </c>
      <c r="L742" s="13"/>
      <c r="M742" s="12"/>
      <c r="N742" s="12"/>
      <c r="O742" s="12"/>
      <c r="P742" s="12" t="s">
        <v>3790</v>
      </c>
      <c r="Q742" s="12"/>
      <c r="R742" s="12" t="s">
        <v>1545</v>
      </c>
      <c r="S742" s="12" t="s">
        <v>15</v>
      </c>
      <c r="T742" s="13">
        <v>44647</v>
      </c>
      <c r="U742" s="12" t="str">
        <f t="shared" si="47"/>
        <v>Corrected</v>
      </c>
      <c r="V742" s="12" t="str">
        <f t="shared" si="44"/>
        <v>Imran Rasheed</v>
      </c>
      <c r="W742" s="13">
        <f t="shared" si="45"/>
        <v>44647</v>
      </c>
    </row>
    <row r="743" spans="1:23" ht="14.4" customHeight="1" x14ac:dyDescent="0.3">
      <c r="A743" s="28">
        <v>44606</v>
      </c>
      <c r="B743" s="12" t="s">
        <v>3033</v>
      </c>
      <c r="C743" s="12" t="s">
        <v>1542</v>
      </c>
      <c r="D743" s="5" t="s">
        <v>3034</v>
      </c>
      <c r="E743" s="12">
        <v>603</v>
      </c>
      <c r="F743" s="11" t="s">
        <v>3035</v>
      </c>
      <c r="G743" s="12" t="s">
        <v>7</v>
      </c>
      <c r="H743" s="12" t="s">
        <v>18</v>
      </c>
      <c r="I743" s="11"/>
      <c r="J743" s="12" t="s">
        <v>1574</v>
      </c>
      <c r="K743" s="12" t="str">
        <f t="shared" si="46"/>
        <v>Closed</v>
      </c>
      <c r="L743" s="13"/>
      <c r="M743" s="12"/>
      <c r="N743" s="12"/>
      <c r="O743" s="12"/>
      <c r="P743" s="12" t="s">
        <v>3790</v>
      </c>
      <c r="Q743" s="12"/>
      <c r="R743" s="12"/>
      <c r="S743" s="12"/>
      <c r="T743" s="12"/>
      <c r="U743" s="12" t="str">
        <f t="shared" si="47"/>
        <v>NFF</v>
      </c>
      <c r="V743" s="12" t="str">
        <f t="shared" si="44"/>
        <v>BENAYED Elie</v>
      </c>
      <c r="W743" s="13"/>
    </row>
    <row r="744" spans="1:23" ht="14.4" customHeight="1" x14ac:dyDescent="0.3">
      <c r="A744" s="28">
        <v>44606</v>
      </c>
      <c r="B744" s="12" t="s">
        <v>3036</v>
      </c>
      <c r="C744" s="12" t="s">
        <v>1542</v>
      </c>
      <c r="D744" s="5" t="s">
        <v>3037</v>
      </c>
      <c r="E744" s="12">
        <v>608</v>
      </c>
      <c r="F744" s="11" t="s">
        <v>3038</v>
      </c>
      <c r="G744" s="12" t="s">
        <v>7</v>
      </c>
      <c r="H744" s="12" t="s">
        <v>11</v>
      </c>
      <c r="I744" s="11"/>
      <c r="J744" s="12" t="s">
        <v>1609</v>
      </c>
      <c r="K744" s="12" t="str">
        <f t="shared" si="46"/>
        <v>Open</v>
      </c>
      <c r="L744" s="13"/>
      <c r="M744" s="12"/>
      <c r="N744" s="12"/>
      <c r="O744" s="12"/>
      <c r="P744" s="12" t="s">
        <v>3790</v>
      </c>
      <c r="Q744" s="12"/>
      <c r="R744" s="12" t="s">
        <v>1545</v>
      </c>
      <c r="S744" s="12" t="s">
        <v>6</v>
      </c>
      <c r="T744" s="25">
        <v>44647</v>
      </c>
      <c r="U744" s="12" t="str">
        <f t="shared" si="47"/>
        <v>Corrected</v>
      </c>
      <c r="V744" s="12" t="str">
        <f t="shared" si="44"/>
        <v>MUHAMMAD ALIF BIN ALI</v>
      </c>
      <c r="W744" s="13">
        <f t="shared" si="45"/>
        <v>44647</v>
      </c>
    </row>
    <row r="745" spans="1:23" ht="14.4" customHeight="1" x14ac:dyDescent="0.3">
      <c r="A745" s="28">
        <v>44607</v>
      </c>
      <c r="B745" s="12" t="s">
        <v>3049</v>
      </c>
      <c r="C745" s="12" t="s">
        <v>1542</v>
      </c>
      <c r="D745" s="5" t="s">
        <v>1675</v>
      </c>
      <c r="E745" s="12">
        <v>607</v>
      </c>
      <c r="F745" s="11" t="s">
        <v>3050</v>
      </c>
      <c r="G745" s="12" t="s">
        <v>7</v>
      </c>
      <c r="H745" s="12" t="s">
        <v>19</v>
      </c>
      <c r="I745" s="11"/>
      <c r="J745" s="12" t="s">
        <v>1582</v>
      </c>
      <c r="K745" s="12" t="str">
        <f t="shared" si="46"/>
        <v>Open</v>
      </c>
      <c r="L745" s="13"/>
      <c r="M745" s="12"/>
      <c r="N745" s="12"/>
      <c r="O745" s="12"/>
      <c r="P745" s="12" t="s">
        <v>3790</v>
      </c>
      <c r="Q745" s="12"/>
      <c r="R745" s="12"/>
      <c r="S745" s="12"/>
      <c r="T745" s="13" t="s">
        <v>1547</v>
      </c>
      <c r="U745" s="12" t="str">
        <f t="shared" si="47"/>
        <v>Not Started</v>
      </c>
      <c r="V745" s="12" t="str">
        <f t="shared" si="44"/>
        <v>DAOUDI Mohamed</v>
      </c>
      <c r="W745" s="13" t="str">
        <f t="shared" si="45"/>
        <v/>
      </c>
    </row>
    <row r="746" spans="1:23" ht="14.4" customHeight="1" x14ac:dyDescent="0.3">
      <c r="A746" s="28">
        <v>44607</v>
      </c>
      <c r="B746" s="12" t="s">
        <v>3051</v>
      </c>
      <c r="C746" s="12" t="s">
        <v>1690</v>
      </c>
      <c r="D746" s="5" t="s">
        <v>1675</v>
      </c>
      <c r="E746" s="12">
        <v>605</v>
      </c>
      <c r="F746" s="11" t="s">
        <v>3052</v>
      </c>
      <c r="G746" s="12" t="s">
        <v>1</v>
      </c>
      <c r="H746" s="12" t="s">
        <v>9</v>
      </c>
      <c r="I746" s="14" t="s">
        <v>4320</v>
      </c>
      <c r="J746" s="12" t="s">
        <v>1545</v>
      </c>
      <c r="K746" s="12" t="str">
        <f t="shared" si="46"/>
        <v>Closed</v>
      </c>
      <c r="L746" s="13">
        <v>44635</v>
      </c>
      <c r="M746" s="12"/>
      <c r="N746" s="12"/>
      <c r="O746" s="12" t="s">
        <v>1675</v>
      </c>
      <c r="P746" s="12" t="s">
        <v>2788</v>
      </c>
      <c r="Q746" s="12"/>
      <c r="R746" s="12"/>
      <c r="S746" s="12"/>
      <c r="T746" s="12"/>
      <c r="U746" s="12" t="str">
        <f t="shared" si="47"/>
        <v>Corrected</v>
      </c>
      <c r="V746" s="12" t="str">
        <f t="shared" si="44"/>
        <v>KHAN Jahan</v>
      </c>
      <c r="W746" s="13">
        <f t="shared" si="45"/>
        <v>44635</v>
      </c>
    </row>
    <row r="747" spans="1:23" ht="14.4" customHeight="1" x14ac:dyDescent="0.3">
      <c r="A747" s="28">
        <v>44607</v>
      </c>
      <c r="B747" s="12" t="s">
        <v>3053</v>
      </c>
      <c r="C747" s="12" t="s">
        <v>1542</v>
      </c>
      <c r="D747" s="5" t="s">
        <v>3054</v>
      </c>
      <c r="E747" s="12">
        <v>605</v>
      </c>
      <c r="F747" s="11" t="s">
        <v>3055</v>
      </c>
      <c r="G747" s="12" t="s">
        <v>7</v>
      </c>
      <c r="H747" s="12" t="s">
        <v>11</v>
      </c>
      <c r="I747" s="11" t="s">
        <v>3056</v>
      </c>
      <c r="J747" s="12" t="s">
        <v>1574</v>
      </c>
      <c r="K747" s="12" t="str">
        <f t="shared" si="46"/>
        <v>Closed</v>
      </c>
      <c r="L747" s="13">
        <v>44626</v>
      </c>
      <c r="M747" s="12"/>
      <c r="N747" s="12"/>
      <c r="O747" s="12"/>
      <c r="P747" s="12" t="s">
        <v>3790</v>
      </c>
      <c r="Q747" s="12"/>
      <c r="R747" s="12"/>
      <c r="S747" s="12"/>
      <c r="T747" s="12"/>
      <c r="U747" s="12" t="str">
        <f t="shared" si="47"/>
        <v>NFF</v>
      </c>
      <c r="V747" s="12" t="str">
        <f t="shared" si="44"/>
        <v>FIRDUS Ahmad</v>
      </c>
      <c r="W747" s="13">
        <f t="shared" si="45"/>
        <v>44626</v>
      </c>
    </row>
    <row r="748" spans="1:23" ht="14.4" customHeight="1" x14ac:dyDescent="0.3">
      <c r="A748" s="28">
        <v>44608</v>
      </c>
      <c r="B748" s="12" t="s">
        <v>3063</v>
      </c>
      <c r="C748" s="12" t="s">
        <v>1703</v>
      </c>
      <c r="D748" s="5" t="s">
        <v>1675</v>
      </c>
      <c r="E748" s="12">
        <v>409</v>
      </c>
      <c r="F748" s="11" t="s">
        <v>3064</v>
      </c>
      <c r="G748" s="12" t="s">
        <v>7</v>
      </c>
      <c r="H748" s="12" t="s">
        <v>9</v>
      </c>
      <c r="I748" s="11"/>
      <c r="J748" s="12" t="s">
        <v>1545</v>
      </c>
      <c r="K748" s="12" t="str">
        <f t="shared" si="46"/>
        <v>Closed</v>
      </c>
      <c r="L748" s="13">
        <v>44608</v>
      </c>
      <c r="M748" s="12" t="s">
        <v>1491</v>
      </c>
      <c r="N748" s="12"/>
      <c r="O748" s="12"/>
      <c r="P748" s="12" t="s">
        <v>3790</v>
      </c>
      <c r="Q748" s="12"/>
      <c r="R748" s="12"/>
      <c r="S748" s="12"/>
      <c r="T748" s="12"/>
      <c r="U748" s="12" t="str">
        <f t="shared" si="47"/>
        <v>Corrected</v>
      </c>
      <c r="V748" s="12" t="str">
        <f t="shared" si="44"/>
        <v>KHAN Jahan</v>
      </c>
      <c r="W748" s="13">
        <f t="shared" si="45"/>
        <v>44608</v>
      </c>
    </row>
    <row r="749" spans="1:23" ht="14.4" customHeight="1" x14ac:dyDescent="0.3">
      <c r="A749" s="28">
        <v>44608</v>
      </c>
      <c r="B749" s="12" t="s">
        <v>3065</v>
      </c>
      <c r="C749" s="12" t="s">
        <v>1687</v>
      </c>
      <c r="D749" s="5" t="s">
        <v>1675</v>
      </c>
      <c r="E749" s="12">
        <v>612</v>
      </c>
      <c r="F749" s="11" t="s">
        <v>3066</v>
      </c>
      <c r="G749" s="12" t="s">
        <v>7</v>
      </c>
      <c r="H749" s="12" t="s">
        <v>18</v>
      </c>
      <c r="I749" s="11"/>
      <c r="J749" s="12" t="s">
        <v>1574</v>
      </c>
      <c r="K749" s="12" t="str">
        <f t="shared" si="46"/>
        <v>Closed</v>
      </c>
      <c r="L749" s="13">
        <v>44635</v>
      </c>
      <c r="M749" s="12" t="s">
        <v>1492</v>
      </c>
      <c r="N749" s="12"/>
      <c r="O749" s="12"/>
      <c r="P749" s="12" t="s">
        <v>3790</v>
      </c>
      <c r="Q749" s="12"/>
      <c r="R749" s="12"/>
      <c r="S749" s="12"/>
      <c r="T749" s="12"/>
      <c r="U749" s="12" t="str">
        <f t="shared" si="47"/>
        <v>NFF</v>
      </c>
      <c r="V749" s="12" t="str">
        <f t="shared" si="44"/>
        <v>BENAYED Elie</v>
      </c>
      <c r="W749" s="13">
        <f t="shared" si="45"/>
        <v>44635</v>
      </c>
    </row>
    <row r="750" spans="1:23" ht="14.4" customHeight="1" x14ac:dyDescent="0.3">
      <c r="A750" s="28">
        <v>44608</v>
      </c>
      <c r="B750" s="12" t="s">
        <v>3067</v>
      </c>
      <c r="C750" s="12" t="s">
        <v>1542</v>
      </c>
      <c r="D750" s="5" t="s">
        <v>3068</v>
      </c>
      <c r="E750" s="12">
        <v>601</v>
      </c>
      <c r="F750" s="11" t="s">
        <v>3069</v>
      </c>
      <c r="G750" s="12" t="s">
        <v>4</v>
      </c>
      <c r="H750" s="12" t="s">
        <v>9</v>
      </c>
      <c r="I750" s="11" t="s">
        <v>3070</v>
      </c>
      <c r="J750" s="12" t="s">
        <v>1574</v>
      </c>
      <c r="K750" s="12" t="str">
        <f t="shared" si="46"/>
        <v>Closed</v>
      </c>
      <c r="L750" s="13">
        <v>44620</v>
      </c>
      <c r="M750" s="12"/>
      <c r="N750" s="12"/>
      <c r="O750" s="12"/>
      <c r="P750" s="12" t="s">
        <v>3790</v>
      </c>
      <c r="Q750" s="12"/>
      <c r="R750" s="12"/>
      <c r="S750" s="12"/>
      <c r="T750" s="13" t="s">
        <v>1547</v>
      </c>
      <c r="U750" s="12" t="str">
        <f t="shared" si="47"/>
        <v>NFF</v>
      </c>
      <c r="V750" s="12" t="str">
        <f t="shared" si="44"/>
        <v>KHAN Jahan</v>
      </c>
      <c r="W750" s="13">
        <f t="shared" si="45"/>
        <v>44620</v>
      </c>
    </row>
    <row r="751" spans="1:23" ht="14.4" customHeight="1" x14ac:dyDescent="0.3">
      <c r="A751" s="28">
        <v>44608</v>
      </c>
      <c r="B751" s="12" t="s">
        <v>3071</v>
      </c>
      <c r="C751" s="12" t="s">
        <v>1542</v>
      </c>
      <c r="D751" s="5" t="s">
        <v>3072</v>
      </c>
      <c r="E751" s="12">
        <v>617</v>
      </c>
      <c r="F751" s="11" t="s">
        <v>3073</v>
      </c>
      <c r="G751" s="12" t="s">
        <v>7</v>
      </c>
      <c r="H751" s="12" t="s">
        <v>11</v>
      </c>
      <c r="I751" s="11" t="s">
        <v>3074</v>
      </c>
      <c r="J751" s="12" t="s">
        <v>1574</v>
      </c>
      <c r="K751" s="12" t="str">
        <f t="shared" si="46"/>
        <v>Closed</v>
      </c>
      <c r="L751" s="13">
        <v>44616</v>
      </c>
      <c r="M751" s="12"/>
      <c r="N751" s="12"/>
      <c r="O751" s="12"/>
      <c r="P751" s="12" t="s">
        <v>3790</v>
      </c>
      <c r="Q751" s="12"/>
      <c r="R751" s="12"/>
      <c r="S751" s="12"/>
      <c r="T751" s="13" t="s">
        <v>1547</v>
      </c>
      <c r="U751" s="12" t="str">
        <f t="shared" si="47"/>
        <v>NFF</v>
      </c>
      <c r="V751" s="12" t="str">
        <f t="shared" si="44"/>
        <v>FIRDUS Ahmad</v>
      </c>
      <c r="W751" s="13">
        <f t="shared" si="45"/>
        <v>44616</v>
      </c>
    </row>
    <row r="752" spans="1:23" ht="14.4" customHeight="1" x14ac:dyDescent="0.3">
      <c r="A752" s="28">
        <v>44608</v>
      </c>
      <c r="B752" s="12" t="s">
        <v>3075</v>
      </c>
      <c r="C752" s="12" t="s">
        <v>1542</v>
      </c>
      <c r="D752" s="5" t="s">
        <v>3072</v>
      </c>
      <c r="E752" s="12">
        <v>617</v>
      </c>
      <c r="F752" s="11" t="s">
        <v>3076</v>
      </c>
      <c r="G752" s="12" t="s">
        <v>1</v>
      </c>
      <c r="H752" s="12" t="s">
        <v>19</v>
      </c>
      <c r="I752" s="11" t="s">
        <v>3077</v>
      </c>
      <c r="J752" s="12" t="s">
        <v>1574</v>
      </c>
      <c r="K752" s="12" t="str">
        <f t="shared" si="46"/>
        <v>Closed</v>
      </c>
      <c r="L752" s="13">
        <v>44616</v>
      </c>
      <c r="M752" s="12"/>
      <c r="N752" s="12"/>
      <c r="O752" s="12"/>
      <c r="P752" s="12" t="s">
        <v>3790</v>
      </c>
      <c r="Q752" s="12"/>
      <c r="R752" s="12"/>
      <c r="S752" s="12"/>
      <c r="T752" s="13" t="s">
        <v>1547</v>
      </c>
      <c r="U752" s="12" t="str">
        <f t="shared" si="47"/>
        <v>NFF</v>
      </c>
      <c r="V752" s="12" t="str">
        <f t="shared" si="44"/>
        <v>DAOUDI Mohamed</v>
      </c>
      <c r="W752" s="13">
        <f t="shared" si="45"/>
        <v>44616</v>
      </c>
    </row>
    <row r="753" spans="1:23" x14ac:dyDescent="0.3">
      <c r="A753" s="28">
        <v>44608</v>
      </c>
      <c r="B753" s="12" t="s">
        <v>3078</v>
      </c>
      <c r="C753" s="12" t="s">
        <v>1542</v>
      </c>
      <c r="D753" s="5" t="s">
        <v>3072</v>
      </c>
      <c r="E753" s="12">
        <v>617</v>
      </c>
      <c r="F753" s="11" t="s">
        <v>3079</v>
      </c>
      <c r="G753" s="12" t="s">
        <v>7</v>
      </c>
      <c r="H753" s="12" t="s">
        <v>9</v>
      </c>
      <c r="I753" s="11" t="s">
        <v>3080</v>
      </c>
      <c r="J753" s="12" t="s">
        <v>1574</v>
      </c>
      <c r="K753" s="12" t="str">
        <f t="shared" si="46"/>
        <v>Closed</v>
      </c>
      <c r="L753" s="13">
        <v>44620</v>
      </c>
      <c r="M753" s="12"/>
      <c r="N753" s="12"/>
      <c r="O753" s="12"/>
      <c r="P753" s="12" t="s">
        <v>3790</v>
      </c>
      <c r="Q753" s="12"/>
      <c r="R753" s="12"/>
      <c r="S753" s="12"/>
      <c r="T753" s="12"/>
      <c r="U753" s="12" t="str">
        <f t="shared" si="47"/>
        <v>NFF</v>
      </c>
      <c r="V753" s="12" t="str">
        <f t="shared" si="44"/>
        <v>KHAN Jahan</v>
      </c>
      <c r="W753" s="13">
        <f t="shared" si="45"/>
        <v>44620</v>
      </c>
    </row>
    <row r="754" spans="1:23" ht="28.8" customHeight="1" x14ac:dyDescent="0.3">
      <c r="A754" s="28">
        <v>44608</v>
      </c>
      <c r="B754" s="12" t="s">
        <v>3081</v>
      </c>
      <c r="C754" s="12" t="s">
        <v>1542</v>
      </c>
      <c r="D754" s="5" t="s">
        <v>3082</v>
      </c>
      <c r="E754" s="12">
        <v>624</v>
      </c>
      <c r="F754" s="11" t="s">
        <v>3083</v>
      </c>
      <c r="G754" s="12" t="s">
        <v>7</v>
      </c>
      <c r="H754" s="12" t="s">
        <v>14</v>
      </c>
      <c r="I754" s="11"/>
      <c r="J754" s="12" t="s">
        <v>1574</v>
      </c>
      <c r="K754" s="12" t="str">
        <f t="shared" si="46"/>
        <v>Closed</v>
      </c>
      <c r="L754" s="13">
        <v>44620</v>
      </c>
      <c r="M754" s="12"/>
      <c r="N754" s="12"/>
      <c r="O754" s="12"/>
      <c r="P754" s="12" t="s">
        <v>3790</v>
      </c>
      <c r="Q754" s="12"/>
      <c r="R754" s="12"/>
      <c r="S754" s="12"/>
      <c r="T754" s="13" t="s">
        <v>1547</v>
      </c>
      <c r="U754" s="12" t="str">
        <f t="shared" si="47"/>
        <v>NFF</v>
      </c>
      <c r="V754" s="12" t="str">
        <f t="shared" si="44"/>
        <v>GUAN Jialin</v>
      </c>
      <c r="W754" s="13">
        <f t="shared" si="45"/>
        <v>44620</v>
      </c>
    </row>
    <row r="755" spans="1:23" ht="28.8" customHeight="1" x14ac:dyDescent="0.3">
      <c r="A755" s="28">
        <v>44608</v>
      </c>
      <c r="B755" s="12" t="s">
        <v>3084</v>
      </c>
      <c r="C755" s="12" t="s">
        <v>1542</v>
      </c>
      <c r="D755" s="5" t="s">
        <v>3082</v>
      </c>
      <c r="E755" s="12">
        <v>624</v>
      </c>
      <c r="F755" s="11" t="s">
        <v>3079</v>
      </c>
      <c r="G755" s="12" t="s">
        <v>7</v>
      </c>
      <c r="H755" s="12" t="s">
        <v>9</v>
      </c>
      <c r="I755" s="11"/>
      <c r="J755" s="12" t="s">
        <v>1574</v>
      </c>
      <c r="K755" s="12" t="str">
        <f t="shared" si="46"/>
        <v>Closed</v>
      </c>
      <c r="L755" s="13">
        <v>44620</v>
      </c>
      <c r="M755" s="12"/>
      <c r="N755" s="12"/>
      <c r="O755" s="12"/>
      <c r="P755" s="12" t="s">
        <v>3790</v>
      </c>
      <c r="Q755" s="12"/>
      <c r="R755" s="12"/>
      <c r="S755" s="12"/>
      <c r="T755" s="13" t="s">
        <v>1547</v>
      </c>
      <c r="U755" s="12" t="str">
        <f t="shared" si="47"/>
        <v>NFF</v>
      </c>
      <c r="V755" s="12" t="str">
        <f t="shared" si="44"/>
        <v>KHAN Jahan</v>
      </c>
      <c r="W755" s="13">
        <f t="shared" si="45"/>
        <v>44620</v>
      </c>
    </row>
    <row r="756" spans="1:23" ht="28.8" customHeight="1" x14ac:dyDescent="0.3">
      <c r="A756" s="28">
        <v>44609</v>
      </c>
      <c r="B756" s="12" t="s">
        <v>3098</v>
      </c>
      <c r="C756" s="12" t="s">
        <v>1690</v>
      </c>
      <c r="D756" s="5"/>
      <c r="E756" s="12">
        <v>412</v>
      </c>
      <c r="F756" s="11" t="s">
        <v>2744</v>
      </c>
      <c r="G756" s="12" t="s">
        <v>7</v>
      </c>
      <c r="H756" s="12" t="s">
        <v>18</v>
      </c>
      <c r="I756" s="11" t="s">
        <v>2832</v>
      </c>
      <c r="J756" s="12" t="s">
        <v>1574</v>
      </c>
      <c r="K756" s="12" t="str">
        <f t="shared" si="46"/>
        <v>Closed</v>
      </c>
      <c r="L756" s="13">
        <v>44616</v>
      </c>
      <c r="M756" s="12"/>
      <c r="N756" s="12"/>
      <c r="O756" s="12"/>
      <c r="P756" s="12" t="s">
        <v>3790</v>
      </c>
      <c r="Q756" s="12"/>
      <c r="R756" s="12"/>
      <c r="S756" s="12"/>
      <c r="T756" s="13" t="s">
        <v>1547</v>
      </c>
      <c r="U756" s="12" t="str">
        <f t="shared" si="47"/>
        <v>NFF</v>
      </c>
      <c r="V756" s="12" t="str">
        <f t="shared" si="44"/>
        <v>BENAYED Elie</v>
      </c>
      <c r="W756" s="13">
        <f t="shared" si="45"/>
        <v>44616</v>
      </c>
    </row>
    <row r="757" spans="1:23" ht="14.4" customHeight="1" x14ac:dyDescent="0.3">
      <c r="A757" s="28">
        <v>44610</v>
      </c>
      <c r="B757" s="12" t="s">
        <v>3099</v>
      </c>
      <c r="C757" s="12" t="s">
        <v>1690</v>
      </c>
      <c r="D757" s="5"/>
      <c r="E757" s="12">
        <v>420</v>
      </c>
      <c r="F757" s="11" t="s">
        <v>3345</v>
      </c>
      <c r="G757" s="12" t="s">
        <v>7</v>
      </c>
      <c r="H757" s="12" t="s">
        <v>9</v>
      </c>
      <c r="I757" s="11" t="s">
        <v>3485</v>
      </c>
      <c r="J757" s="12" t="s">
        <v>1609</v>
      </c>
      <c r="K757" s="12" t="str">
        <f t="shared" si="46"/>
        <v>Open</v>
      </c>
      <c r="L757" s="13">
        <v>44635</v>
      </c>
      <c r="M757" s="12"/>
      <c r="N757" s="12"/>
      <c r="O757" s="12" t="s">
        <v>1675</v>
      </c>
      <c r="P757" s="12" t="s">
        <v>3790</v>
      </c>
      <c r="Q757" s="12"/>
      <c r="R757" s="12" t="s">
        <v>1545</v>
      </c>
      <c r="S757" s="12" t="s">
        <v>16</v>
      </c>
      <c r="T757" s="13">
        <v>44654</v>
      </c>
      <c r="U757" s="12" t="str">
        <f t="shared" si="47"/>
        <v>Corrected</v>
      </c>
      <c r="V757" s="12" t="str">
        <f t="shared" si="44"/>
        <v>BRAO-DIGOR Robert</v>
      </c>
      <c r="W757" s="13">
        <f t="shared" si="45"/>
        <v>44654</v>
      </c>
    </row>
    <row r="758" spans="1:23" ht="14.4" customHeight="1" x14ac:dyDescent="0.3">
      <c r="A758" s="28">
        <v>44609</v>
      </c>
      <c r="B758" s="12" t="s">
        <v>3100</v>
      </c>
      <c r="C758" s="12" t="s">
        <v>1542</v>
      </c>
      <c r="D758" s="5"/>
      <c r="E758" s="12">
        <v>612</v>
      </c>
      <c r="F758" s="11" t="s">
        <v>3101</v>
      </c>
      <c r="G758" s="12" t="s">
        <v>7</v>
      </c>
      <c r="H758" s="12" t="s">
        <v>14</v>
      </c>
      <c r="I758" s="11"/>
      <c r="J758" s="12" t="s">
        <v>1574</v>
      </c>
      <c r="K758" s="12" t="str">
        <f t="shared" si="46"/>
        <v>Closed</v>
      </c>
      <c r="L758" s="13">
        <v>44635</v>
      </c>
      <c r="M758" s="12" t="s">
        <v>3102</v>
      </c>
      <c r="N758" s="12"/>
      <c r="O758" s="12"/>
      <c r="P758" s="12" t="s">
        <v>3790</v>
      </c>
      <c r="Q758" s="12"/>
      <c r="R758" s="12"/>
      <c r="S758" s="12"/>
      <c r="T758" s="13" t="s">
        <v>1547</v>
      </c>
      <c r="U758" s="12" t="str">
        <f t="shared" si="47"/>
        <v>NFF</v>
      </c>
      <c r="V758" s="12" t="str">
        <f t="shared" si="44"/>
        <v>GUAN Jialin</v>
      </c>
      <c r="W758" s="13">
        <f t="shared" si="45"/>
        <v>44635</v>
      </c>
    </row>
    <row r="759" spans="1:23" ht="14.4" customHeight="1" x14ac:dyDescent="0.3">
      <c r="A759" s="28">
        <v>44609</v>
      </c>
      <c r="B759" s="12" t="s">
        <v>3103</v>
      </c>
      <c r="C759" s="12" t="s">
        <v>1542</v>
      </c>
      <c r="D759" s="5"/>
      <c r="E759" s="12">
        <v>423</v>
      </c>
      <c r="F759" s="11" t="s">
        <v>3104</v>
      </c>
      <c r="G759" s="12" t="s">
        <v>7</v>
      </c>
      <c r="H759" s="12" t="s">
        <v>14</v>
      </c>
      <c r="I759" s="11"/>
      <c r="J759" s="12" t="s">
        <v>1574</v>
      </c>
      <c r="K759" s="12" t="str">
        <f t="shared" si="46"/>
        <v>Closed</v>
      </c>
      <c r="L759" s="13">
        <v>44633</v>
      </c>
      <c r="M759" s="12" t="s">
        <v>3105</v>
      </c>
      <c r="N759" s="12"/>
      <c r="O759" s="12"/>
      <c r="P759" s="12" t="s">
        <v>3790</v>
      </c>
      <c r="Q759" s="12"/>
      <c r="R759" s="12"/>
      <c r="S759" s="12"/>
      <c r="T759" s="12"/>
      <c r="U759" s="12" t="str">
        <f t="shared" si="47"/>
        <v>NFF</v>
      </c>
      <c r="V759" s="12" t="str">
        <f t="shared" si="44"/>
        <v>GUAN Jialin</v>
      </c>
      <c r="W759" s="13">
        <f t="shared" si="45"/>
        <v>44633</v>
      </c>
    </row>
    <row r="760" spans="1:23" ht="28.8" customHeight="1" x14ac:dyDescent="0.3">
      <c r="A760" s="28">
        <v>44613</v>
      </c>
      <c r="B760" s="12" t="s">
        <v>3143</v>
      </c>
      <c r="C760" s="12" t="s">
        <v>1542</v>
      </c>
      <c r="D760" s="5" t="s">
        <v>3144</v>
      </c>
      <c r="E760" s="12">
        <v>424</v>
      </c>
      <c r="F760" s="11" t="s">
        <v>3145</v>
      </c>
      <c r="G760" s="12" t="s">
        <v>4</v>
      </c>
      <c r="H760" s="12" t="s">
        <v>9</v>
      </c>
      <c r="I760" s="11" t="s">
        <v>3146</v>
      </c>
      <c r="J760" s="12" t="s">
        <v>1574</v>
      </c>
      <c r="K760" s="12" t="str">
        <f t="shared" si="46"/>
        <v>Closed</v>
      </c>
      <c r="L760" s="13">
        <v>44589</v>
      </c>
      <c r="M760" s="12"/>
      <c r="N760" s="12"/>
      <c r="O760" s="12"/>
      <c r="P760" s="12" t="s">
        <v>3790</v>
      </c>
      <c r="Q760" s="12"/>
      <c r="R760" s="12"/>
      <c r="S760" s="12"/>
      <c r="T760" s="13" t="s">
        <v>1547</v>
      </c>
      <c r="U760" s="12" t="str">
        <f t="shared" si="47"/>
        <v>NFF</v>
      </c>
      <c r="V760" s="12" t="str">
        <f t="shared" si="44"/>
        <v>KHAN Jahan</v>
      </c>
      <c r="W760" s="13">
        <f t="shared" si="45"/>
        <v>44589</v>
      </c>
    </row>
    <row r="761" spans="1:23" x14ac:dyDescent="0.3">
      <c r="A761" s="28">
        <v>44615</v>
      </c>
      <c r="B761" s="12" t="s">
        <v>3147</v>
      </c>
      <c r="C761" s="12" t="s">
        <v>1542</v>
      </c>
      <c r="D761" s="5" t="s">
        <v>1675</v>
      </c>
      <c r="E761" s="12">
        <v>625</v>
      </c>
      <c r="F761" s="11" t="s">
        <v>3148</v>
      </c>
      <c r="G761" s="12" t="s">
        <v>7</v>
      </c>
      <c r="H761" s="12" t="s">
        <v>14</v>
      </c>
      <c r="I761" s="11" t="s">
        <v>2841</v>
      </c>
      <c r="J761" s="12" t="s">
        <v>1545</v>
      </c>
      <c r="K761" s="12" t="str">
        <f t="shared" si="46"/>
        <v>Closed</v>
      </c>
      <c r="L761" s="13">
        <v>44616</v>
      </c>
      <c r="M761" s="12" t="s">
        <v>3149</v>
      </c>
      <c r="N761" s="12" t="s">
        <v>4427</v>
      </c>
      <c r="O761" s="12" t="s">
        <v>3371</v>
      </c>
      <c r="P761" s="12" t="s">
        <v>3790</v>
      </c>
      <c r="Q761" s="12"/>
      <c r="R761" s="12"/>
      <c r="S761" s="12"/>
      <c r="T761" s="13" t="s">
        <v>1547</v>
      </c>
      <c r="U761" s="12" t="str">
        <f t="shared" si="47"/>
        <v>Corrected</v>
      </c>
      <c r="V761" s="12" t="str">
        <f t="shared" si="44"/>
        <v>GUAN Jialin</v>
      </c>
      <c r="W761" s="13">
        <f t="shared" si="45"/>
        <v>44616</v>
      </c>
    </row>
    <row r="762" spans="1:23" ht="14.4" customHeight="1" x14ac:dyDescent="0.3">
      <c r="A762" s="28">
        <v>44615</v>
      </c>
      <c r="B762" s="12" t="s">
        <v>3150</v>
      </c>
      <c r="C762" s="12" t="s">
        <v>1542</v>
      </c>
      <c r="D762" s="5" t="s">
        <v>3151</v>
      </c>
      <c r="E762" s="12">
        <v>613</v>
      </c>
      <c r="F762" s="11" t="s">
        <v>3152</v>
      </c>
      <c r="G762" s="12" t="s">
        <v>7</v>
      </c>
      <c r="H762" s="12" t="s">
        <v>19</v>
      </c>
      <c r="I762" s="11" t="s">
        <v>3436</v>
      </c>
      <c r="J762" s="12" t="s">
        <v>1609</v>
      </c>
      <c r="K762" s="12" t="str">
        <f t="shared" si="46"/>
        <v>Open</v>
      </c>
      <c r="L762" s="13"/>
      <c r="M762" s="12"/>
      <c r="N762" s="12" t="s">
        <v>1652</v>
      </c>
      <c r="O762" s="12"/>
      <c r="P762" s="12" t="s">
        <v>3790</v>
      </c>
      <c r="Q762" s="12"/>
      <c r="R762" s="12" t="s">
        <v>1545</v>
      </c>
      <c r="S762" s="12" t="s">
        <v>19</v>
      </c>
      <c r="T762" s="13">
        <v>44703</v>
      </c>
      <c r="U762" s="12" t="str">
        <f t="shared" si="47"/>
        <v>Corrected</v>
      </c>
      <c r="V762" s="12" t="str">
        <f t="shared" si="44"/>
        <v>DAOUDI Mohamed</v>
      </c>
      <c r="W762" s="13">
        <f t="shared" si="45"/>
        <v>44703</v>
      </c>
    </row>
    <row r="763" spans="1:23" ht="14.4" customHeight="1" x14ac:dyDescent="0.3">
      <c r="A763" s="28">
        <v>44615</v>
      </c>
      <c r="B763" s="12" t="s">
        <v>3153</v>
      </c>
      <c r="C763" s="12" t="s">
        <v>1542</v>
      </c>
      <c r="D763" s="5" t="s">
        <v>3151</v>
      </c>
      <c r="E763" s="12">
        <v>613</v>
      </c>
      <c r="F763" s="11" t="s">
        <v>3154</v>
      </c>
      <c r="G763" s="12" t="s">
        <v>7</v>
      </c>
      <c r="H763" s="12" t="s">
        <v>18</v>
      </c>
      <c r="I763" s="11" t="s">
        <v>3602</v>
      </c>
      <c r="J763" s="12" t="s">
        <v>1609</v>
      </c>
      <c r="K763" s="12" t="str">
        <f t="shared" si="46"/>
        <v>Open</v>
      </c>
      <c r="L763" s="13"/>
      <c r="M763" s="12"/>
      <c r="N763" s="12"/>
      <c r="O763" s="12"/>
      <c r="P763" s="12" t="s">
        <v>3790</v>
      </c>
      <c r="Q763" s="12"/>
      <c r="R763" s="12" t="s">
        <v>5</v>
      </c>
      <c r="S763" s="12" t="s">
        <v>3</v>
      </c>
      <c r="T763" s="13" t="s">
        <v>1547</v>
      </c>
      <c r="U763" s="12" t="str">
        <f t="shared" si="47"/>
        <v>No Material</v>
      </c>
      <c r="V763" s="12" t="str">
        <f t="shared" si="44"/>
        <v>SUKIMAN Zamhuri</v>
      </c>
      <c r="W763" s="13" t="str">
        <f t="shared" si="45"/>
        <v/>
      </c>
    </row>
    <row r="764" spans="1:23" ht="14.4" customHeight="1" x14ac:dyDescent="0.3">
      <c r="A764" s="28">
        <v>44615</v>
      </c>
      <c r="B764" s="12" t="s">
        <v>3155</v>
      </c>
      <c r="C764" s="12" t="s">
        <v>1542</v>
      </c>
      <c r="D764" s="5" t="s">
        <v>3151</v>
      </c>
      <c r="E764" s="12">
        <v>613</v>
      </c>
      <c r="F764" s="11" t="s">
        <v>3156</v>
      </c>
      <c r="G764" s="12" t="s">
        <v>7</v>
      </c>
      <c r="H764" s="12" t="s">
        <v>11</v>
      </c>
      <c r="I764" s="11" t="s">
        <v>3634</v>
      </c>
      <c r="J764" s="12" t="s">
        <v>1609</v>
      </c>
      <c r="K764" s="12" t="str">
        <f t="shared" si="46"/>
        <v>Open</v>
      </c>
      <c r="L764" s="13"/>
      <c r="M764" s="12"/>
      <c r="N764" s="12"/>
      <c r="O764" s="12"/>
      <c r="P764" s="12" t="s">
        <v>3790</v>
      </c>
      <c r="Q764" s="12"/>
      <c r="R764" s="12" t="s">
        <v>5</v>
      </c>
      <c r="S764" s="12" t="s">
        <v>3</v>
      </c>
      <c r="T764" s="13" t="s">
        <v>1547</v>
      </c>
      <c r="U764" s="12" t="str">
        <f t="shared" si="47"/>
        <v>No Material</v>
      </c>
      <c r="V764" s="12" t="str">
        <f t="shared" si="44"/>
        <v>SUKIMAN Zamhuri</v>
      </c>
      <c r="W764" s="13" t="str">
        <f t="shared" si="45"/>
        <v/>
      </c>
    </row>
    <row r="765" spans="1:23" ht="14.4" customHeight="1" x14ac:dyDescent="0.3">
      <c r="A765" s="28">
        <v>44615</v>
      </c>
      <c r="B765" s="12" t="s">
        <v>3157</v>
      </c>
      <c r="C765" s="12" t="s">
        <v>1542</v>
      </c>
      <c r="D765" s="5" t="s">
        <v>3158</v>
      </c>
      <c r="E765" s="12">
        <v>626</v>
      </c>
      <c r="F765" s="11" t="s">
        <v>3159</v>
      </c>
      <c r="G765" s="12" t="s">
        <v>7</v>
      </c>
      <c r="H765" s="12" t="s">
        <v>14</v>
      </c>
      <c r="I765" s="11"/>
      <c r="J765" s="12" t="s">
        <v>1574</v>
      </c>
      <c r="K765" s="12" t="str">
        <f t="shared" si="46"/>
        <v>Closed</v>
      </c>
      <c r="L765" s="13">
        <v>44620</v>
      </c>
      <c r="M765" s="12"/>
      <c r="N765" s="12"/>
      <c r="O765" s="12"/>
      <c r="P765" s="12" t="s">
        <v>3790</v>
      </c>
      <c r="Q765" s="12"/>
      <c r="R765" s="12"/>
      <c r="S765" s="12"/>
      <c r="T765" s="12"/>
      <c r="U765" s="12" t="str">
        <f t="shared" si="47"/>
        <v>NFF</v>
      </c>
      <c r="V765" s="12" t="str">
        <f t="shared" si="44"/>
        <v>GUAN Jialin</v>
      </c>
      <c r="W765" s="13">
        <f t="shared" si="45"/>
        <v>44620</v>
      </c>
    </row>
    <row r="766" spans="1:23" ht="14.4" customHeight="1" x14ac:dyDescent="0.3">
      <c r="A766" s="28">
        <v>44615</v>
      </c>
      <c r="B766" s="12" t="s">
        <v>3160</v>
      </c>
      <c r="C766" s="12" t="s">
        <v>1542</v>
      </c>
      <c r="D766" s="5" t="s">
        <v>3161</v>
      </c>
      <c r="E766" s="12">
        <v>420</v>
      </c>
      <c r="F766" s="11" t="s">
        <v>3152</v>
      </c>
      <c r="G766" s="12" t="s">
        <v>7</v>
      </c>
      <c r="H766" s="12" t="s">
        <v>19</v>
      </c>
      <c r="I766" s="11" t="s">
        <v>2625</v>
      </c>
      <c r="J766" s="12" t="s">
        <v>1574</v>
      </c>
      <c r="K766" s="12" t="str">
        <f t="shared" si="46"/>
        <v>Closed</v>
      </c>
      <c r="L766" s="13">
        <v>44629</v>
      </c>
      <c r="M766" s="12"/>
      <c r="N766" s="12" t="s">
        <v>1652</v>
      </c>
      <c r="O766" s="12"/>
      <c r="P766" s="12" t="s">
        <v>3790</v>
      </c>
      <c r="Q766" s="12"/>
      <c r="R766" s="12"/>
      <c r="S766" s="12"/>
      <c r="T766" s="13" t="s">
        <v>1547</v>
      </c>
      <c r="U766" s="12" t="str">
        <f t="shared" si="47"/>
        <v>NFF</v>
      </c>
      <c r="V766" s="12" t="str">
        <f t="shared" si="44"/>
        <v>DAOUDI Mohamed</v>
      </c>
      <c r="W766" s="13">
        <f t="shared" si="45"/>
        <v>44629</v>
      </c>
    </row>
    <row r="767" spans="1:23" ht="14.4" customHeight="1" x14ac:dyDescent="0.3">
      <c r="A767" s="28">
        <v>44615</v>
      </c>
      <c r="B767" s="12" t="s">
        <v>3164</v>
      </c>
      <c r="C767" s="12" t="s">
        <v>1542</v>
      </c>
      <c r="D767" s="5" t="s">
        <v>1675</v>
      </c>
      <c r="E767" s="12">
        <v>651</v>
      </c>
      <c r="F767" s="11" t="s">
        <v>3165</v>
      </c>
      <c r="G767" s="12" t="s">
        <v>7</v>
      </c>
      <c r="H767" s="12" t="s">
        <v>9</v>
      </c>
      <c r="I767" s="11"/>
      <c r="J767" s="12" t="s">
        <v>1582</v>
      </c>
      <c r="K767" s="12" t="str">
        <f t="shared" si="46"/>
        <v>Open</v>
      </c>
      <c r="L767" s="13"/>
      <c r="M767" s="12"/>
      <c r="N767" s="12"/>
      <c r="O767" s="12"/>
      <c r="P767" s="12" t="s">
        <v>3790</v>
      </c>
      <c r="Q767" s="12"/>
      <c r="R767" s="12"/>
      <c r="S767" s="12"/>
      <c r="T767" s="13" t="s">
        <v>1547</v>
      </c>
      <c r="U767" s="12" t="str">
        <f t="shared" si="47"/>
        <v>Not Started</v>
      </c>
      <c r="V767" s="12" t="str">
        <f t="shared" ref="V767:V830" si="48">IF(AND(J767="Corrective Action Required",R767="Corrected"),S767, IF(AND(J767="Corrective Action Required",R767&lt;&gt;"Corrected"),S767,H767))</f>
        <v>KHAN Jahan</v>
      </c>
      <c r="W767" s="13" t="str">
        <f t="shared" ref="W767:W830" si="49">IF(OR(J767="Corrected",J767="NFF"),L767, IF(AND(J767="Corrective Action Required",R767="Corrected"),T767,""))</f>
        <v/>
      </c>
    </row>
    <row r="768" spans="1:23" ht="14.4" customHeight="1" x14ac:dyDescent="0.3">
      <c r="A768" s="28">
        <v>44615</v>
      </c>
      <c r="B768" s="12" t="s">
        <v>3166</v>
      </c>
      <c r="C768" s="12" t="s">
        <v>1716</v>
      </c>
      <c r="D768" s="5" t="s">
        <v>3167</v>
      </c>
      <c r="E768" s="12">
        <v>406</v>
      </c>
      <c r="F768" s="14" t="s">
        <v>4321</v>
      </c>
      <c r="G768" s="12" t="s">
        <v>7</v>
      </c>
      <c r="H768" s="12" t="s">
        <v>19</v>
      </c>
      <c r="I768" s="11" t="s">
        <v>3436</v>
      </c>
      <c r="J768" s="12" t="s">
        <v>1609</v>
      </c>
      <c r="K768" s="12" t="str">
        <f t="shared" ref="K768:K831" si="50">IF(J768="Corrected","Closed",IF(J768="NFF","Closed","Open"))</f>
        <v>Open</v>
      </c>
      <c r="L768" s="13"/>
      <c r="M768" s="12"/>
      <c r="N768" s="12"/>
      <c r="O768" s="12"/>
      <c r="P768" s="12" t="s">
        <v>3790</v>
      </c>
      <c r="Q768" s="12"/>
      <c r="R768" s="12" t="s">
        <v>1545</v>
      </c>
      <c r="S768" s="12" t="s">
        <v>19</v>
      </c>
      <c r="T768" s="13">
        <v>44704</v>
      </c>
      <c r="U768" s="12" t="str">
        <f t="shared" si="47"/>
        <v>Corrected</v>
      </c>
      <c r="V768" s="12" t="str">
        <f t="shared" si="48"/>
        <v>DAOUDI Mohamed</v>
      </c>
      <c r="W768" s="13">
        <f t="shared" si="49"/>
        <v>44704</v>
      </c>
    </row>
    <row r="769" spans="1:23" ht="14.4" customHeight="1" x14ac:dyDescent="0.3">
      <c r="A769" s="28">
        <v>44615</v>
      </c>
      <c r="B769" s="12" t="s">
        <v>3168</v>
      </c>
      <c r="C769" s="12" t="s">
        <v>1542</v>
      </c>
      <c r="D769" s="5" t="s">
        <v>3169</v>
      </c>
      <c r="E769" s="12">
        <v>410</v>
      </c>
      <c r="F769" s="11" t="s">
        <v>3170</v>
      </c>
      <c r="G769" s="12" t="s">
        <v>7</v>
      </c>
      <c r="H769" s="12" t="s">
        <v>9</v>
      </c>
      <c r="I769" s="11"/>
      <c r="J769" s="12" t="s">
        <v>1582</v>
      </c>
      <c r="K769" s="12" t="str">
        <f t="shared" si="50"/>
        <v>Open</v>
      </c>
      <c r="L769" s="13"/>
      <c r="M769" s="12"/>
      <c r="N769" s="12"/>
      <c r="O769" s="12"/>
      <c r="P769" s="12" t="s">
        <v>3790</v>
      </c>
      <c r="Q769" s="12"/>
      <c r="R769" s="12" t="s">
        <v>5</v>
      </c>
      <c r="S769" s="12" t="s">
        <v>3</v>
      </c>
      <c r="T769" s="13" t="s">
        <v>1547</v>
      </c>
      <c r="U769" s="12" t="str">
        <f t="shared" si="47"/>
        <v>Not Started</v>
      </c>
      <c r="V769" s="12" t="str">
        <f t="shared" si="48"/>
        <v>KHAN Jahan</v>
      </c>
      <c r="W769" s="13" t="str">
        <f t="shared" si="49"/>
        <v/>
      </c>
    </row>
    <row r="770" spans="1:23" ht="14.4" customHeight="1" x14ac:dyDescent="0.3">
      <c r="A770" s="28">
        <v>44615</v>
      </c>
      <c r="B770" s="12" t="s">
        <v>3171</v>
      </c>
      <c r="C770" s="12"/>
      <c r="D770" s="5" t="s">
        <v>3172</v>
      </c>
      <c r="E770" s="12">
        <v>410</v>
      </c>
      <c r="F770" s="14" t="s">
        <v>4322</v>
      </c>
      <c r="G770" s="12" t="s">
        <v>7</v>
      </c>
      <c r="H770" s="12" t="s">
        <v>11</v>
      </c>
      <c r="I770" s="11"/>
      <c r="J770" s="12" t="s">
        <v>1609</v>
      </c>
      <c r="K770" s="12" t="str">
        <f t="shared" si="50"/>
        <v>Open</v>
      </c>
      <c r="L770" s="13"/>
      <c r="M770" s="12"/>
      <c r="N770" s="12" t="s">
        <v>1652</v>
      </c>
      <c r="O770" s="12"/>
      <c r="P770" s="12" t="s">
        <v>3790</v>
      </c>
      <c r="Q770" s="12"/>
      <c r="R770" s="12" t="s">
        <v>5</v>
      </c>
      <c r="S770" s="12" t="s">
        <v>3</v>
      </c>
      <c r="T770" s="12"/>
      <c r="U770" s="12" t="str">
        <f t="shared" si="47"/>
        <v>No Material</v>
      </c>
      <c r="V770" s="12" t="str">
        <f t="shared" si="48"/>
        <v>SUKIMAN Zamhuri</v>
      </c>
      <c r="W770" s="13" t="str">
        <f t="shared" si="49"/>
        <v/>
      </c>
    </row>
    <row r="771" spans="1:23" ht="14.4" customHeight="1" x14ac:dyDescent="0.3">
      <c r="A771" s="28">
        <v>44615</v>
      </c>
      <c r="B771" s="12" t="s">
        <v>3173</v>
      </c>
      <c r="C771" s="12" t="s">
        <v>1542</v>
      </c>
      <c r="D771" s="5" t="s">
        <v>3174</v>
      </c>
      <c r="E771" s="12">
        <v>413</v>
      </c>
      <c r="F771" s="14" t="s">
        <v>4323</v>
      </c>
      <c r="G771" s="12" t="s">
        <v>7</v>
      </c>
      <c r="H771" s="12" t="s">
        <v>11</v>
      </c>
      <c r="I771" s="11"/>
      <c r="J771" s="12" t="s">
        <v>1609</v>
      </c>
      <c r="K771" s="12" t="str">
        <f t="shared" si="50"/>
        <v>Open</v>
      </c>
      <c r="L771" s="13"/>
      <c r="M771" s="12"/>
      <c r="N771" s="12"/>
      <c r="O771" s="12"/>
      <c r="P771" s="12" t="s">
        <v>3790</v>
      </c>
      <c r="Q771" s="12"/>
      <c r="R771" s="12" t="s">
        <v>5</v>
      </c>
      <c r="S771" s="12" t="s">
        <v>3</v>
      </c>
      <c r="T771" s="13" t="s">
        <v>1547</v>
      </c>
      <c r="U771" s="12" t="str">
        <f t="shared" ref="U771:U834" si="51">IF(AND(J771="Corrective Action Required",R771="Corrected"),"Corrected", IF(AND(J771="Corrective Action Required",R771&lt;&gt;"Corrected"),R771,J771))</f>
        <v>No Material</v>
      </c>
      <c r="V771" s="12" t="str">
        <f t="shared" si="48"/>
        <v>SUKIMAN Zamhuri</v>
      </c>
      <c r="W771" s="13" t="str">
        <f t="shared" si="49"/>
        <v/>
      </c>
    </row>
    <row r="772" spans="1:23" ht="14.4" customHeight="1" x14ac:dyDescent="0.3">
      <c r="A772" s="28">
        <v>44615</v>
      </c>
      <c r="B772" s="12" t="s">
        <v>3175</v>
      </c>
      <c r="C772" s="12"/>
      <c r="D772" s="5" t="s">
        <v>3176</v>
      </c>
      <c r="E772" s="12">
        <v>414</v>
      </c>
      <c r="F772" s="14" t="s">
        <v>3177</v>
      </c>
      <c r="G772" s="12" t="s">
        <v>7</v>
      </c>
      <c r="H772" s="12" t="s">
        <v>11</v>
      </c>
      <c r="I772" s="11"/>
      <c r="J772" s="12" t="s">
        <v>1609</v>
      </c>
      <c r="K772" s="12" t="str">
        <f t="shared" si="50"/>
        <v>Open</v>
      </c>
      <c r="L772" s="13"/>
      <c r="M772" s="12"/>
      <c r="N772" s="12"/>
      <c r="O772" s="12" t="s">
        <v>1675</v>
      </c>
      <c r="P772" s="12" t="s">
        <v>3790</v>
      </c>
      <c r="Q772" s="12"/>
      <c r="R772" s="12" t="s">
        <v>1545</v>
      </c>
      <c r="S772" s="12" t="s">
        <v>6</v>
      </c>
      <c r="T772" s="13">
        <v>44670</v>
      </c>
      <c r="U772" s="12" t="str">
        <f t="shared" si="51"/>
        <v>Corrected</v>
      </c>
      <c r="V772" s="12" t="str">
        <f t="shared" si="48"/>
        <v>MUHAMMAD ALIF BIN ALI</v>
      </c>
      <c r="W772" s="13">
        <f t="shared" si="49"/>
        <v>44670</v>
      </c>
    </row>
    <row r="773" spans="1:23" ht="14.4" customHeight="1" x14ac:dyDescent="0.3">
      <c r="A773" s="28">
        <v>44615</v>
      </c>
      <c r="B773" s="12" t="s">
        <v>3178</v>
      </c>
      <c r="C773" s="12"/>
      <c r="D773" s="5" t="s">
        <v>3179</v>
      </c>
      <c r="E773" s="12">
        <v>414</v>
      </c>
      <c r="F773" s="14" t="s">
        <v>4324</v>
      </c>
      <c r="G773" s="12" t="s">
        <v>7</v>
      </c>
      <c r="H773" s="12" t="s">
        <v>11</v>
      </c>
      <c r="I773" s="11"/>
      <c r="J773" s="12" t="s">
        <v>1609</v>
      </c>
      <c r="K773" s="12" t="str">
        <f t="shared" si="50"/>
        <v>Open</v>
      </c>
      <c r="L773" s="13"/>
      <c r="M773" s="12"/>
      <c r="N773" s="12"/>
      <c r="O773" s="12"/>
      <c r="P773" s="12" t="s">
        <v>3790</v>
      </c>
      <c r="Q773" s="12"/>
      <c r="R773" s="12" t="s">
        <v>1545</v>
      </c>
      <c r="S773" s="12" t="s">
        <v>19</v>
      </c>
      <c r="T773" s="13">
        <v>44705</v>
      </c>
      <c r="U773" s="12" t="str">
        <f t="shared" si="51"/>
        <v>Corrected</v>
      </c>
      <c r="V773" s="12" t="str">
        <f t="shared" si="48"/>
        <v>DAOUDI Mohamed</v>
      </c>
      <c r="W773" s="13">
        <f t="shared" si="49"/>
        <v>44705</v>
      </c>
    </row>
    <row r="774" spans="1:23" ht="14.4" customHeight="1" x14ac:dyDescent="0.3">
      <c r="A774" s="28">
        <v>44615</v>
      </c>
      <c r="B774" s="12" t="s">
        <v>3180</v>
      </c>
      <c r="C774" s="12"/>
      <c r="D774" s="5" t="s">
        <v>3181</v>
      </c>
      <c r="E774" s="12">
        <v>421</v>
      </c>
      <c r="F774" s="14" t="s">
        <v>4325</v>
      </c>
      <c r="G774" s="12" t="s">
        <v>7</v>
      </c>
      <c r="H774" s="12" t="s">
        <v>11</v>
      </c>
      <c r="I774" s="11"/>
      <c r="J774" s="12" t="s">
        <v>1609</v>
      </c>
      <c r="K774" s="12" t="str">
        <f t="shared" si="50"/>
        <v>Open</v>
      </c>
      <c r="L774" s="13"/>
      <c r="M774" s="12"/>
      <c r="N774" s="12"/>
      <c r="O774" s="12"/>
      <c r="P774" s="12" t="s">
        <v>3790</v>
      </c>
      <c r="Q774" s="12"/>
      <c r="R774" s="12" t="s">
        <v>5</v>
      </c>
      <c r="S774" s="12" t="s">
        <v>3</v>
      </c>
      <c r="T774" s="13" t="s">
        <v>1547</v>
      </c>
      <c r="U774" s="12" t="str">
        <f t="shared" si="51"/>
        <v>No Material</v>
      </c>
      <c r="V774" s="12" t="str">
        <f t="shared" si="48"/>
        <v>SUKIMAN Zamhuri</v>
      </c>
      <c r="W774" s="13" t="str">
        <f t="shared" si="49"/>
        <v/>
      </c>
    </row>
    <row r="775" spans="1:23" ht="14.4" customHeight="1" x14ac:dyDescent="0.3">
      <c r="A775" s="28">
        <v>44615</v>
      </c>
      <c r="B775" s="12" t="s">
        <v>3182</v>
      </c>
      <c r="C775" s="12"/>
      <c r="D775" s="5" t="s">
        <v>3183</v>
      </c>
      <c r="E775" s="12">
        <v>616</v>
      </c>
      <c r="F775" s="14" t="s">
        <v>3184</v>
      </c>
      <c r="G775" s="12" t="s">
        <v>7</v>
      </c>
      <c r="H775" s="12" t="s">
        <v>19</v>
      </c>
      <c r="I775" s="11" t="s">
        <v>3185</v>
      </c>
      <c r="J775" s="12" t="s">
        <v>1574</v>
      </c>
      <c r="K775" s="12" t="str">
        <f t="shared" si="50"/>
        <v>Closed</v>
      </c>
      <c r="L775" s="13">
        <v>44629</v>
      </c>
      <c r="M775" s="12"/>
      <c r="N775" s="12" t="s">
        <v>1652</v>
      </c>
      <c r="O775" s="12"/>
      <c r="P775" s="12" t="s">
        <v>3790</v>
      </c>
      <c r="Q775" s="12"/>
      <c r="R775" s="12" t="s">
        <v>5</v>
      </c>
      <c r="S775" s="12" t="s">
        <v>3</v>
      </c>
      <c r="T775" s="12"/>
      <c r="U775" s="12" t="str">
        <f t="shared" si="51"/>
        <v>NFF</v>
      </c>
      <c r="V775" s="12" t="str">
        <f t="shared" si="48"/>
        <v>DAOUDI Mohamed</v>
      </c>
      <c r="W775" s="13">
        <f t="shared" si="49"/>
        <v>44629</v>
      </c>
    </row>
    <row r="776" spans="1:23" ht="14.4" customHeight="1" x14ac:dyDescent="0.3">
      <c r="A776" s="28">
        <v>44615</v>
      </c>
      <c r="B776" s="12" t="s">
        <v>3186</v>
      </c>
      <c r="C776" s="12"/>
      <c r="D776" s="5" t="s">
        <v>3187</v>
      </c>
      <c r="E776" s="12">
        <v>616</v>
      </c>
      <c r="F776" s="14" t="s">
        <v>4326</v>
      </c>
      <c r="G776" s="12" t="s">
        <v>7</v>
      </c>
      <c r="H776" s="12" t="s">
        <v>19</v>
      </c>
      <c r="I776" s="11" t="s">
        <v>3436</v>
      </c>
      <c r="J776" s="12" t="s">
        <v>1609</v>
      </c>
      <c r="K776" s="12" t="str">
        <f t="shared" si="50"/>
        <v>Open</v>
      </c>
      <c r="L776" s="13"/>
      <c r="M776" s="12"/>
      <c r="N776" s="12"/>
      <c r="O776" s="12"/>
      <c r="P776" s="12" t="s">
        <v>3790</v>
      </c>
      <c r="Q776" s="12"/>
      <c r="R776" s="12" t="s">
        <v>1545</v>
      </c>
      <c r="S776" s="12" t="s">
        <v>19</v>
      </c>
      <c r="T776" s="13">
        <v>44704</v>
      </c>
      <c r="U776" s="12" t="str">
        <f t="shared" si="51"/>
        <v>Corrected</v>
      </c>
      <c r="V776" s="12" t="str">
        <f t="shared" si="48"/>
        <v>DAOUDI Mohamed</v>
      </c>
      <c r="W776" s="13">
        <f t="shared" si="49"/>
        <v>44704</v>
      </c>
    </row>
    <row r="777" spans="1:23" ht="14.4" customHeight="1" x14ac:dyDescent="0.3">
      <c r="A777" s="28">
        <v>44616</v>
      </c>
      <c r="B777" s="12" t="s">
        <v>3194</v>
      </c>
      <c r="C777" s="12" t="s">
        <v>1542</v>
      </c>
      <c r="D777" s="5" t="s">
        <v>1722</v>
      </c>
      <c r="E777" s="12">
        <v>605</v>
      </c>
      <c r="F777" s="11" t="s">
        <v>3195</v>
      </c>
      <c r="G777" s="12" t="s">
        <v>7</v>
      </c>
      <c r="H777" s="12" t="s">
        <v>19</v>
      </c>
      <c r="I777" s="11" t="s">
        <v>3436</v>
      </c>
      <c r="J777" s="12" t="s">
        <v>1609</v>
      </c>
      <c r="K777" s="12" t="str">
        <f t="shared" si="50"/>
        <v>Open</v>
      </c>
      <c r="L777" s="13"/>
      <c r="M777" s="12" t="s">
        <v>3196</v>
      </c>
      <c r="N777" s="12"/>
      <c r="O777" s="12"/>
      <c r="P777" s="12" t="s">
        <v>3790</v>
      </c>
      <c r="Q777" s="12"/>
      <c r="R777" s="12" t="s">
        <v>5</v>
      </c>
      <c r="S777" s="12" t="s">
        <v>3</v>
      </c>
      <c r="T777" s="12"/>
      <c r="U777" s="12" t="str">
        <f t="shared" si="51"/>
        <v>No Material</v>
      </c>
      <c r="V777" s="12" t="str">
        <f t="shared" si="48"/>
        <v>SUKIMAN Zamhuri</v>
      </c>
      <c r="W777" s="13" t="str">
        <f t="shared" si="49"/>
        <v/>
      </c>
    </row>
    <row r="778" spans="1:23" ht="14.4" customHeight="1" x14ac:dyDescent="0.3">
      <c r="A778" s="28">
        <v>44616</v>
      </c>
      <c r="B778" s="12" t="s">
        <v>3197</v>
      </c>
      <c r="C778" s="12" t="s">
        <v>1716</v>
      </c>
      <c r="D778" s="5"/>
      <c r="E778" s="12">
        <v>409</v>
      </c>
      <c r="F778" s="11" t="s">
        <v>3198</v>
      </c>
      <c r="G778" s="12" t="s">
        <v>7</v>
      </c>
      <c r="H778" s="12" t="s">
        <v>9</v>
      </c>
      <c r="I778" s="11"/>
      <c r="J778" s="12" t="s">
        <v>1582</v>
      </c>
      <c r="K778" s="12" t="str">
        <f t="shared" si="50"/>
        <v>Open</v>
      </c>
      <c r="L778" s="13"/>
      <c r="M778" s="12"/>
      <c r="N778" s="12"/>
      <c r="O778" s="12"/>
      <c r="P778" s="12" t="s">
        <v>3790</v>
      </c>
      <c r="Q778" s="12"/>
      <c r="R778" s="12" t="s">
        <v>5</v>
      </c>
      <c r="S778" s="12" t="s">
        <v>3</v>
      </c>
      <c r="T778" s="13" t="s">
        <v>1547</v>
      </c>
      <c r="U778" s="12" t="str">
        <f t="shared" si="51"/>
        <v>Not Started</v>
      </c>
      <c r="V778" s="12" t="str">
        <f t="shared" si="48"/>
        <v>KHAN Jahan</v>
      </c>
      <c r="W778" s="13" t="str">
        <f t="shared" si="49"/>
        <v/>
      </c>
    </row>
    <row r="779" spans="1:23" ht="14.4" customHeight="1" x14ac:dyDescent="0.3">
      <c r="A779" s="28">
        <v>44616</v>
      </c>
      <c r="B779" s="12" t="s">
        <v>3199</v>
      </c>
      <c r="C779" s="12"/>
      <c r="D779" s="5"/>
      <c r="E779" s="12">
        <v>601</v>
      </c>
      <c r="F779" s="11" t="s">
        <v>3198</v>
      </c>
      <c r="G779" s="12" t="s">
        <v>7</v>
      </c>
      <c r="H779" s="12" t="s">
        <v>11</v>
      </c>
      <c r="I779" s="11" t="s">
        <v>3200</v>
      </c>
      <c r="J779" s="12" t="s">
        <v>1574</v>
      </c>
      <c r="K779" s="12" t="str">
        <f t="shared" si="50"/>
        <v>Closed</v>
      </c>
      <c r="L779" s="13">
        <v>44626</v>
      </c>
      <c r="M779" s="12"/>
      <c r="N779" s="12"/>
      <c r="O779" s="12"/>
      <c r="P779" s="12" t="s">
        <v>3790</v>
      </c>
      <c r="Q779" s="12"/>
      <c r="R779" s="12"/>
      <c r="S779" s="12"/>
      <c r="T779" s="13" t="s">
        <v>1547</v>
      </c>
      <c r="U779" s="12" t="str">
        <f t="shared" si="51"/>
        <v>NFF</v>
      </c>
      <c r="V779" s="12" t="str">
        <f t="shared" si="48"/>
        <v>FIRDUS Ahmad</v>
      </c>
      <c r="W779" s="13">
        <f t="shared" si="49"/>
        <v>44626</v>
      </c>
    </row>
    <row r="780" spans="1:23" ht="14.4" customHeight="1" x14ac:dyDescent="0.3">
      <c r="A780" s="28">
        <v>44616</v>
      </c>
      <c r="B780" s="12" t="s">
        <v>3201</v>
      </c>
      <c r="C780" s="12" t="s">
        <v>1716</v>
      </c>
      <c r="D780" s="5" t="s">
        <v>1722</v>
      </c>
      <c r="E780" s="12">
        <v>406</v>
      </c>
      <c r="F780" s="11" t="s">
        <v>3202</v>
      </c>
      <c r="G780" s="12" t="s">
        <v>7</v>
      </c>
      <c r="H780" s="12" t="s">
        <v>19</v>
      </c>
      <c r="I780" s="11"/>
      <c r="J780" s="12" t="s">
        <v>1609</v>
      </c>
      <c r="K780" s="12" t="str">
        <f t="shared" si="50"/>
        <v>Open</v>
      </c>
      <c r="L780" s="13"/>
      <c r="M780" s="12"/>
      <c r="N780" s="12"/>
      <c r="O780" s="12"/>
      <c r="P780" s="12" t="s">
        <v>3790</v>
      </c>
      <c r="Q780" s="12"/>
      <c r="R780" s="12" t="s">
        <v>3566</v>
      </c>
      <c r="S780" s="12" t="s">
        <v>19</v>
      </c>
      <c r="T780" s="13" t="s">
        <v>1547</v>
      </c>
      <c r="U780" s="12" t="str">
        <f t="shared" si="51"/>
        <v>CM Open</v>
      </c>
      <c r="V780" s="12" t="str">
        <f t="shared" si="48"/>
        <v>DAOUDI Mohamed</v>
      </c>
      <c r="W780" s="13" t="str">
        <f t="shared" si="49"/>
        <v/>
      </c>
    </row>
    <row r="781" spans="1:23" ht="14.4" customHeight="1" x14ac:dyDescent="0.3">
      <c r="A781" s="28">
        <v>44616</v>
      </c>
      <c r="B781" s="12" t="s">
        <v>3203</v>
      </c>
      <c r="C781" s="12" t="s">
        <v>1716</v>
      </c>
      <c r="D781" s="5" t="s">
        <v>1722</v>
      </c>
      <c r="E781" s="12">
        <v>607</v>
      </c>
      <c r="F781" s="11" t="s">
        <v>3204</v>
      </c>
      <c r="G781" s="12" t="s">
        <v>7</v>
      </c>
      <c r="H781" s="12" t="s">
        <v>19</v>
      </c>
      <c r="I781" s="11"/>
      <c r="J781" s="12" t="s">
        <v>1609</v>
      </c>
      <c r="K781" s="12" t="str">
        <f t="shared" si="50"/>
        <v>Open</v>
      </c>
      <c r="L781" s="13"/>
      <c r="M781" s="12"/>
      <c r="N781" s="12"/>
      <c r="O781" s="12"/>
      <c r="P781" s="12" t="s">
        <v>3790</v>
      </c>
      <c r="Q781" s="12"/>
      <c r="R781" s="12" t="s">
        <v>3566</v>
      </c>
      <c r="S781" s="12" t="s">
        <v>19</v>
      </c>
      <c r="T781" s="12"/>
      <c r="U781" s="12" t="str">
        <f t="shared" si="51"/>
        <v>CM Open</v>
      </c>
      <c r="V781" s="12" t="str">
        <f t="shared" si="48"/>
        <v>DAOUDI Mohamed</v>
      </c>
      <c r="W781" s="13" t="str">
        <f t="shared" si="49"/>
        <v/>
      </c>
    </row>
    <row r="782" spans="1:23" ht="14.4" customHeight="1" x14ac:dyDescent="0.3">
      <c r="A782" s="28">
        <v>44616</v>
      </c>
      <c r="B782" s="12" t="s">
        <v>3205</v>
      </c>
      <c r="C782" s="12" t="s">
        <v>1716</v>
      </c>
      <c r="D782" s="5" t="s">
        <v>1722</v>
      </c>
      <c r="E782" s="12">
        <v>406</v>
      </c>
      <c r="F782" s="11" t="s">
        <v>3206</v>
      </c>
      <c r="G782" s="12" t="s">
        <v>7</v>
      </c>
      <c r="H782" s="12" t="s">
        <v>19</v>
      </c>
      <c r="I782" s="11"/>
      <c r="J782" s="12" t="s">
        <v>1609</v>
      </c>
      <c r="K782" s="12" t="str">
        <f t="shared" si="50"/>
        <v>Open</v>
      </c>
      <c r="L782" s="13"/>
      <c r="M782" s="12"/>
      <c r="N782" s="12"/>
      <c r="O782" s="12"/>
      <c r="P782" s="12" t="s">
        <v>3790</v>
      </c>
      <c r="Q782" s="12"/>
      <c r="R782" s="12" t="s">
        <v>3566</v>
      </c>
      <c r="S782" s="12" t="s">
        <v>19</v>
      </c>
      <c r="T782" s="13" t="s">
        <v>1547</v>
      </c>
      <c r="U782" s="12" t="str">
        <f t="shared" si="51"/>
        <v>CM Open</v>
      </c>
      <c r="V782" s="12" t="str">
        <f t="shared" si="48"/>
        <v>DAOUDI Mohamed</v>
      </c>
      <c r="W782" s="13" t="str">
        <f t="shared" si="49"/>
        <v/>
      </c>
    </row>
    <row r="783" spans="1:23" ht="14.4" customHeight="1" x14ac:dyDescent="0.3">
      <c r="A783" s="28">
        <v>44616</v>
      </c>
      <c r="B783" s="12" t="s">
        <v>3207</v>
      </c>
      <c r="C783" s="12" t="s">
        <v>1716</v>
      </c>
      <c r="D783" s="5" t="s">
        <v>1722</v>
      </c>
      <c r="E783" s="12">
        <v>614</v>
      </c>
      <c r="F783" s="11" t="s">
        <v>3206</v>
      </c>
      <c r="G783" s="12" t="s">
        <v>7</v>
      </c>
      <c r="H783" s="12" t="s">
        <v>19</v>
      </c>
      <c r="I783" s="11"/>
      <c r="J783" s="12" t="s">
        <v>1609</v>
      </c>
      <c r="K783" s="12" t="str">
        <f t="shared" si="50"/>
        <v>Open</v>
      </c>
      <c r="L783" s="13"/>
      <c r="M783" s="12"/>
      <c r="N783" s="12"/>
      <c r="O783" s="12"/>
      <c r="P783" s="12" t="s">
        <v>3790</v>
      </c>
      <c r="Q783" s="12"/>
      <c r="R783" s="12" t="s">
        <v>3566</v>
      </c>
      <c r="S783" s="12" t="s">
        <v>19</v>
      </c>
      <c r="T783" s="12"/>
      <c r="U783" s="12" t="str">
        <f t="shared" si="51"/>
        <v>CM Open</v>
      </c>
      <c r="V783" s="12" t="str">
        <f t="shared" si="48"/>
        <v>DAOUDI Mohamed</v>
      </c>
      <c r="W783" s="13" t="str">
        <f t="shared" si="49"/>
        <v/>
      </c>
    </row>
    <row r="784" spans="1:23" ht="14.4" customHeight="1" x14ac:dyDescent="0.3">
      <c r="A784" s="28">
        <v>44616</v>
      </c>
      <c r="B784" s="12" t="s">
        <v>3208</v>
      </c>
      <c r="C784" s="12" t="s">
        <v>1716</v>
      </c>
      <c r="D784" s="5" t="s">
        <v>1722</v>
      </c>
      <c r="E784" s="12">
        <v>611</v>
      </c>
      <c r="F784" s="11" t="s">
        <v>3209</v>
      </c>
      <c r="G784" s="12" t="s">
        <v>7</v>
      </c>
      <c r="H784" s="12" t="s">
        <v>19</v>
      </c>
      <c r="I784" s="11" t="s">
        <v>4468</v>
      </c>
      <c r="J784" s="12" t="s">
        <v>1574</v>
      </c>
      <c r="K784" s="12" t="str">
        <f t="shared" si="50"/>
        <v>Closed</v>
      </c>
      <c r="L784" s="13"/>
      <c r="M784" s="12"/>
      <c r="N784" s="12"/>
      <c r="O784" s="12"/>
      <c r="P784" s="12" t="s">
        <v>3790</v>
      </c>
      <c r="Q784" s="12"/>
      <c r="R784" s="12" t="s">
        <v>3566</v>
      </c>
      <c r="S784" s="12" t="s">
        <v>19</v>
      </c>
      <c r="T784" s="13" t="s">
        <v>1547</v>
      </c>
      <c r="U784" s="12" t="str">
        <f t="shared" si="51"/>
        <v>NFF</v>
      </c>
      <c r="V784" s="12" t="str">
        <f t="shared" si="48"/>
        <v>DAOUDI Mohamed</v>
      </c>
      <c r="W784" s="13"/>
    </row>
    <row r="785" spans="1:23" x14ac:dyDescent="0.3">
      <c r="A785" s="28">
        <v>44616</v>
      </c>
      <c r="B785" s="12" t="s">
        <v>3210</v>
      </c>
      <c r="C785" s="12" t="s">
        <v>1716</v>
      </c>
      <c r="D785" s="5" t="s">
        <v>1722</v>
      </c>
      <c r="E785" s="12">
        <v>402</v>
      </c>
      <c r="F785" s="11" t="s">
        <v>3211</v>
      </c>
      <c r="G785" s="12" t="s">
        <v>7</v>
      </c>
      <c r="H785" s="12" t="s">
        <v>11</v>
      </c>
      <c r="I785" s="11"/>
      <c r="J785" s="12" t="s">
        <v>1545</v>
      </c>
      <c r="K785" s="12" t="str">
        <f t="shared" si="50"/>
        <v>Closed</v>
      </c>
      <c r="L785" s="13">
        <v>44635</v>
      </c>
      <c r="M785" s="12"/>
      <c r="N785" s="12"/>
      <c r="O785" s="12" t="s">
        <v>1675</v>
      </c>
      <c r="P785" s="12" t="s">
        <v>3790</v>
      </c>
      <c r="Q785" s="12"/>
      <c r="R785" s="12"/>
      <c r="S785" s="12"/>
      <c r="T785" s="13" t="s">
        <v>1547</v>
      </c>
      <c r="U785" s="12" t="str">
        <f t="shared" si="51"/>
        <v>Corrected</v>
      </c>
      <c r="V785" s="12" t="str">
        <f t="shared" si="48"/>
        <v>FIRDUS Ahmad</v>
      </c>
      <c r="W785" s="13">
        <f t="shared" si="49"/>
        <v>44635</v>
      </c>
    </row>
    <row r="786" spans="1:23" ht="14.4" customHeight="1" x14ac:dyDescent="0.3">
      <c r="A786" s="28">
        <v>44616</v>
      </c>
      <c r="B786" s="12" t="s">
        <v>3212</v>
      </c>
      <c r="C786" s="12" t="s">
        <v>1716</v>
      </c>
      <c r="D786" s="5" t="s">
        <v>1722</v>
      </c>
      <c r="E786" s="12">
        <v>623</v>
      </c>
      <c r="F786" s="11" t="s">
        <v>3213</v>
      </c>
      <c r="G786" s="12" t="s">
        <v>7</v>
      </c>
      <c r="H786" s="12" t="s">
        <v>19</v>
      </c>
      <c r="I786" s="11" t="s">
        <v>3486</v>
      </c>
      <c r="J786" s="12" t="s">
        <v>1545</v>
      </c>
      <c r="K786" s="12" t="str">
        <f t="shared" si="50"/>
        <v>Closed</v>
      </c>
      <c r="L786" s="13">
        <v>44643</v>
      </c>
      <c r="M786" s="12"/>
      <c r="N786" s="12"/>
      <c r="O786" s="12" t="s">
        <v>1675</v>
      </c>
      <c r="P786" s="12" t="s">
        <v>3790</v>
      </c>
      <c r="Q786" s="12"/>
      <c r="R786" s="12"/>
      <c r="S786" s="12"/>
      <c r="T786" s="13" t="s">
        <v>1547</v>
      </c>
      <c r="U786" s="12" t="str">
        <f t="shared" si="51"/>
        <v>Corrected</v>
      </c>
      <c r="V786" s="12" t="str">
        <f t="shared" si="48"/>
        <v>DAOUDI Mohamed</v>
      </c>
      <c r="W786" s="13">
        <f t="shared" si="49"/>
        <v>44643</v>
      </c>
    </row>
    <row r="787" spans="1:23" ht="14.4" customHeight="1" x14ac:dyDescent="0.3">
      <c r="A787" s="28">
        <v>44616</v>
      </c>
      <c r="B787" s="12" t="s">
        <v>3214</v>
      </c>
      <c r="C787" s="12" t="s">
        <v>1716</v>
      </c>
      <c r="D787" s="5" t="s">
        <v>1722</v>
      </c>
      <c r="E787" s="12">
        <v>615</v>
      </c>
      <c r="F787" s="11" t="s">
        <v>3215</v>
      </c>
      <c r="G787" s="12" t="s">
        <v>7</v>
      </c>
      <c r="H787" s="12" t="s">
        <v>9</v>
      </c>
      <c r="I787" s="11" t="s">
        <v>4020</v>
      </c>
      <c r="J787" s="12" t="s">
        <v>1574</v>
      </c>
      <c r="K787" s="12" t="str">
        <f t="shared" si="50"/>
        <v>Closed</v>
      </c>
      <c r="L787" s="13">
        <v>44689</v>
      </c>
      <c r="M787" s="12"/>
      <c r="N787" s="12" t="s">
        <v>3216</v>
      </c>
      <c r="O787" s="12"/>
      <c r="P787" s="12" t="s">
        <v>3790</v>
      </c>
      <c r="Q787" s="12"/>
      <c r="R787" s="12" t="s">
        <v>1545</v>
      </c>
      <c r="S787" s="12" t="s">
        <v>15</v>
      </c>
      <c r="T787" s="13">
        <v>44643</v>
      </c>
      <c r="U787" s="12" t="str">
        <f t="shared" si="51"/>
        <v>NFF</v>
      </c>
      <c r="V787" s="12" t="str">
        <f t="shared" si="48"/>
        <v>KHAN Jahan</v>
      </c>
      <c r="W787" s="13">
        <f t="shared" si="49"/>
        <v>44689</v>
      </c>
    </row>
    <row r="788" spans="1:23" ht="14.4" customHeight="1" x14ac:dyDescent="0.3">
      <c r="A788" s="28">
        <v>44616</v>
      </c>
      <c r="B788" s="12" t="s">
        <v>3217</v>
      </c>
      <c r="C788" s="12" t="s">
        <v>1542</v>
      </c>
      <c r="D788" s="5" t="s">
        <v>4327</v>
      </c>
      <c r="E788" s="12">
        <v>409</v>
      </c>
      <c r="F788" s="11" t="s">
        <v>3218</v>
      </c>
      <c r="G788" s="12" t="s">
        <v>7</v>
      </c>
      <c r="H788" s="12" t="s">
        <v>11</v>
      </c>
      <c r="I788" s="11" t="s">
        <v>3487</v>
      </c>
      <c r="J788" s="12" t="s">
        <v>1609</v>
      </c>
      <c r="K788" s="12" t="str">
        <f t="shared" si="50"/>
        <v>Open</v>
      </c>
      <c r="L788" s="13"/>
      <c r="M788" s="12"/>
      <c r="N788" s="12" t="s">
        <v>2638</v>
      </c>
      <c r="O788" s="12"/>
      <c r="P788" s="12" t="s">
        <v>3790</v>
      </c>
      <c r="Q788" s="12"/>
      <c r="R788" s="12" t="s">
        <v>5</v>
      </c>
      <c r="S788" s="12" t="s">
        <v>3</v>
      </c>
      <c r="T788" s="13" t="s">
        <v>1547</v>
      </c>
      <c r="U788" s="12" t="str">
        <f t="shared" si="51"/>
        <v>No Material</v>
      </c>
      <c r="V788" s="12" t="str">
        <f t="shared" si="48"/>
        <v>SUKIMAN Zamhuri</v>
      </c>
      <c r="W788" s="13" t="str">
        <f t="shared" si="49"/>
        <v/>
      </c>
    </row>
    <row r="789" spans="1:23" ht="14.4" customHeight="1" x14ac:dyDescent="0.3">
      <c r="A789" s="28">
        <v>44616</v>
      </c>
      <c r="B789" s="12" t="s">
        <v>3219</v>
      </c>
      <c r="C789" s="12" t="s">
        <v>1542</v>
      </c>
      <c r="D789" s="5" t="s">
        <v>3189</v>
      </c>
      <c r="E789" s="12">
        <v>419</v>
      </c>
      <c r="F789" s="11" t="s">
        <v>3220</v>
      </c>
      <c r="G789" s="12" t="s">
        <v>7</v>
      </c>
      <c r="H789" s="12" t="s">
        <v>11</v>
      </c>
      <c r="I789" s="11"/>
      <c r="J789" s="12" t="s">
        <v>1609</v>
      </c>
      <c r="K789" s="12" t="str">
        <f t="shared" si="50"/>
        <v>Open</v>
      </c>
      <c r="L789" s="13"/>
      <c r="M789" s="12"/>
      <c r="N789" s="12" t="s">
        <v>2638</v>
      </c>
      <c r="O789" s="12"/>
      <c r="P789" s="12" t="s">
        <v>3790</v>
      </c>
      <c r="Q789" s="12"/>
      <c r="R789" s="12" t="s">
        <v>5</v>
      </c>
      <c r="S789" s="12" t="s">
        <v>3</v>
      </c>
      <c r="T789" s="13" t="s">
        <v>1547</v>
      </c>
      <c r="U789" s="12" t="str">
        <f t="shared" si="51"/>
        <v>No Material</v>
      </c>
      <c r="V789" s="12" t="str">
        <f t="shared" si="48"/>
        <v>SUKIMAN Zamhuri</v>
      </c>
      <c r="W789" s="13" t="str">
        <f t="shared" si="49"/>
        <v/>
      </c>
    </row>
    <row r="790" spans="1:23" ht="14.4" customHeight="1" x14ac:dyDescent="0.3">
      <c r="A790" s="28">
        <v>44616</v>
      </c>
      <c r="B790" s="12" t="s">
        <v>3221</v>
      </c>
      <c r="C790" s="12" t="s">
        <v>1542</v>
      </c>
      <c r="D790" s="5" t="s">
        <v>3189</v>
      </c>
      <c r="E790" s="12">
        <v>419</v>
      </c>
      <c r="F790" s="11" t="s">
        <v>2865</v>
      </c>
      <c r="G790" s="12" t="s">
        <v>4</v>
      </c>
      <c r="H790" s="12" t="s">
        <v>19</v>
      </c>
      <c r="I790" s="11"/>
      <c r="J790" s="12" t="s">
        <v>1574</v>
      </c>
      <c r="K790" s="12" t="str">
        <f t="shared" si="50"/>
        <v>Closed</v>
      </c>
      <c r="L790" s="13">
        <v>44629</v>
      </c>
      <c r="M790" s="12"/>
      <c r="N790" s="12"/>
      <c r="O790" s="12"/>
      <c r="P790" s="12" t="s">
        <v>3790</v>
      </c>
      <c r="Q790" s="12"/>
      <c r="R790" s="12" t="s">
        <v>3566</v>
      </c>
      <c r="S790" s="12" t="s">
        <v>3</v>
      </c>
      <c r="T790" s="13" t="s">
        <v>1547</v>
      </c>
      <c r="U790" s="12" t="str">
        <f t="shared" si="51"/>
        <v>NFF</v>
      </c>
      <c r="V790" s="12" t="str">
        <f t="shared" si="48"/>
        <v>DAOUDI Mohamed</v>
      </c>
      <c r="W790" s="13">
        <f t="shared" si="49"/>
        <v>44629</v>
      </c>
    </row>
    <row r="791" spans="1:23" ht="14.4" customHeight="1" x14ac:dyDescent="0.3">
      <c r="A791" s="28">
        <v>44616</v>
      </c>
      <c r="B791" s="12" t="s">
        <v>3222</v>
      </c>
      <c r="C791" s="12" t="s">
        <v>1542</v>
      </c>
      <c r="D791" s="5" t="s">
        <v>3189</v>
      </c>
      <c r="E791" s="12">
        <v>419</v>
      </c>
      <c r="F791" s="11" t="s">
        <v>3223</v>
      </c>
      <c r="G791" s="12" t="s">
        <v>7</v>
      </c>
      <c r="H791" s="12" t="s">
        <v>19</v>
      </c>
      <c r="I791" s="11" t="s">
        <v>3436</v>
      </c>
      <c r="J791" s="12" t="s">
        <v>1609</v>
      </c>
      <c r="K791" s="12" t="str">
        <f t="shared" si="50"/>
        <v>Open</v>
      </c>
      <c r="L791" s="13"/>
      <c r="M791" s="12"/>
      <c r="N791" s="12" t="s">
        <v>2707</v>
      </c>
      <c r="O791" s="12"/>
      <c r="P791" s="12" t="s">
        <v>3790</v>
      </c>
      <c r="Q791" s="12"/>
      <c r="R791" s="12" t="s">
        <v>1545</v>
      </c>
      <c r="S791" s="12" t="s">
        <v>19</v>
      </c>
      <c r="T791" s="13">
        <v>44703</v>
      </c>
      <c r="U791" s="12" t="str">
        <f t="shared" si="51"/>
        <v>Corrected</v>
      </c>
      <c r="V791" s="12" t="str">
        <f t="shared" si="48"/>
        <v>DAOUDI Mohamed</v>
      </c>
      <c r="W791" s="13">
        <v>44703</v>
      </c>
    </row>
    <row r="792" spans="1:23" ht="14.4" customHeight="1" x14ac:dyDescent="0.3">
      <c r="A792" s="28">
        <v>44616</v>
      </c>
      <c r="B792" s="12" t="s">
        <v>3224</v>
      </c>
      <c r="C792" s="12" t="s">
        <v>1542</v>
      </c>
      <c r="D792" s="5" t="s">
        <v>3192</v>
      </c>
      <c r="E792" s="12">
        <v>607</v>
      </c>
      <c r="F792" s="11" t="s">
        <v>3225</v>
      </c>
      <c r="G792" s="12" t="s">
        <v>7</v>
      </c>
      <c r="H792" s="12" t="s">
        <v>19</v>
      </c>
      <c r="I792" s="11" t="s">
        <v>3436</v>
      </c>
      <c r="J792" s="12" t="s">
        <v>1609</v>
      </c>
      <c r="K792" s="12" t="str">
        <f t="shared" si="50"/>
        <v>Open</v>
      </c>
      <c r="L792" s="13"/>
      <c r="M792" s="12"/>
      <c r="N792" s="12" t="s">
        <v>2707</v>
      </c>
      <c r="O792" s="12"/>
      <c r="P792" s="12" t="s">
        <v>3790</v>
      </c>
      <c r="Q792" s="12"/>
      <c r="R792" s="12" t="s">
        <v>5</v>
      </c>
      <c r="S792" s="12" t="s">
        <v>3</v>
      </c>
      <c r="T792" s="13" t="s">
        <v>1547</v>
      </c>
      <c r="U792" s="12" t="str">
        <f t="shared" si="51"/>
        <v>No Material</v>
      </c>
      <c r="V792" s="12" t="str">
        <f t="shared" si="48"/>
        <v>SUKIMAN Zamhuri</v>
      </c>
      <c r="W792" s="13" t="str">
        <f t="shared" si="49"/>
        <v/>
      </c>
    </row>
    <row r="793" spans="1:23" ht="14.4" customHeight="1" x14ac:dyDescent="0.3">
      <c r="A793" s="28">
        <v>44616</v>
      </c>
      <c r="B793" s="12" t="s">
        <v>3226</v>
      </c>
      <c r="C793" s="12" t="s">
        <v>1542</v>
      </c>
      <c r="D793" s="5" t="s">
        <v>3227</v>
      </c>
      <c r="E793" s="12">
        <v>619</v>
      </c>
      <c r="F793" s="11" t="s">
        <v>3228</v>
      </c>
      <c r="G793" s="12" t="s">
        <v>7</v>
      </c>
      <c r="H793" s="12" t="s">
        <v>18</v>
      </c>
      <c r="I793" s="11"/>
      <c r="J793" s="12" t="s">
        <v>1582</v>
      </c>
      <c r="K793" s="12" t="str">
        <f t="shared" si="50"/>
        <v>Open</v>
      </c>
      <c r="L793" s="13"/>
      <c r="M793" s="12"/>
      <c r="N793" s="12" t="s">
        <v>2638</v>
      </c>
      <c r="O793" s="12"/>
      <c r="P793" s="12" t="s">
        <v>3790</v>
      </c>
      <c r="Q793" s="12"/>
      <c r="R793" s="12" t="s">
        <v>5</v>
      </c>
      <c r="S793" s="12" t="s">
        <v>3</v>
      </c>
      <c r="T793" s="12"/>
      <c r="U793" s="12" t="str">
        <f t="shared" si="51"/>
        <v>Not Started</v>
      </c>
      <c r="V793" s="12" t="str">
        <f t="shared" si="48"/>
        <v>BENAYED Elie</v>
      </c>
      <c r="W793" s="13" t="str">
        <f t="shared" si="49"/>
        <v/>
      </c>
    </row>
    <row r="794" spans="1:23" ht="14.4" customHeight="1" x14ac:dyDescent="0.3">
      <c r="A794" s="28">
        <v>44616</v>
      </c>
      <c r="B794" s="12" t="s">
        <v>3229</v>
      </c>
      <c r="C794" s="12" t="s">
        <v>1542</v>
      </c>
      <c r="D794" s="5" t="s">
        <v>3227</v>
      </c>
      <c r="E794" s="12">
        <v>619</v>
      </c>
      <c r="F794" s="11" t="s">
        <v>3055</v>
      </c>
      <c r="G794" s="12" t="s">
        <v>4</v>
      </c>
      <c r="H794" s="12" t="s">
        <v>19</v>
      </c>
      <c r="I794" s="11" t="s">
        <v>3230</v>
      </c>
      <c r="J794" s="12" t="s">
        <v>1574</v>
      </c>
      <c r="K794" s="12" t="str">
        <f t="shared" si="50"/>
        <v>Closed</v>
      </c>
      <c r="L794" s="13">
        <v>44616</v>
      </c>
      <c r="M794" s="12"/>
      <c r="N794" s="12" t="s">
        <v>4429</v>
      </c>
      <c r="O794" s="12" t="s">
        <v>1675</v>
      </c>
      <c r="P794" s="12" t="s">
        <v>3790</v>
      </c>
      <c r="Q794" s="12"/>
      <c r="R794" s="12"/>
      <c r="S794" s="12"/>
      <c r="T794" s="12"/>
      <c r="U794" s="12" t="str">
        <f t="shared" si="51"/>
        <v>NFF</v>
      </c>
      <c r="V794" s="12" t="str">
        <f t="shared" si="48"/>
        <v>DAOUDI Mohamed</v>
      </c>
      <c r="W794" s="13">
        <f t="shared" si="49"/>
        <v>44616</v>
      </c>
    </row>
    <row r="795" spans="1:23" ht="14.4" customHeight="1" x14ac:dyDescent="0.3">
      <c r="A795" s="28">
        <v>44616</v>
      </c>
      <c r="B795" s="12" t="s">
        <v>3231</v>
      </c>
      <c r="C795" s="12" t="s">
        <v>1542</v>
      </c>
      <c r="D795" s="5" t="s">
        <v>3227</v>
      </c>
      <c r="E795" s="12">
        <v>619</v>
      </c>
      <c r="F795" s="11" t="s">
        <v>3232</v>
      </c>
      <c r="G795" s="12" t="s">
        <v>7</v>
      </c>
      <c r="H795" s="12" t="s">
        <v>19</v>
      </c>
      <c r="I795" s="11" t="s">
        <v>3436</v>
      </c>
      <c r="J795" s="12" t="s">
        <v>1609</v>
      </c>
      <c r="K795" s="12" t="str">
        <f t="shared" si="50"/>
        <v>Open</v>
      </c>
      <c r="L795" s="13"/>
      <c r="M795" s="12"/>
      <c r="N795" s="12" t="s">
        <v>2707</v>
      </c>
      <c r="O795" s="12"/>
      <c r="P795" s="12" t="s">
        <v>3790</v>
      </c>
      <c r="Q795" s="12"/>
      <c r="R795" s="12" t="s">
        <v>1545</v>
      </c>
      <c r="S795" s="12" t="s">
        <v>19</v>
      </c>
      <c r="T795" s="13">
        <v>44705</v>
      </c>
      <c r="U795" s="12" t="str">
        <f t="shared" si="51"/>
        <v>Corrected</v>
      </c>
      <c r="V795" s="12" t="str">
        <f t="shared" si="48"/>
        <v>DAOUDI Mohamed</v>
      </c>
      <c r="W795" s="13">
        <f t="shared" si="49"/>
        <v>44705</v>
      </c>
    </row>
    <row r="796" spans="1:23" ht="14.4" customHeight="1" x14ac:dyDescent="0.3">
      <c r="A796" s="28">
        <v>44616</v>
      </c>
      <c r="B796" s="12" t="s">
        <v>3233</v>
      </c>
      <c r="C796" s="12" t="s">
        <v>1542</v>
      </c>
      <c r="D796" s="5" t="s">
        <v>3234</v>
      </c>
      <c r="E796" s="12">
        <v>623</v>
      </c>
      <c r="F796" s="11" t="s">
        <v>3235</v>
      </c>
      <c r="G796" s="12" t="s">
        <v>7</v>
      </c>
      <c r="H796" s="12" t="s">
        <v>11</v>
      </c>
      <c r="I796" s="11"/>
      <c r="J796" s="12" t="s">
        <v>1609</v>
      </c>
      <c r="K796" s="12" t="str">
        <f t="shared" si="50"/>
        <v>Open</v>
      </c>
      <c r="L796" s="13"/>
      <c r="M796" s="12"/>
      <c r="N796" s="12" t="s">
        <v>2638</v>
      </c>
      <c r="O796" s="12" t="s">
        <v>1675</v>
      </c>
      <c r="P796" s="12" t="s">
        <v>3790</v>
      </c>
      <c r="Q796" s="12"/>
      <c r="R796" s="12" t="s">
        <v>5</v>
      </c>
      <c r="S796" s="12" t="s">
        <v>3</v>
      </c>
      <c r="T796" s="13" t="s">
        <v>1547</v>
      </c>
      <c r="U796" s="12" t="str">
        <f t="shared" si="51"/>
        <v>No Material</v>
      </c>
      <c r="V796" s="12" t="str">
        <f t="shared" si="48"/>
        <v>SUKIMAN Zamhuri</v>
      </c>
      <c r="W796" s="13" t="str">
        <f t="shared" si="49"/>
        <v/>
      </c>
    </row>
    <row r="797" spans="1:23" ht="14.4" customHeight="1" x14ac:dyDescent="0.3">
      <c r="A797" s="28">
        <v>44616</v>
      </c>
      <c r="B797" s="12" t="s">
        <v>3236</v>
      </c>
      <c r="C797" s="12" t="s">
        <v>1542</v>
      </c>
      <c r="D797" s="5" t="s">
        <v>3234</v>
      </c>
      <c r="E797" s="12">
        <v>623</v>
      </c>
      <c r="F797" s="11" t="s">
        <v>3237</v>
      </c>
      <c r="G797" s="12" t="s">
        <v>7</v>
      </c>
      <c r="H797" s="12" t="s">
        <v>19</v>
      </c>
      <c r="I797" s="11" t="s">
        <v>3436</v>
      </c>
      <c r="J797" s="12" t="s">
        <v>1609</v>
      </c>
      <c r="K797" s="12" t="str">
        <f t="shared" si="50"/>
        <v>Open</v>
      </c>
      <c r="L797" s="13"/>
      <c r="M797" s="12"/>
      <c r="N797" s="12" t="s">
        <v>2707</v>
      </c>
      <c r="O797" s="12" t="s">
        <v>1675</v>
      </c>
      <c r="P797" s="12" t="s">
        <v>3790</v>
      </c>
      <c r="Q797" s="12"/>
      <c r="R797" s="12" t="s">
        <v>5</v>
      </c>
      <c r="S797" s="12" t="s">
        <v>3</v>
      </c>
      <c r="T797" s="13" t="s">
        <v>1547</v>
      </c>
      <c r="U797" s="12" t="str">
        <f t="shared" si="51"/>
        <v>No Material</v>
      </c>
      <c r="V797" s="12" t="str">
        <f t="shared" si="48"/>
        <v>SUKIMAN Zamhuri</v>
      </c>
      <c r="W797" s="13" t="str">
        <f t="shared" si="49"/>
        <v/>
      </c>
    </row>
    <row r="798" spans="1:23" ht="14.4" customHeight="1" x14ac:dyDescent="0.3">
      <c r="A798" s="28">
        <v>44616</v>
      </c>
      <c r="B798" s="12" t="s">
        <v>3238</v>
      </c>
      <c r="C798" s="12" t="s">
        <v>1542</v>
      </c>
      <c r="D798" s="5" t="s">
        <v>3239</v>
      </c>
      <c r="E798" s="12">
        <v>625</v>
      </c>
      <c r="F798" s="11" t="s">
        <v>3240</v>
      </c>
      <c r="G798" s="12" t="s">
        <v>7</v>
      </c>
      <c r="H798" s="12" t="s">
        <v>18</v>
      </c>
      <c r="I798" s="11"/>
      <c r="J798" s="12" t="s">
        <v>1574</v>
      </c>
      <c r="K798" s="12" t="str">
        <f t="shared" si="50"/>
        <v>Closed</v>
      </c>
      <c r="L798" s="13">
        <v>44636</v>
      </c>
      <c r="M798" s="12"/>
      <c r="N798" s="12" t="s">
        <v>4427</v>
      </c>
      <c r="O798" s="12"/>
      <c r="P798" s="12" t="s">
        <v>3790</v>
      </c>
      <c r="Q798" s="12"/>
      <c r="R798" s="12" t="s">
        <v>5</v>
      </c>
      <c r="S798" s="12" t="s">
        <v>3</v>
      </c>
      <c r="T798" s="13" t="s">
        <v>1547</v>
      </c>
      <c r="U798" s="12" t="str">
        <f t="shared" si="51"/>
        <v>NFF</v>
      </c>
      <c r="V798" s="12" t="str">
        <f t="shared" si="48"/>
        <v>BENAYED Elie</v>
      </c>
      <c r="W798" s="13">
        <f t="shared" si="49"/>
        <v>44636</v>
      </c>
    </row>
    <row r="799" spans="1:23" ht="14.4" customHeight="1" x14ac:dyDescent="0.3">
      <c r="A799" s="28">
        <v>44616</v>
      </c>
      <c r="B799" s="12" t="s">
        <v>3241</v>
      </c>
      <c r="C799" s="12" t="s">
        <v>1542</v>
      </c>
      <c r="D799" s="5" t="s">
        <v>3239</v>
      </c>
      <c r="E799" s="12">
        <v>625</v>
      </c>
      <c r="F799" s="11" t="s">
        <v>3242</v>
      </c>
      <c r="G799" s="12" t="s">
        <v>7</v>
      </c>
      <c r="H799" s="12" t="s">
        <v>19</v>
      </c>
      <c r="I799" s="11" t="s">
        <v>3436</v>
      </c>
      <c r="J799" s="12" t="s">
        <v>1609</v>
      </c>
      <c r="K799" s="12" t="str">
        <f t="shared" si="50"/>
        <v>Open</v>
      </c>
      <c r="L799" s="13"/>
      <c r="M799" s="12"/>
      <c r="N799" s="12" t="s">
        <v>2707</v>
      </c>
      <c r="O799" s="12" t="s">
        <v>1675</v>
      </c>
      <c r="P799" s="12" t="s">
        <v>3790</v>
      </c>
      <c r="Q799" s="12"/>
      <c r="R799" s="12" t="s">
        <v>5</v>
      </c>
      <c r="S799" s="12" t="s">
        <v>3</v>
      </c>
      <c r="T799" s="13" t="s">
        <v>1547</v>
      </c>
      <c r="U799" s="12" t="str">
        <f t="shared" si="51"/>
        <v>No Material</v>
      </c>
      <c r="V799" s="12" t="str">
        <f t="shared" si="48"/>
        <v>SUKIMAN Zamhuri</v>
      </c>
      <c r="W799" s="13" t="str">
        <f t="shared" si="49"/>
        <v/>
      </c>
    </row>
    <row r="800" spans="1:23" ht="14.4" customHeight="1" x14ac:dyDescent="0.3">
      <c r="A800" s="28">
        <v>44619</v>
      </c>
      <c r="B800" s="12" t="s">
        <v>3259</v>
      </c>
      <c r="C800" s="12" t="s">
        <v>1687</v>
      </c>
      <c r="D800" s="5" t="s">
        <v>1675</v>
      </c>
      <c r="E800" s="12">
        <v>407</v>
      </c>
      <c r="F800" s="11" t="s">
        <v>3260</v>
      </c>
      <c r="G800" s="12" t="s">
        <v>7</v>
      </c>
      <c r="H800" s="12" t="s">
        <v>19</v>
      </c>
      <c r="I800" s="11" t="s">
        <v>3561</v>
      </c>
      <c r="J800" s="12" t="s">
        <v>1609</v>
      </c>
      <c r="K800" s="12" t="str">
        <f t="shared" si="50"/>
        <v>Open</v>
      </c>
      <c r="L800" s="13"/>
      <c r="M800" s="12"/>
      <c r="N800" s="12" t="s">
        <v>2517</v>
      </c>
      <c r="O800" s="12" t="s">
        <v>3261</v>
      </c>
      <c r="P800" s="12" t="s">
        <v>3790</v>
      </c>
      <c r="Q800" s="12"/>
      <c r="R800" s="12" t="s">
        <v>5</v>
      </c>
      <c r="S800" s="12" t="s">
        <v>3</v>
      </c>
      <c r="T800" s="12"/>
      <c r="U800" s="12" t="str">
        <f t="shared" si="51"/>
        <v>No Material</v>
      </c>
      <c r="V800" s="12" t="str">
        <f t="shared" si="48"/>
        <v>SUKIMAN Zamhuri</v>
      </c>
      <c r="W800" s="13" t="str">
        <f t="shared" si="49"/>
        <v/>
      </c>
    </row>
    <row r="801" spans="1:23" ht="14.4" customHeight="1" x14ac:dyDescent="0.3">
      <c r="A801" s="28">
        <v>44620</v>
      </c>
      <c r="B801" s="12" t="s">
        <v>3262</v>
      </c>
      <c r="C801" s="12" t="s">
        <v>1542</v>
      </c>
      <c r="D801" s="5" t="s">
        <v>4328</v>
      </c>
      <c r="E801" s="12">
        <v>401</v>
      </c>
      <c r="F801" s="11" t="s">
        <v>3263</v>
      </c>
      <c r="G801" s="12" t="s">
        <v>7</v>
      </c>
      <c r="H801" s="12" t="s">
        <v>19</v>
      </c>
      <c r="I801" s="11" t="s">
        <v>3436</v>
      </c>
      <c r="J801" s="12" t="s">
        <v>1609</v>
      </c>
      <c r="K801" s="12" t="str">
        <f t="shared" si="50"/>
        <v>Open</v>
      </c>
      <c r="L801" s="13"/>
      <c r="M801" s="12"/>
      <c r="N801" s="12" t="s">
        <v>2707</v>
      </c>
      <c r="O801" s="12" t="s">
        <v>1675</v>
      </c>
      <c r="P801" s="12" t="s">
        <v>3790</v>
      </c>
      <c r="Q801" s="12"/>
      <c r="R801" s="12" t="s">
        <v>5</v>
      </c>
      <c r="S801" s="12" t="s">
        <v>3</v>
      </c>
      <c r="T801" s="12"/>
      <c r="U801" s="12" t="str">
        <f t="shared" si="51"/>
        <v>No Material</v>
      </c>
      <c r="V801" s="12" t="str">
        <f t="shared" si="48"/>
        <v>SUKIMAN Zamhuri</v>
      </c>
      <c r="W801" s="13" t="str">
        <f t="shared" si="49"/>
        <v/>
      </c>
    </row>
    <row r="802" spans="1:23" ht="28.8" customHeight="1" x14ac:dyDescent="0.3">
      <c r="A802" s="28">
        <v>44620</v>
      </c>
      <c r="B802" s="12" t="s">
        <v>3264</v>
      </c>
      <c r="C802" s="12" t="s">
        <v>1542</v>
      </c>
      <c r="D802" s="5" t="s">
        <v>4329</v>
      </c>
      <c r="E802" s="12">
        <v>411</v>
      </c>
      <c r="F802" s="11" t="s">
        <v>3265</v>
      </c>
      <c r="G802" s="12" t="s">
        <v>7</v>
      </c>
      <c r="H802" s="12" t="s">
        <v>19</v>
      </c>
      <c r="I802" s="11" t="s">
        <v>3436</v>
      </c>
      <c r="J802" s="12" t="s">
        <v>1609</v>
      </c>
      <c r="K802" s="12" t="str">
        <f t="shared" si="50"/>
        <v>Open</v>
      </c>
      <c r="L802" s="13"/>
      <c r="M802" s="12"/>
      <c r="N802" s="12" t="s">
        <v>2707</v>
      </c>
      <c r="O802" s="12" t="s">
        <v>1675</v>
      </c>
      <c r="P802" s="12" t="s">
        <v>3790</v>
      </c>
      <c r="Q802" s="12"/>
      <c r="R802" s="12" t="s">
        <v>5</v>
      </c>
      <c r="S802" s="12" t="s">
        <v>3</v>
      </c>
      <c r="T802" s="12"/>
      <c r="U802" s="12" t="str">
        <f t="shared" si="51"/>
        <v>No Material</v>
      </c>
      <c r="V802" s="12" t="str">
        <f t="shared" si="48"/>
        <v>SUKIMAN Zamhuri</v>
      </c>
      <c r="W802" s="13" t="str">
        <f t="shared" si="49"/>
        <v/>
      </c>
    </row>
    <row r="803" spans="1:23" ht="14.4" customHeight="1" x14ac:dyDescent="0.3">
      <c r="A803" s="28">
        <v>44623</v>
      </c>
      <c r="B803" s="12" t="s">
        <v>3269</v>
      </c>
      <c r="C803" s="12" t="s">
        <v>1687</v>
      </c>
      <c r="D803" s="5"/>
      <c r="E803" s="12">
        <v>423</v>
      </c>
      <c r="F803" s="11" t="s">
        <v>3270</v>
      </c>
      <c r="G803" s="12" t="s">
        <v>7</v>
      </c>
      <c r="H803" s="12" t="s">
        <v>17</v>
      </c>
      <c r="I803" s="11"/>
      <c r="J803" s="12" t="s">
        <v>1545</v>
      </c>
      <c r="K803" s="12" t="str">
        <f t="shared" si="50"/>
        <v>Closed</v>
      </c>
      <c r="L803" s="13">
        <v>44629</v>
      </c>
      <c r="M803" s="12"/>
      <c r="N803" s="12"/>
      <c r="O803" s="12" t="s">
        <v>1675</v>
      </c>
      <c r="P803" s="12" t="s">
        <v>3790</v>
      </c>
      <c r="Q803" s="12"/>
      <c r="R803" s="12"/>
      <c r="S803" s="12"/>
      <c r="T803" s="12"/>
      <c r="U803" s="12" t="str">
        <f t="shared" si="51"/>
        <v>Corrected</v>
      </c>
      <c r="V803" s="12" t="str">
        <f t="shared" si="48"/>
        <v>FATHI Charafeddine</v>
      </c>
      <c r="W803" s="13">
        <f t="shared" si="49"/>
        <v>44629</v>
      </c>
    </row>
    <row r="804" spans="1:23" ht="14.4" customHeight="1" x14ac:dyDescent="0.3">
      <c r="A804" s="28">
        <v>44626</v>
      </c>
      <c r="B804" s="12" t="s">
        <v>3271</v>
      </c>
      <c r="C804" s="12" t="s">
        <v>1542</v>
      </c>
      <c r="D804" s="5" t="s">
        <v>3635</v>
      </c>
      <c r="E804" s="12">
        <v>402</v>
      </c>
      <c r="F804" s="11" t="s">
        <v>3636</v>
      </c>
      <c r="G804" s="12" t="s">
        <v>7</v>
      </c>
      <c r="H804" s="12" t="s">
        <v>14</v>
      </c>
      <c r="I804" s="11"/>
      <c r="J804" s="12" t="s">
        <v>1574</v>
      </c>
      <c r="K804" s="12" t="str">
        <f t="shared" si="50"/>
        <v>Closed</v>
      </c>
      <c r="L804" s="13">
        <v>44690</v>
      </c>
      <c r="M804" s="12"/>
      <c r="N804" s="12"/>
      <c r="O804" s="12"/>
      <c r="P804" s="12" t="s">
        <v>3790</v>
      </c>
      <c r="Q804" s="12"/>
      <c r="R804" s="12"/>
      <c r="S804" s="12"/>
      <c r="T804" s="12"/>
      <c r="U804" s="12" t="str">
        <f t="shared" si="51"/>
        <v>NFF</v>
      </c>
      <c r="V804" s="12" t="str">
        <f t="shared" si="48"/>
        <v>GUAN Jialin</v>
      </c>
      <c r="W804" s="13">
        <f t="shared" si="49"/>
        <v>44690</v>
      </c>
    </row>
    <row r="805" spans="1:23" ht="14.4" customHeight="1" x14ac:dyDescent="0.3">
      <c r="A805" s="28">
        <v>44626</v>
      </c>
      <c r="B805" s="12" t="s">
        <v>3272</v>
      </c>
      <c r="C805" s="12" t="s">
        <v>1542</v>
      </c>
      <c r="D805" s="5" t="s">
        <v>3637</v>
      </c>
      <c r="E805" s="12">
        <v>610</v>
      </c>
      <c r="F805" s="11" t="s">
        <v>3638</v>
      </c>
      <c r="G805" s="12" t="s">
        <v>7</v>
      </c>
      <c r="H805" s="12" t="s">
        <v>14</v>
      </c>
      <c r="I805" s="11"/>
      <c r="J805" s="12" t="s">
        <v>1574</v>
      </c>
      <c r="K805" s="12" t="str">
        <f t="shared" si="50"/>
        <v>Closed</v>
      </c>
      <c r="L805" s="13">
        <v>44689</v>
      </c>
      <c r="M805" s="12"/>
      <c r="N805" s="12"/>
      <c r="O805" s="12"/>
      <c r="P805" s="12" t="s">
        <v>3790</v>
      </c>
      <c r="Q805" s="12"/>
      <c r="R805" s="12" t="s">
        <v>1545</v>
      </c>
      <c r="S805" s="12" t="s">
        <v>15</v>
      </c>
      <c r="T805" s="13">
        <v>44623</v>
      </c>
      <c r="U805" s="12" t="str">
        <f t="shared" si="51"/>
        <v>NFF</v>
      </c>
      <c r="V805" s="12" t="str">
        <f t="shared" si="48"/>
        <v>GUAN Jialin</v>
      </c>
      <c r="W805" s="13">
        <f t="shared" si="49"/>
        <v>44689</v>
      </c>
    </row>
    <row r="806" spans="1:23" ht="14.4" customHeight="1" x14ac:dyDescent="0.3">
      <c r="A806" s="28">
        <v>44626</v>
      </c>
      <c r="B806" s="12" t="s">
        <v>3273</v>
      </c>
      <c r="C806" s="12" t="s">
        <v>1542</v>
      </c>
      <c r="D806" s="5" t="s">
        <v>3639</v>
      </c>
      <c r="E806" s="12">
        <v>618</v>
      </c>
      <c r="F806" s="11" t="s">
        <v>3640</v>
      </c>
      <c r="G806" s="12" t="s">
        <v>7</v>
      </c>
      <c r="H806" s="12" t="s">
        <v>14</v>
      </c>
      <c r="I806" s="11" t="s">
        <v>4093</v>
      </c>
      <c r="J806" s="12" t="s">
        <v>1574</v>
      </c>
      <c r="K806" s="12" t="str">
        <f t="shared" si="50"/>
        <v>Closed</v>
      </c>
      <c r="L806" s="13">
        <v>44691</v>
      </c>
      <c r="M806" s="12"/>
      <c r="N806" s="12" t="s">
        <v>4427</v>
      </c>
      <c r="O806" s="12"/>
      <c r="P806" s="12" t="s">
        <v>3790</v>
      </c>
      <c r="Q806" s="12"/>
      <c r="R806" s="12" t="s">
        <v>1545</v>
      </c>
      <c r="S806" s="12" t="s">
        <v>15</v>
      </c>
      <c r="T806" s="13">
        <v>44629</v>
      </c>
      <c r="U806" s="12" t="str">
        <f t="shared" si="51"/>
        <v>NFF</v>
      </c>
      <c r="V806" s="12" t="str">
        <f t="shared" si="48"/>
        <v>GUAN Jialin</v>
      </c>
      <c r="W806" s="13">
        <f t="shared" si="49"/>
        <v>44691</v>
      </c>
    </row>
    <row r="807" spans="1:23" ht="14.4" customHeight="1" x14ac:dyDescent="0.3">
      <c r="A807" s="28">
        <v>44626</v>
      </c>
      <c r="B807" s="12" t="s">
        <v>3274</v>
      </c>
      <c r="C807" s="12" t="s">
        <v>1542</v>
      </c>
      <c r="D807" s="5" t="s">
        <v>3639</v>
      </c>
      <c r="E807" s="12">
        <v>618</v>
      </c>
      <c r="F807" s="11" t="s">
        <v>3641</v>
      </c>
      <c r="G807" s="12" t="s">
        <v>7</v>
      </c>
      <c r="H807" s="12" t="s">
        <v>19</v>
      </c>
      <c r="I807" s="11" t="s">
        <v>3797</v>
      </c>
      <c r="J807" s="12" t="s">
        <v>1574</v>
      </c>
      <c r="K807" s="12" t="str">
        <f t="shared" si="50"/>
        <v>Closed</v>
      </c>
      <c r="L807" s="13">
        <v>44664</v>
      </c>
      <c r="M807" s="12"/>
      <c r="N807" s="12"/>
      <c r="O807" s="12"/>
      <c r="P807" s="12" t="s">
        <v>3790</v>
      </c>
      <c r="Q807" s="12"/>
      <c r="R807" s="12"/>
      <c r="S807" s="12"/>
      <c r="T807" s="12"/>
      <c r="U807" s="12" t="str">
        <f t="shared" si="51"/>
        <v>NFF</v>
      </c>
      <c r="V807" s="12" t="str">
        <f t="shared" si="48"/>
        <v>DAOUDI Mohamed</v>
      </c>
      <c r="W807" s="13">
        <f t="shared" si="49"/>
        <v>44664</v>
      </c>
    </row>
    <row r="808" spans="1:23" x14ac:dyDescent="0.3">
      <c r="A808" s="28">
        <v>44626</v>
      </c>
      <c r="B808" s="12" t="s">
        <v>3275</v>
      </c>
      <c r="C808" s="12" t="s">
        <v>1542</v>
      </c>
      <c r="D808" s="5" t="s">
        <v>3642</v>
      </c>
      <c r="E808" s="12">
        <v>404</v>
      </c>
      <c r="F808" s="11" t="s">
        <v>3643</v>
      </c>
      <c r="G808" s="12" t="s">
        <v>7</v>
      </c>
      <c r="H808" s="12" t="s">
        <v>19</v>
      </c>
      <c r="I808" s="11"/>
      <c r="J808" s="12" t="s">
        <v>1582</v>
      </c>
      <c r="K808" s="12" t="str">
        <f t="shared" si="50"/>
        <v>Open</v>
      </c>
      <c r="L808" s="13"/>
      <c r="M808" s="12"/>
      <c r="N808" s="12"/>
      <c r="O808" s="12"/>
      <c r="P808" s="12" t="s">
        <v>3790</v>
      </c>
      <c r="Q808" s="12"/>
      <c r="R808" s="12"/>
      <c r="S808" s="12"/>
      <c r="T808" s="12"/>
      <c r="U808" s="12" t="str">
        <f t="shared" si="51"/>
        <v>Not Started</v>
      </c>
      <c r="V808" s="12" t="str">
        <f t="shared" si="48"/>
        <v>DAOUDI Mohamed</v>
      </c>
      <c r="W808" s="13" t="str">
        <f t="shared" si="49"/>
        <v/>
      </c>
    </row>
    <row r="809" spans="1:23" ht="14.4" customHeight="1" x14ac:dyDescent="0.3">
      <c r="A809" s="28">
        <v>44626</v>
      </c>
      <c r="B809" s="12" t="s">
        <v>3276</v>
      </c>
      <c r="C809" s="12" t="s">
        <v>1542</v>
      </c>
      <c r="D809" s="5" t="s">
        <v>3644</v>
      </c>
      <c r="E809" s="12">
        <v>408</v>
      </c>
      <c r="F809" s="11" t="s">
        <v>3645</v>
      </c>
      <c r="G809" s="12" t="s">
        <v>7</v>
      </c>
      <c r="H809" s="12" t="s">
        <v>19</v>
      </c>
      <c r="I809" s="11" t="s">
        <v>3646</v>
      </c>
      <c r="J809" s="12" t="s">
        <v>1574</v>
      </c>
      <c r="K809" s="12" t="str">
        <f t="shared" si="50"/>
        <v>Closed</v>
      </c>
      <c r="L809" s="13">
        <v>44658</v>
      </c>
      <c r="M809" s="12"/>
      <c r="N809" s="12"/>
      <c r="O809" s="12"/>
      <c r="P809" s="12" t="s">
        <v>3790</v>
      </c>
      <c r="Q809" s="12"/>
      <c r="R809" s="12"/>
      <c r="S809" s="12"/>
      <c r="T809" s="12"/>
      <c r="U809" s="12" t="str">
        <f t="shared" si="51"/>
        <v>NFF</v>
      </c>
      <c r="V809" s="12" t="str">
        <f t="shared" si="48"/>
        <v>DAOUDI Mohamed</v>
      </c>
      <c r="W809" s="13">
        <f t="shared" si="49"/>
        <v>44658</v>
      </c>
    </row>
    <row r="810" spans="1:23" ht="14.4" customHeight="1" x14ac:dyDescent="0.3">
      <c r="A810" s="28">
        <v>44628</v>
      </c>
      <c r="B810" s="12" t="s">
        <v>3277</v>
      </c>
      <c r="C810" s="12" t="s">
        <v>1687</v>
      </c>
      <c r="D810" s="5" t="s">
        <v>1675</v>
      </c>
      <c r="E810" s="12">
        <v>402</v>
      </c>
      <c r="F810" s="11" t="s">
        <v>3278</v>
      </c>
      <c r="G810" s="12" t="s">
        <v>7</v>
      </c>
      <c r="H810" s="12" t="s">
        <v>18</v>
      </c>
      <c r="I810" s="11"/>
      <c r="J810" s="12" t="s">
        <v>1574</v>
      </c>
      <c r="K810" s="12" t="str">
        <f t="shared" si="50"/>
        <v>Closed</v>
      </c>
      <c r="L810" s="13">
        <v>44629</v>
      </c>
      <c r="M810" s="12"/>
      <c r="N810" s="12"/>
      <c r="O810" s="12"/>
      <c r="P810" s="12" t="s">
        <v>3790</v>
      </c>
      <c r="Q810" s="12"/>
      <c r="R810" s="12"/>
      <c r="S810" s="12"/>
      <c r="T810" s="12"/>
      <c r="U810" s="12" t="str">
        <f t="shared" si="51"/>
        <v>NFF</v>
      </c>
      <c r="V810" s="12" t="str">
        <f t="shared" si="48"/>
        <v>BENAYED Elie</v>
      </c>
      <c r="W810" s="13">
        <f t="shared" si="49"/>
        <v>44629</v>
      </c>
    </row>
    <row r="811" spans="1:23" ht="14.4" customHeight="1" x14ac:dyDescent="0.3">
      <c r="A811" s="28">
        <v>44628</v>
      </c>
      <c r="B811" s="12" t="s">
        <v>3279</v>
      </c>
      <c r="C811" s="12" t="s">
        <v>1687</v>
      </c>
      <c r="D811" s="5" t="s">
        <v>1675</v>
      </c>
      <c r="E811" s="12">
        <v>407</v>
      </c>
      <c r="F811" s="11" t="s">
        <v>3280</v>
      </c>
      <c r="G811" s="12" t="s">
        <v>7</v>
      </c>
      <c r="H811" s="12" t="s">
        <v>18</v>
      </c>
      <c r="I811" s="11"/>
      <c r="J811" s="12" t="s">
        <v>1574</v>
      </c>
      <c r="K811" s="12" t="str">
        <f t="shared" si="50"/>
        <v>Closed</v>
      </c>
      <c r="L811" s="13">
        <v>44629</v>
      </c>
      <c r="M811" s="12"/>
      <c r="N811" s="12"/>
      <c r="O811" s="12"/>
      <c r="P811" s="12" t="s">
        <v>3790</v>
      </c>
      <c r="Q811" s="12"/>
      <c r="R811" s="12"/>
      <c r="S811" s="12"/>
      <c r="T811" s="12"/>
      <c r="U811" s="12" t="str">
        <f t="shared" si="51"/>
        <v>NFF</v>
      </c>
      <c r="V811" s="12" t="str">
        <f t="shared" si="48"/>
        <v>BENAYED Elie</v>
      </c>
      <c r="W811" s="13">
        <f t="shared" si="49"/>
        <v>44629</v>
      </c>
    </row>
    <row r="812" spans="1:23" ht="14.4" customHeight="1" x14ac:dyDescent="0.3">
      <c r="A812" s="28">
        <v>44628</v>
      </c>
      <c r="B812" s="12" t="s">
        <v>3281</v>
      </c>
      <c r="C812" s="12" t="s">
        <v>1687</v>
      </c>
      <c r="D812" s="5" t="s">
        <v>1675</v>
      </c>
      <c r="E812" s="12">
        <v>413</v>
      </c>
      <c r="F812" s="11" t="s">
        <v>3282</v>
      </c>
      <c r="G812" s="12" t="s">
        <v>7</v>
      </c>
      <c r="H812" s="12" t="s">
        <v>18</v>
      </c>
      <c r="I812" s="11"/>
      <c r="J812" s="12" t="s">
        <v>1574</v>
      </c>
      <c r="K812" s="12" t="str">
        <f t="shared" si="50"/>
        <v>Closed</v>
      </c>
      <c r="L812" s="13">
        <v>44629</v>
      </c>
      <c r="M812" s="12"/>
      <c r="N812" s="12"/>
      <c r="O812" s="12"/>
      <c r="P812" s="12" t="s">
        <v>3790</v>
      </c>
      <c r="Q812" s="12"/>
      <c r="R812" s="12"/>
      <c r="S812" s="12"/>
      <c r="T812" s="12"/>
      <c r="U812" s="12" t="str">
        <f t="shared" si="51"/>
        <v>NFF</v>
      </c>
      <c r="V812" s="12" t="str">
        <f t="shared" si="48"/>
        <v>BENAYED Elie</v>
      </c>
      <c r="W812" s="13">
        <f t="shared" si="49"/>
        <v>44629</v>
      </c>
    </row>
    <row r="813" spans="1:23" ht="14.4" customHeight="1" x14ac:dyDescent="0.3">
      <c r="A813" s="28">
        <v>44628</v>
      </c>
      <c r="B813" s="12" t="s">
        <v>3283</v>
      </c>
      <c r="C813" s="12" t="s">
        <v>1687</v>
      </c>
      <c r="D813" s="5" t="s">
        <v>1675</v>
      </c>
      <c r="E813" s="12">
        <v>415</v>
      </c>
      <c r="F813" s="11" t="s">
        <v>3284</v>
      </c>
      <c r="G813" s="12" t="s">
        <v>7</v>
      </c>
      <c r="H813" s="12" t="s">
        <v>18</v>
      </c>
      <c r="I813" s="11"/>
      <c r="J813" s="12" t="s">
        <v>1574</v>
      </c>
      <c r="K813" s="12" t="str">
        <f t="shared" si="50"/>
        <v>Closed</v>
      </c>
      <c r="L813" s="13">
        <v>44629</v>
      </c>
      <c r="M813" s="12"/>
      <c r="N813" s="12"/>
      <c r="O813" s="12"/>
      <c r="P813" s="12" t="s">
        <v>3790</v>
      </c>
      <c r="Q813" s="12"/>
      <c r="R813" s="12"/>
      <c r="S813" s="12"/>
      <c r="T813" s="12"/>
      <c r="U813" s="12" t="str">
        <f t="shared" si="51"/>
        <v>NFF</v>
      </c>
      <c r="V813" s="12" t="str">
        <f t="shared" si="48"/>
        <v>BENAYED Elie</v>
      </c>
      <c r="W813" s="13">
        <f t="shared" si="49"/>
        <v>44629</v>
      </c>
    </row>
    <row r="814" spans="1:23" ht="14.4" customHeight="1" x14ac:dyDescent="0.3">
      <c r="A814" s="28">
        <v>44628</v>
      </c>
      <c r="B814" s="12" t="s">
        <v>3285</v>
      </c>
      <c r="C814" s="12" t="s">
        <v>1687</v>
      </c>
      <c r="D814" s="5" t="s">
        <v>1675</v>
      </c>
      <c r="E814" s="12">
        <v>418</v>
      </c>
      <c r="F814" s="11" t="s">
        <v>3286</v>
      </c>
      <c r="G814" s="12" t="s">
        <v>7</v>
      </c>
      <c r="H814" s="12" t="s">
        <v>18</v>
      </c>
      <c r="I814" s="11"/>
      <c r="J814" s="12" t="s">
        <v>1574</v>
      </c>
      <c r="K814" s="12" t="str">
        <f t="shared" si="50"/>
        <v>Closed</v>
      </c>
      <c r="L814" s="13">
        <v>44629</v>
      </c>
      <c r="M814" s="12"/>
      <c r="N814" s="12"/>
      <c r="O814" s="12"/>
      <c r="P814" s="12" t="s">
        <v>3790</v>
      </c>
      <c r="Q814" s="12"/>
      <c r="R814" s="12"/>
      <c r="S814" s="12"/>
      <c r="T814" s="12"/>
      <c r="U814" s="12" t="str">
        <f t="shared" si="51"/>
        <v>NFF</v>
      </c>
      <c r="V814" s="12" t="str">
        <f t="shared" si="48"/>
        <v>BENAYED Elie</v>
      </c>
      <c r="W814" s="13">
        <f t="shared" si="49"/>
        <v>44629</v>
      </c>
    </row>
    <row r="815" spans="1:23" ht="14.4" customHeight="1" x14ac:dyDescent="0.3">
      <c r="A815" s="28">
        <v>44628</v>
      </c>
      <c r="B815" s="12" t="s">
        <v>3287</v>
      </c>
      <c r="C815" s="12" t="s">
        <v>1687</v>
      </c>
      <c r="D815" s="5" t="s">
        <v>1675</v>
      </c>
      <c r="E815" s="12">
        <v>419</v>
      </c>
      <c r="F815" s="11" t="s">
        <v>3288</v>
      </c>
      <c r="G815" s="12" t="s">
        <v>7</v>
      </c>
      <c r="H815" s="12" t="s">
        <v>18</v>
      </c>
      <c r="I815" s="11"/>
      <c r="J815" s="12" t="s">
        <v>1574</v>
      </c>
      <c r="K815" s="12" t="str">
        <f t="shared" si="50"/>
        <v>Closed</v>
      </c>
      <c r="L815" s="13">
        <v>44629</v>
      </c>
      <c r="M815" s="12"/>
      <c r="N815" s="12"/>
      <c r="O815" s="12"/>
      <c r="P815" s="12" t="s">
        <v>3790</v>
      </c>
      <c r="Q815" s="12"/>
      <c r="R815" s="12"/>
      <c r="S815" s="12"/>
      <c r="T815" s="12"/>
      <c r="U815" s="12" t="str">
        <f t="shared" si="51"/>
        <v>NFF</v>
      </c>
      <c r="V815" s="12" t="str">
        <f t="shared" si="48"/>
        <v>BENAYED Elie</v>
      </c>
      <c r="W815" s="13">
        <f t="shared" si="49"/>
        <v>44629</v>
      </c>
    </row>
    <row r="816" spans="1:23" ht="14.4" customHeight="1" x14ac:dyDescent="0.3">
      <c r="A816" s="28">
        <v>44628</v>
      </c>
      <c r="B816" s="12" t="s">
        <v>3289</v>
      </c>
      <c r="C816" s="12" t="s">
        <v>1690</v>
      </c>
      <c r="D816" s="5" t="s">
        <v>1675</v>
      </c>
      <c r="E816" s="12">
        <v>420</v>
      </c>
      <c r="F816" s="11" t="s">
        <v>3290</v>
      </c>
      <c r="G816" s="12" t="s">
        <v>1</v>
      </c>
      <c r="H816" s="12" t="s">
        <v>18</v>
      </c>
      <c r="I816" s="11"/>
      <c r="J816" s="12" t="s">
        <v>1545</v>
      </c>
      <c r="K816" s="12" t="str">
        <f t="shared" si="50"/>
        <v>Closed</v>
      </c>
      <c r="L816" s="13">
        <v>44634</v>
      </c>
      <c r="M816" s="12"/>
      <c r="N816" s="12" t="s">
        <v>1652</v>
      </c>
      <c r="O816" s="12" t="s">
        <v>2463</v>
      </c>
      <c r="P816" s="12" t="s">
        <v>3790</v>
      </c>
      <c r="Q816" s="12"/>
      <c r="R816" s="12"/>
      <c r="S816" s="12"/>
      <c r="T816" s="12"/>
      <c r="U816" s="12" t="str">
        <f t="shared" si="51"/>
        <v>Corrected</v>
      </c>
      <c r="V816" s="12" t="str">
        <f t="shared" si="48"/>
        <v>BENAYED Elie</v>
      </c>
      <c r="W816" s="13">
        <f t="shared" si="49"/>
        <v>44634</v>
      </c>
    </row>
    <row r="817" spans="1:23" ht="14.4" customHeight="1" x14ac:dyDescent="0.3">
      <c r="A817" s="28">
        <v>44628</v>
      </c>
      <c r="B817" s="12" t="s">
        <v>3291</v>
      </c>
      <c r="C817" s="12" t="s">
        <v>1690</v>
      </c>
      <c r="D817" s="5" t="s">
        <v>1675</v>
      </c>
      <c r="E817" s="12">
        <v>420</v>
      </c>
      <c r="F817" s="11" t="s">
        <v>3292</v>
      </c>
      <c r="G817" s="12" t="s">
        <v>1</v>
      </c>
      <c r="H817" s="12" t="s">
        <v>18</v>
      </c>
      <c r="I817" s="11"/>
      <c r="J817" s="12" t="s">
        <v>1545</v>
      </c>
      <c r="K817" s="12" t="str">
        <f t="shared" si="50"/>
        <v>Closed</v>
      </c>
      <c r="L817" s="13">
        <v>44634</v>
      </c>
      <c r="M817" s="12"/>
      <c r="N817" s="12" t="s">
        <v>1652</v>
      </c>
      <c r="O817" s="12"/>
      <c r="P817" s="12" t="s">
        <v>3790</v>
      </c>
      <c r="Q817" s="12"/>
      <c r="R817" s="12" t="s">
        <v>1545</v>
      </c>
      <c r="S817" s="12" t="s">
        <v>6</v>
      </c>
      <c r="T817" s="29">
        <v>44634</v>
      </c>
      <c r="U817" s="12" t="str">
        <f t="shared" si="51"/>
        <v>Corrected</v>
      </c>
      <c r="V817" s="12" t="str">
        <f t="shared" si="48"/>
        <v>BENAYED Elie</v>
      </c>
      <c r="W817" s="13">
        <f t="shared" si="49"/>
        <v>44634</v>
      </c>
    </row>
    <row r="818" spans="1:23" ht="14.4" customHeight="1" x14ac:dyDescent="0.3">
      <c r="A818" s="28">
        <v>44628</v>
      </c>
      <c r="B818" s="12" t="s">
        <v>3293</v>
      </c>
      <c r="C818" s="12" t="s">
        <v>1690</v>
      </c>
      <c r="D818" s="5" t="s">
        <v>1675</v>
      </c>
      <c r="E818" s="12">
        <v>420</v>
      </c>
      <c r="F818" s="11" t="s">
        <v>3294</v>
      </c>
      <c r="G818" s="12" t="s">
        <v>1</v>
      </c>
      <c r="H818" s="12" t="s">
        <v>18</v>
      </c>
      <c r="I818" s="11"/>
      <c r="J818" s="12" t="s">
        <v>1545</v>
      </c>
      <c r="K818" s="12" t="str">
        <f t="shared" si="50"/>
        <v>Closed</v>
      </c>
      <c r="L818" s="13">
        <v>44634</v>
      </c>
      <c r="M818" s="12"/>
      <c r="N818" s="12" t="s">
        <v>1652</v>
      </c>
      <c r="O818" s="12" t="s">
        <v>3623</v>
      </c>
      <c r="P818" s="12" t="s">
        <v>3790</v>
      </c>
      <c r="Q818" s="12"/>
      <c r="R818" s="12" t="s">
        <v>1545</v>
      </c>
      <c r="S818" s="12" t="s">
        <v>6</v>
      </c>
      <c r="T818" s="29">
        <v>44634</v>
      </c>
      <c r="U818" s="12" t="str">
        <f t="shared" si="51"/>
        <v>Corrected</v>
      </c>
      <c r="V818" s="12" t="str">
        <f t="shared" si="48"/>
        <v>BENAYED Elie</v>
      </c>
      <c r="W818" s="13">
        <f t="shared" si="49"/>
        <v>44634</v>
      </c>
    </row>
    <row r="819" spans="1:23" ht="14.4" customHeight="1" x14ac:dyDescent="0.3">
      <c r="A819" s="28">
        <v>44628</v>
      </c>
      <c r="B819" s="12" t="s">
        <v>3295</v>
      </c>
      <c r="C819" s="12" t="s">
        <v>1690</v>
      </c>
      <c r="D819" s="5" t="s">
        <v>1675</v>
      </c>
      <c r="E819" s="12">
        <v>605</v>
      </c>
      <c r="F819" s="11" t="s">
        <v>3296</v>
      </c>
      <c r="G819" s="12" t="s">
        <v>1</v>
      </c>
      <c r="H819" s="12" t="s">
        <v>18</v>
      </c>
      <c r="I819" s="11"/>
      <c r="J819" s="12" t="s">
        <v>1545</v>
      </c>
      <c r="K819" s="12" t="str">
        <f t="shared" si="50"/>
        <v>Closed</v>
      </c>
      <c r="L819" s="13">
        <v>44634</v>
      </c>
      <c r="M819" s="12"/>
      <c r="N819" s="12" t="s">
        <v>1652</v>
      </c>
      <c r="O819" s="12"/>
      <c r="P819" s="12" t="s">
        <v>3790</v>
      </c>
      <c r="Q819" s="12"/>
      <c r="R819" s="12" t="s">
        <v>1545</v>
      </c>
      <c r="S819" s="12" t="s">
        <v>6</v>
      </c>
      <c r="T819" s="29">
        <v>44634</v>
      </c>
      <c r="U819" s="12" t="str">
        <f t="shared" si="51"/>
        <v>Corrected</v>
      </c>
      <c r="V819" s="12" t="str">
        <f t="shared" si="48"/>
        <v>BENAYED Elie</v>
      </c>
      <c r="W819" s="13">
        <f t="shared" si="49"/>
        <v>44634</v>
      </c>
    </row>
    <row r="820" spans="1:23" ht="14.4" customHeight="1" x14ac:dyDescent="0.3">
      <c r="A820" s="28">
        <v>44628</v>
      </c>
      <c r="B820" s="12" t="s">
        <v>3297</v>
      </c>
      <c r="C820" s="12" t="s">
        <v>1690</v>
      </c>
      <c r="D820" s="5" t="s">
        <v>1675</v>
      </c>
      <c r="E820" s="12">
        <v>605</v>
      </c>
      <c r="F820" s="11" t="s">
        <v>3298</v>
      </c>
      <c r="G820" s="12" t="s">
        <v>1</v>
      </c>
      <c r="H820" s="12" t="s">
        <v>18</v>
      </c>
      <c r="I820" s="11"/>
      <c r="J820" s="12" t="s">
        <v>1545</v>
      </c>
      <c r="K820" s="12" t="str">
        <f t="shared" si="50"/>
        <v>Closed</v>
      </c>
      <c r="L820" s="13">
        <v>44634</v>
      </c>
      <c r="M820" s="12"/>
      <c r="N820" s="12" t="s">
        <v>1652</v>
      </c>
      <c r="O820" s="12" t="s">
        <v>2463</v>
      </c>
      <c r="P820" s="12" t="s">
        <v>3790</v>
      </c>
      <c r="Q820" s="12"/>
      <c r="R820" s="12" t="s">
        <v>1545</v>
      </c>
      <c r="S820" s="12" t="s">
        <v>15</v>
      </c>
      <c r="T820" s="13">
        <v>44634</v>
      </c>
      <c r="U820" s="12" t="str">
        <f t="shared" si="51"/>
        <v>Corrected</v>
      </c>
      <c r="V820" s="12" t="str">
        <f t="shared" si="48"/>
        <v>BENAYED Elie</v>
      </c>
      <c r="W820" s="13">
        <f t="shared" si="49"/>
        <v>44634</v>
      </c>
    </row>
    <row r="821" spans="1:23" x14ac:dyDescent="0.3">
      <c r="A821" s="28">
        <v>44628</v>
      </c>
      <c r="B821" s="12" t="s">
        <v>3299</v>
      </c>
      <c r="C821" s="12" t="s">
        <v>1690</v>
      </c>
      <c r="D821" s="5" t="s">
        <v>1675</v>
      </c>
      <c r="E821" s="12">
        <v>605</v>
      </c>
      <c r="F821" s="11" t="s">
        <v>3300</v>
      </c>
      <c r="G821" s="12" t="s">
        <v>1</v>
      </c>
      <c r="H821" s="12" t="s">
        <v>18</v>
      </c>
      <c r="I821" s="11"/>
      <c r="J821" s="12" t="s">
        <v>1545</v>
      </c>
      <c r="K821" s="12" t="str">
        <f t="shared" si="50"/>
        <v>Closed</v>
      </c>
      <c r="L821" s="13">
        <v>44634</v>
      </c>
      <c r="M821" s="12"/>
      <c r="N821" s="12" t="s">
        <v>1652</v>
      </c>
      <c r="O821" s="12" t="s">
        <v>3624</v>
      </c>
      <c r="P821" s="12" t="s">
        <v>3790</v>
      </c>
      <c r="Q821" s="12"/>
      <c r="R821" s="12" t="s">
        <v>1545</v>
      </c>
      <c r="S821" s="12" t="s">
        <v>6</v>
      </c>
      <c r="T821" s="13">
        <v>44634</v>
      </c>
      <c r="U821" s="12" t="str">
        <f t="shared" si="51"/>
        <v>Corrected</v>
      </c>
      <c r="V821" s="12" t="str">
        <f t="shared" si="48"/>
        <v>BENAYED Elie</v>
      </c>
      <c r="W821" s="13">
        <f t="shared" si="49"/>
        <v>44634</v>
      </c>
    </row>
    <row r="822" spans="1:23" ht="14.4" customHeight="1" x14ac:dyDescent="0.3">
      <c r="A822" s="28">
        <v>44628</v>
      </c>
      <c r="B822" s="12" t="s">
        <v>3301</v>
      </c>
      <c r="C822" s="12" t="s">
        <v>1690</v>
      </c>
      <c r="D822" s="5" t="s">
        <v>1675</v>
      </c>
      <c r="E822" s="12">
        <v>605</v>
      </c>
      <c r="F822" s="11" t="s">
        <v>3302</v>
      </c>
      <c r="G822" s="12" t="s">
        <v>1</v>
      </c>
      <c r="H822" s="12" t="s">
        <v>18</v>
      </c>
      <c r="I822" s="11"/>
      <c r="J822" s="12" t="s">
        <v>1545</v>
      </c>
      <c r="K822" s="12" t="str">
        <f t="shared" si="50"/>
        <v>Closed</v>
      </c>
      <c r="L822" s="13">
        <v>44634</v>
      </c>
      <c r="M822" s="12"/>
      <c r="N822" s="12" t="s">
        <v>1652</v>
      </c>
      <c r="O822" s="12" t="s">
        <v>3625</v>
      </c>
      <c r="P822" s="12" t="s">
        <v>3790</v>
      </c>
      <c r="Q822" s="12"/>
      <c r="R822" s="12" t="s">
        <v>1545</v>
      </c>
      <c r="S822" s="12" t="s">
        <v>15</v>
      </c>
      <c r="T822" s="13">
        <v>44634</v>
      </c>
      <c r="U822" s="12" t="str">
        <f t="shared" si="51"/>
        <v>Corrected</v>
      </c>
      <c r="V822" s="12" t="str">
        <f t="shared" si="48"/>
        <v>BENAYED Elie</v>
      </c>
      <c r="W822" s="13">
        <f t="shared" si="49"/>
        <v>44634</v>
      </c>
    </row>
    <row r="823" spans="1:23" ht="14.4" customHeight="1" x14ac:dyDescent="0.3">
      <c r="A823" s="28">
        <v>44628</v>
      </c>
      <c r="B823" s="12" t="s">
        <v>3303</v>
      </c>
      <c r="C823" s="12" t="s">
        <v>1690</v>
      </c>
      <c r="D823" s="5" t="s">
        <v>1675</v>
      </c>
      <c r="E823" s="12">
        <v>605</v>
      </c>
      <c r="F823" s="11" t="s">
        <v>3304</v>
      </c>
      <c r="G823" s="12" t="s">
        <v>1</v>
      </c>
      <c r="H823" s="12" t="s">
        <v>18</v>
      </c>
      <c r="I823" s="11"/>
      <c r="J823" s="12" t="s">
        <v>1545</v>
      </c>
      <c r="K823" s="12" t="str">
        <f t="shared" si="50"/>
        <v>Closed</v>
      </c>
      <c r="L823" s="13">
        <v>44634</v>
      </c>
      <c r="M823" s="12"/>
      <c r="N823" s="12" t="s">
        <v>1652</v>
      </c>
      <c r="O823" s="12" t="s">
        <v>2556</v>
      </c>
      <c r="P823" s="12" t="s">
        <v>3790</v>
      </c>
      <c r="Q823" s="12"/>
      <c r="R823" s="12" t="s">
        <v>1545</v>
      </c>
      <c r="S823" s="12" t="s">
        <v>15</v>
      </c>
      <c r="T823" s="13">
        <v>44634</v>
      </c>
      <c r="U823" s="12" t="str">
        <f t="shared" si="51"/>
        <v>Corrected</v>
      </c>
      <c r="V823" s="12" t="str">
        <f t="shared" si="48"/>
        <v>BENAYED Elie</v>
      </c>
      <c r="W823" s="13">
        <f t="shared" si="49"/>
        <v>44634</v>
      </c>
    </row>
    <row r="824" spans="1:23" ht="14.4" customHeight="1" x14ac:dyDescent="0.3">
      <c r="A824" s="28">
        <v>44629</v>
      </c>
      <c r="B824" s="12" t="s">
        <v>3305</v>
      </c>
      <c r="C824" s="12" t="s">
        <v>1687</v>
      </c>
      <c r="D824" s="5" t="s">
        <v>1675</v>
      </c>
      <c r="E824" s="12">
        <v>407</v>
      </c>
      <c r="F824" s="11" t="s">
        <v>3306</v>
      </c>
      <c r="G824" s="12" t="s">
        <v>7</v>
      </c>
      <c r="H824" s="12" t="s">
        <v>14</v>
      </c>
      <c r="I824" s="11" t="s">
        <v>3307</v>
      </c>
      <c r="J824" s="12" t="s">
        <v>1574</v>
      </c>
      <c r="K824" s="12" t="str">
        <f t="shared" si="50"/>
        <v>Closed</v>
      </c>
      <c r="L824" s="13">
        <v>44629</v>
      </c>
      <c r="M824" s="12"/>
      <c r="N824" s="12" t="s">
        <v>4427</v>
      </c>
      <c r="O824" s="12"/>
      <c r="P824" s="12" t="s">
        <v>3790</v>
      </c>
      <c r="Q824" s="12"/>
      <c r="R824" s="12" t="s">
        <v>1545</v>
      </c>
      <c r="S824" s="12" t="s">
        <v>15</v>
      </c>
      <c r="T824" s="13">
        <v>44634</v>
      </c>
      <c r="U824" s="12" t="str">
        <f t="shared" si="51"/>
        <v>NFF</v>
      </c>
      <c r="V824" s="12" t="str">
        <f t="shared" si="48"/>
        <v>GUAN Jialin</v>
      </c>
      <c r="W824" s="13">
        <f t="shared" si="49"/>
        <v>44629</v>
      </c>
    </row>
    <row r="825" spans="1:23" ht="28.8" customHeight="1" x14ac:dyDescent="0.3">
      <c r="A825" s="28">
        <v>44629</v>
      </c>
      <c r="B825" s="12" t="s">
        <v>3308</v>
      </c>
      <c r="C825" s="12" t="s">
        <v>1687</v>
      </c>
      <c r="D825" s="5" t="s">
        <v>1675</v>
      </c>
      <c r="E825" s="12">
        <v>608</v>
      </c>
      <c r="F825" s="11" t="s">
        <v>3309</v>
      </c>
      <c r="G825" s="12" t="s">
        <v>7</v>
      </c>
      <c r="H825" s="12" t="s">
        <v>14</v>
      </c>
      <c r="I825" s="11" t="s">
        <v>3307</v>
      </c>
      <c r="J825" s="12" t="s">
        <v>1574</v>
      </c>
      <c r="K825" s="12" t="str">
        <f t="shared" si="50"/>
        <v>Closed</v>
      </c>
      <c r="L825" s="13">
        <v>44629</v>
      </c>
      <c r="M825" s="12"/>
      <c r="N825" s="12" t="s">
        <v>4427</v>
      </c>
      <c r="O825" s="12"/>
      <c r="P825" s="12" t="s">
        <v>3790</v>
      </c>
      <c r="Q825" s="12"/>
      <c r="R825" s="12"/>
      <c r="S825" s="12"/>
      <c r="T825" s="13" t="s">
        <v>1547</v>
      </c>
      <c r="U825" s="12" t="str">
        <f t="shared" si="51"/>
        <v>NFF</v>
      </c>
      <c r="V825" s="12" t="str">
        <f t="shared" si="48"/>
        <v>GUAN Jialin</v>
      </c>
      <c r="W825" s="13">
        <f t="shared" si="49"/>
        <v>44629</v>
      </c>
    </row>
    <row r="826" spans="1:23" ht="28.8" customHeight="1" x14ac:dyDescent="0.3">
      <c r="A826" s="28">
        <v>44629</v>
      </c>
      <c r="B826" s="12" t="s">
        <v>3310</v>
      </c>
      <c r="C826" s="12" t="s">
        <v>1687</v>
      </c>
      <c r="D826" s="5" t="s">
        <v>1675</v>
      </c>
      <c r="E826" s="12">
        <v>611</v>
      </c>
      <c r="F826" s="11" t="s">
        <v>3311</v>
      </c>
      <c r="G826" s="12" t="s">
        <v>7</v>
      </c>
      <c r="H826" s="12" t="s">
        <v>14</v>
      </c>
      <c r="I826" s="11" t="s">
        <v>3307</v>
      </c>
      <c r="J826" s="12" t="s">
        <v>1574</v>
      </c>
      <c r="K826" s="12" t="str">
        <f t="shared" si="50"/>
        <v>Closed</v>
      </c>
      <c r="L826" s="13">
        <v>44629</v>
      </c>
      <c r="M826" s="12"/>
      <c r="N826" s="12" t="s">
        <v>4427</v>
      </c>
      <c r="O826" s="12"/>
      <c r="P826" s="12" t="s">
        <v>3790</v>
      </c>
      <c r="Q826" s="12"/>
      <c r="R826" s="12" t="s">
        <v>1545</v>
      </c>
      <c r="S826" s="12" t="s">
        <v>6</v>
      </c>
      <c r="T826" s="13">
        <v>44640</v>
      </c>
      <c r="U826" s="12" t="str">
        <f t="shared" si="51"/>
        <v>NFF</v>
      </c>
      <c r="V826" s="12" t="str">
        <f t="shared" si="48"/>
        <v>GUAN Jialin</v>
      </c>
      <c r="W826" s="13">
        <f t="shared" si="49"/>
        <v>44629</v>
      </c>
    </row>
    <row r="827" spans="1:23" ht="14.4" customHeight="1" x14ac:dyDescent="0.3">
      <c r="A827" s="28">
        <v>44629</v>
      </c>
      <c r="B827" s="12" t="s">
        <v>3312</v>
      </c>
      <c r="C827" s="12" t="s">
        <v>1687</v>
      </c>
      <c r="D827" s="5" t="s">
        <v>1675</v>
      </c>
      <c r="E827" s="12">
        <v>618</v>
      </c>
      <c r="F827" s="11" t="s">
        <v>3309</v>
      </c>
      <c r="G827" s="12" t="s">
        <v>7</v>
      </c>
      <c r="H827" s="12" t="s">
        <v>14</v>
      </c>
      <c r="I827" s="11" t="s">
        <v>3307</v>
      </c>
      <c r="J827" s="12" t="s">
        <v>1574</v>
      </c>
      <c r="K827" s="12" t="str">
        <f t="shared" si="50"/>
        <v>Closed</v>
      </c>
      <c r="L827" s="13">
        <v>44629</v>
      </c>
      <c r="M827" s="12"/>
      <c r="N827" s="12" t="s">
        <v>4427</v>
      </c>
      <c r="O827" s="12"/>
      <c r="P827" s="12" t="s">
        <v>3790</v>
      </c>
      <c r="Q827" s="12"/>
      <c r="R827" s="12"/>
      <c r="S827" s="12"/>
      <c r="T827" s="13" t="s">
        <v>1547</v>
      </c>
      <c r="U827" s="12" t="str">
        <f t="shared" si="51"/>
        <v>NFF</v>
      </c>
      <c r="V827" s="12" t="str">
        <f t="shared" si="48"/>
        <v>GUAN Jialin</v>
      </c>
      <c r="W827" s="13">
        <f t="shared" si="49"/>
        <v>44629</v>
      </c>
    </row>
    <row r="828" spans="1:23" ht="14.4" customHeight="1" x14ac:dyDescent="0.3">
      <c r="A828" s="28">
        <v>44629</v>
      </c>
      <c r="B828" s="12" t="s">
        <v>3313</v>
      </c>
      <c r="C828" s="12" t="s">
        <v>1687</v>
      </c>
      <c r="D828" s="5" t="s">
        <v>1675</v>
      </c>
      <c r="E828" s="12">
        <v>624</v>
      </c>
      <c r="F828" s="11" t="s">
        <v>3314</v>
      </c>
      <c r="G828" s="12" t="s">
        <v>7</v>
      </c>
      <c r="H828" s="12" t="s">
        <v>14</v>
      </c>
      <c r="I828" s="11" t="s">
        <v>3307</v>
      </c>
      <c r="J828" s="12" t="s">
        <v>1574</v>
      </c>
      <c r="K828" s="12" t="str">
        <f t="shared" si="50"/>
        <v>Closed</v>
      </c>
      <c r="L828" s="13">
        <v>44629</v>
      </c>
      <c r="M828" s="12"/>
      <c r="N828" s="12" t="s">
        <v>4427</v>
      </c>
      <c r="O828" s="12"/>
      <c r="P828" s="12" t="s">
        <v>3790</v>
      </c>
      <c r="Q828" s="12"/>
      <c r="R828" s="12"/>
      <c r="S828" s="12"/>
      <c r="T828" s="13" t="s">
        <v>1547</v>
      </c>
      <c r="U828" s="12" t="str">
        <f t="shared" si="51"/>
        <v>NFF</v>
      </c>
      <c r="V828" s="12" t="str">
        <f t="shared" si="48"/>
        <v>GUAN Jialin</v>
      </c>
      <c r="W828" s="13">
        <f t="shared" si="49"/>
        <v>44629</v>
      </c>
    </row>
    <row r="829" spans="1:23" ht="14.4" customHeight="1" x14ac:dyDescent="0.3">
      <c r="A829" s="28">
        <v>44630</v>
      </c>
      <c r="B829" s="12" t="s">
        <v>3315</v>
      </c>
      <c r="C829" s="12" t="s">
        <v>1687</v>
      </c>
      <c r="D829" s="5" t="s">
        <v>1675</v>
      </c>
      <c r="E829" s="12">
        <v>602</v>
      </c>
      <c r="F829" s="11" t="s">
        <v>3314</v>
      </c>
      <c r="G829" s="12" t="s">
        <v>7</v>
      </c>
      <c r="H829" s="12" t="s">
        <v>18</v>
      </c>
      <c r="I829" s="11"/>
      <c r="J829" s="12" t="s">
        <v>1574</v>
      </c>
      <c r="K829" s="12" t="str">
        <f t="shared" si="50"/>
        <v>Closed</v>
      </c>
      <c r="L829" s="13">
        <v>44630</v>
      </c>
      <c r="M829" s="12"/>
      <c r="N829" s="12" t="s">
        <v>4427</v>
      </c>
      <c r="O829" s="12"/>
      <c r="P829" s="12" t="s">
        <v>3790</v>
      </c>
      <c r="Q829" s="12"/>
      <c r="R829" s="12"/>
      <c r="S829" s="12"/>
      <c r="T829" s="13" t="s">
        <v>1547</v>
      </c>
      <c r="U829" s="12" t="str">
        <f t="shared" si="51"/>
        <v>NFF</v>
      </c>
      <c r="V829" s="12" t="str">
        <f t="shared" si="48"/>
        <v>BENAYED Elie</v>
      </c>
      <c r="W829" s="13">
        <f t="shared" si="49"/>
        <v>44630</v>
      </c>
    </row>
    <row r="830" spans="1:23" ht="14.4" customHeight="1" x14ac:dyDescent="0.3">
      <c r="A830" s="28">
        <v>44630</v>
      </c>
      <c r="B830" s="12" t="s">
        <v>3316</v>
      </c>
      <c r="C830" s="12" t="s">
        <v>1687</v>
      </c>
      <c r="D830" s="5" t="s">
        <v>1675</v>
      </c>
      <c r="E830" s="12">
        <v>603</v>
      </c>
      <c r="F830" s="11" t="s">
        <v>3314</v>
      </c>
      <c r="G830" s="12" t="s">
        <v>7</v>
      </c>
      <c r="H830" s="12" t="s">
        <v>18</v>
      </c>
      <c r="I830" s="11"/>
      <c r="J830" s="12" t="s">
        <v>1574</v>
      </c>
      <c r="K830" s="12" t="str">
        <f t="shared" si="50"/>
        <v>Closed</v>
      </c>
      <c r="L830" s="13">
        <v>44630</v>
      </c>
      <c r="M830" s="12"/>
      <c r="N830" s="12" t="s">
        <v>4427</v>
      </c>
      <c r="O830" s="12"/>
      <c r="P830" s="12" t="s">
        <v>3790</v>
      </c>
      <c r="Q830" s="12"/>
      <c r="R830" s="12"/>
      <c r="S830" s="12"/>
      <c r="T830" s="13" t="s">
        <v>1547</v>
      </c>
      <c r="U830" s="12" t="str">
        <f t="shared" si="51"/>
        <v>NFF</v>
      </c>
      <c r="V830" s="12" t="str">
        <f t="shared" si="48"/>
        <v>BENAYED Elie</v>
      </c>
      <c r="W830" s="13">
        <f t="shared" si="49"/>
        <v>44630</v>
      </c>
    </row>
    <row r="831" spans="1:23" ht="14.4" customHeight="1" x14ac:dyDescent="0.3">
      <c r="A831" s="28">
        <v>44630</v>
      </c>
      <c r="B831" s="12" t="s">
        <v>3317</v>
      </c>
      <c r="C831" s="12" t="s">
        <v>1687</v>
      </c>
      <c r="D831" s="5" t="s">
        <v>1675</v>
      </c>
      <c r="E831" s="12">
        <v>607</v>
      </c>
      <c r="F831" s="11" t="s">
        <v>3318</v>
      </c>
      <c r="G831" s="12" t="s">
        <v>7</v>
      </c>
      <c r="H831" s="12" t="s">
        <v>18</v>
      </c>
      <c r="I831" s="11"/>
      <c r="J831" s="12" t="s">
        <v>1574</v>
      </c>
      <c r="K831" s="12" t="str">
        <f t="shared" si="50"/>
        <v>Closed</v>
      </c>
      <c r="L831" s="13">
        <v>44630</v>
      </c>
      <c r="M831" s="12"/>
      <c r="N831" s="12" t="s">
        <v>4427</v>
      </c>
      <c r="O831" s="12"/>
      <c r="P831" s="12" t="s">
        <v>3790</v>
      </c>
      <c r="Q831" s="12"/>
      <c r="R831" s="12"/>
      <c r="S831" s="12"/>
      <c r="T831" s="13" t="s">
        <v>1547</v>
      </c>
      <c r="U831" s="12" t="str">
        <f t="shared" si="51"/>
        <v>NFF</v>
      </c>
      <c r="V831" s="12" t="str">
        <f t="shared" ref="V831:V894" si="52">IF(AND(J831="Corrective Action Required",R831="Corrected"),S831, IF(AND(J831="Corrective Action Required",R831&lt;&gt;"Corrected"),S831,H831))</f>
        <v>BENAYED Elie</v>
      </c>
      <c r="W831" s="13">
        <f t="shared" ref="W831:W894" si="53">IF(OR(J831="Corrected",J831="NFF"),L831, IF(AND(J831="Corrective Action Required",R831="Corrected"),T831,""))</f>
        <v>44630</v>
      </c>
    </row>
    <row r="832" spans="1:23" ht="14.4" customHeight="1" x14ac:dyDescent="0.3">
      <c r="A832" s="28">
        <v>44630</v>
      </c>
      <c r="B832" s="12" t="s">
        <v>3319</v>
      </c>
      <c r="C832" s="12" t="s">
        <v>1687</v>
      </c>
      <c r="D832" s="5" t="s">
        <v>1675</v>
      </c>
      <c r="E832" s="12">
        <v>609</v>
      </c>
      <c r="F832" s="11" t="s">
        <v>3314</v>
      </c>
      <c r="G832" s="12" t="s">
        <v>7</v>
      </c>
      <c r="H832" s="12" t="s">
        <v>18</v>
      </c>
      <c r="I832" s="11"/>
      <c r="J832" s="12" t="s">
        <v>1574</v>
      </c>
      <c r="K832" s="12" t="str">
        <f t="shared" ref="K832:K895" si="54">IF(J832="Corrected","Closed",IF(J832="NFF","Closed","Open"))</f>
        <v>Closed</v>
      </c>
      <c r="L832" s="13">
        <v>44630</v>
      </c>
      <c r="M832" s="12"/>
      <c r="N832" s="12" t="s">
        <v>4427</v>
      </c>
      <c r="O832" s="12"/>
      <c r="P832" s="12" t="s">
        <v>3790</v>
      </c>
      <c r="Q832" s="12"/>
      <c r="R832" s="12"/>
      <c r="S832" s="12"/>
      <c r="T832" s="13" t="s">
        <v>1547</v>
      </c>
      <c r="U832" s="12" t="str">
        <f t="shared" si="51"/>
        <v>NFF</v>
      </c>
      <c r="V832" s="12" t="str">
        <f t="shared" si="52"/>
        <v>BENAYED Elie</v>
      </c>
      <c r="W832" s="13">
        <f t="shared" si="53"/>
        <v>44630</v>
      </c>
    </row>
    <row r="833" spans="1:23" ht="14.4" customHeight="1" x14ac:dyDescent="0.3">
      <c r="A833" s="28">
        <v>44630</v>
      </c>
      <c r="B833" s="12" t="s">
        <v>3320</v>
      </c>
      <c r="C833" s="12" t="s">
        <v>1687</v>
      </c>
      <c r="D833" s="5" t="s">
        <v>1675</v>
      </c>
      <c r="E833" s="12">
        <v>610</v>
      </c>
      <c r="F833" s="11" t="s">
        <v>3314</v>
      </c>
      <c r="G833" s="12" t="s">
        <v>7</v>
      </c>
      <c r="H833" s="12" t="s">
        <v>18</v>
      </c>
      <c r="I833" s="11"/>
      <c r="J833" s="12" t="s">
        <v>1574</v>
      </c>
      <c r="K833" s="12" t="str">
        <f t="shared" si="54"/>
        <v>Closed</v>
      </c>
      <c r="L833" s="13">
        <v>44630</v>
      </c>
      <c r="M833" s="12"/>
      <c r="N833" s="12" t="s">
        <v>4427</v>
      </c>
      <c r="O833" s="12"/>
      <c r="P833" s="12" t="s">
        <v>3790</v>
      </c>
      <c r="Q833" s="12"/>
      <c r="R833" s="12"/>
      <c r="S833" s="12"/>
      <c r="T833" s="13" t="s">
        <v>1547</v>
      </c>
      <c r="U833" s="12" t="str">
        <f t="shared" si="51"/>
        <v>NFF</v>
      </c>
      <c r="V833" s="12" t="str">
        <f t="shared" si="52"/>
        <v>BENAYED Elie</v>
      </c>
      <c r="W833" s="13">
        <f t="shared" si="53"/>
        <v>44630</v>
      </c>
    </row>
    <row r="834" spans="1:23" ht="14.4" customHeight="1" x14ac:dyDescent="0.3">
      <c r="A834" s="28">
        <v>44630</v>
      </c>
      <c r="B834" s="12" t="s">
        <v>3321</v>
      </c>
      <c r="C834" s="12" t="s">
        <v>1687</v>
      </c>
      <c r="D834" s="5" t="s">
        <v>1675</v>
      </c>
      <c r="E834" s="12">
        <v>615</v>
      </c>
      <c r="F834" s="11" t="s">
        <v>3314</v>
      </c>
      <c r="G834" s="12" t="s">
        <v>7</v>
      </c>
      <c r="H834" s="12" t="s">
        <v>18</v>
      </c>
      <c r="I834" s="11"/>
      <c r="J834" s="12" t="s">
        <v>1574</v>
      </c>
      <c r="K834" s="12" t="str">
        <f t="shared" si="54"/>
        <v>Closed</v>
      </c>
      <c r="L834" s="13">
        <v>44630</v>
      </c>
      <c r="M834" s="12"/>
      <c r="N834" s="12" t="s">
        <v>4427</v>
      </c>
      <c r="O834" s="12"/>
      <c r="P834" s="12" t="s">
        <v>3790</v>
      </c>
      <c r="Q834" s="12"/>
      <c r="R834" s="12"/>
      <c r="S834" s="12"/>
      <c r="T834" s="13" t="s">
        <v>1547</v>
      </c>
      <c r="U834" s="12" t="str">
        <f t="shared" si="51"/>
        <v>NFF</v>
      </c>
      <c r="V834" s="12" t="str">
        <f t="shared" si="52"/>
        <v>BENAYED Elie</v>
      </c>
      <c r="W834" s="13">
        <f t="shared" si="53"/>
        <v>44630</v>
      </c>
    </row>
    <row r="835" spans="1:23" ht="14.4" customHeight="1" x14ac:dyDescent="0.3">
      <c r="A835" s="28">
        <v>44630</v>
      </c>
      <c r="B835" s="12" t="s">
        <v>3322</v>
      </c>
      <c r="C835" s="12" t="s">
        <v>1687</v>
      </c>
      <c r="D835" s="5" t="s">
        <v>1675</v>
      </c>
      <c r="E835" s="12">
        <v>626</v>
      </c>
      <c r="F835" s="11" t="s">
        <v>3314</v>
      </c>
      <c r="G835" s="12" t="s">
        <v>7</v>
      </c>
      <c r="H835" s="12" t="s">
        <v>18</v>
      </c>
      <c r="I835" s="11"/>
      <c r="J835" s="12" t="s">
        <v>1574</v>
      </c>
      <c r="K835" s="12" t="str">
        <f t="shared" si="54"/>
        <v>Closed</v>
      </c>
      <c r="L835" s="13">
        <v>44630</v>
      </c>
      <c r="M835" s="12"/>
      <c r="N835" s="12" t="s">
        <v>4427</v>
      </c>
      <c r="O835" s="12"/>
      <c r="P835" s="12" t="s">
        <v>3790</v>
      </c>
      <c r="Q835" s="12"/>
      <c r="R835" s="12"/>
      <c r="S835" s="12"/>
      <c r="T835" s="13" t="s">
        <v>1547</v>
      </c>
      <c r="U835" s="12" t="str">
        <f t="shared" ref="U835:U898" si="55">IF(AND(J835="Corrective Action Required",R835="Corrected"),"Corrected", IF(AND(J835="Corrective Action Required",R835&lt;&gt;"Corrected"),R835,J835))</f>
        <v>NFF</v>
      </c>
      <c r="V835" s="12" t="str">
        <f t="shared" si="52"/>
        <v>BENAYED Elie</v>
      </c>
      <c r="W835" s="13">
        <f t="shared" si="53"/>
        <v>44630</v>
      </c>
    </row>
    <row r="836" spans="1:23" ht="14.4" customHeight="1" x14ac:dyDescent="0.3">
      <c r="A836" s="28">
        <v>44633</v>
      </c>
      <c r="B836" s="12" t="s">
        <v>3323</v>
      </c>
      <c r="C836" s="12" t="s">
        <v>1703</v>
      </c>
      <c r="D836" s="5" t="s">
        <v>1675</v>
      </c>
      <c r="E836" s="12">
        <v>423</v>
      </c>
      <c r="F836" s="11" t="s">
        <v>3324</v>
      </c>
      <c r="G836" s="12" t="s">
        <v>1</v>
      </c>
      <c r="H836" s="12" t="s">
        <v>18</v>
      </c>
      <c r="I836" s="11"/>
      <c r="J836" s="12" t="s">
        <v>1545</v>
      </c>
      <c r="K836" s="12" t="str">
        <f t="shared" si="54"/>
        <v>Closed</v>
      </c>
      <c r="L836" s="13">
        <v>44636</v>
      </c>
      <c r="M836" s="12"/>
      <c r="N836" s="12" t="s">
        <v>1652</v>
      </c>
      <c r="O836" s="12"/>
      <c r="P836" s="12" t="s">
        <v>3790</v>
      </c>
      <c r="Q836" s="12"/>
      <c r="R836" s="12"/>
      <c r="S836" s="12"/>
      <c r="T836" s="13" t="s">
        <v>1547</v>
      </c>
      <c r="U836" s="12" t="str">
        <f t="shared" si="55"/>
        <v>Corrected</v>
      </c>
      <c r="V836" s="12" t="str">
        <f t="shared" si="52"/>
        <v>BENAYED Elie</v>
      </c>
      <c r="W836" s="13">
        <f t="shared" si="53"/>
        <v>44636</v>
      </c>
    </row>
    <row r="837" spans="1:23" ht="14.4" customHeight="1" x14ac:dyDescent="0.3">
      <c r="A837" s="28">
        <v>44634</v>
      </c>
      <c r="B837" s="12" t="s">
        <v>3325</v>
      </c>
      <c r="C837" s="12" t="s">
        <v>1542</v>
      </c>
      <c r="D837" s="5" t="s">
        <v>1675</v>
      </c>
      <c r="E837" s="12">
        <v>623</v>
      </c>
      <c r="F837" s="11" t="s">
        <v>3326</v>
      </c>
      <c r="G837" s="12" t="s">
        <v>7</v>
      </c>
      <c r="H837" s="12" t="s">
        <v>14</v>
      </c>
      <c r="I837" s="11" t="s">
        <v>3327</v>
      </c>
      <c r="J837" s="12" t="s">
        <v>1545</v>
      </c>
      <c r="K837" s="12" t="str">
        <f t="shared" si="54"/>
        <v>Closed</v>
      </c>
      <c r="L837" s="13">
        <v>44634</v>
      </c>
      <c r="M837" s="12"/>
      <c r="N837" s="12" t="s">
        <v>4427</v>
      </c>
      <c r="O837" s="12" t="s">
        <v>2445</v>
      </c>
      <c r="P837" s="12" t="s">
        <v>3790</v>
      </c>
      <c r="Q837" s="12"/>
      <c r="R837" s="12" t="s">
        <v>1545</v>
      </c>
      <c r="S837" s="12" t="s">
        <v>11</v>
      </c>
      <c r="T837" s="13">
        <v>44636</v>
      </c>
      <c r="U837" s="12" t="str">
        <f t="shared" si="55"/>
        <v>Corrected</v>
      </c>
      <c r="V837" s="12" t="str">
        <f t="shared" si="52"/>
        <v>GUAN Jialin</v>
      </c>
      <c r="W837" s="13">
        <f t="shared" si="53"/>
        <v>44634</v>
      </c>
    </row>
    <row r="838" spans="1:23" x14ac:dyDescent="0.3">
      <c r="A838" s="28">
        <v>44634</v>
      </c>
      <c r="B838" s="12" t="s">
        <v>3329</v>
      </c>
      <c r="C838" s="12" t="s">
        <v>1687</v>
      </c>
      <c r="D838" s="5" t="s">
        <v>1675</v>
      </c>
      <c r="E838" s="12">
        <v>622</v>
      </c>
      <c r="F838" s="11" t="s">
        <v>3314</v>
      </c>
      <c r="G838" s="12" t="s">
        <v>7</v>
      </c>
      <c r="H838" s="12" t="s">
        <v>14</v>
      </c>
      <c r="I838" s="11"/>
      <c r="J838" s="12" t="s">
        <v>1574</v>
      </c>
      <c r="K838" s="12" t="str">
        <f t="shared" si="54"/>
        <v>Closed</v>
      </c>
      <c r="L838" s="13">
        <v>44634</v>
      </c>
      <c r="M838" s="12"/>
      <c r="N838" s="12" t="s">
        <v>4427</v>
      </c>
      <c r="O838" s="12"/>
      <c r="P838" s="12" t="s">
        <v>3790</v>
      </c>
      <c r="Q838" s="12"/>
      <c r="R838" s="12" t="s">
        <v>1545</v>
      </c>
      <c r="S838" s="12" t="s">
        <v>6</v>
      </c>
      <c r="T838" s="13">
        <v>44641</v>
      </c>
      <c r="U838" s="12" t="str">
        <f t="shared" si="55"/>
        <v>NFF</v>
      </c>
      <c r="V838" s="12" t="str">
        <f t="shared" si="52"/>
        <v>GUAN Jialin</v>
      </c>
      <c r="W838" s="13">
        <f t="shared" si="53"/>
        <v>44634</v>
      </c>
    </row>
    <row r="839" spans="1:23" ht="28.8" customHeight="1" x14ac:dyDescent="0.3">
      <c r="A839" s="28">
        <v>44636</v>
      </c>
      <c r="B839" s="12" t="s">
        <v>3346</v>
      </c>
      <c r="C839" s="12" t="s">
        <v>1690</v>
      </c>
      <c r="D839" s="5" t="s">
        <v>1675</v>
      </c>
      <c r="E839" s="12">
        <v>612</v>
      </c>
      <c r="F839" s="11" t="s">
        <v>3347</v>
      </c>
      <c r="G839" s="12" t="s">
        <v>1</v>
      </c>
      <c r="H839" s="12" t="s">
        <v>14</v>
      </c>
      <c r="I839" s="11" t="s">
        <v>3348</v>
      </c>
      <c r="J839" s="12" t="s">
        <v>1545</v>
      </c>
      <c r="K839" s="12" t="str">
        <f t="shared" si="54"/>
        <v>Closed</v>
      </c>
      <c r="L839" s="13">
        <v>44636</v>
      </c>
      <c r="M839" s="12"/>
      <c r="N839" s="12" t="s">
        <v>4427</v>
      </c>
      <c r="O839" s="12" t="s">
        <v>3371</v>
      </c>
      <c r="P839" s="12" t="s">
        <v>3790</v>
      </c>
      <c r="Q839" s="12"/>
      <c r="R839" s="12"/>
      <c r="S839" s="12"/>
      <c r="T839" s="13" t="s">
        <v>1547</v>
      </c>
      <c r="U839" s="12" t="str">
        <f t="shared" si="55"/>
        <v>Corrected</v>
      </c>
      <c r="V839" s="12" t="str">
        <f t="shared" si="52"/>
        <v>GUAN Jialin</v>
      </c>
      <c r="W839" s="13">
        <f t="shared" si="53"/>
        <v>44636</v>
      </c>
    </row>
    <row r="840" spans="1:23" x14ac:dyDescent="0.3">
      <c r="A840" s="28">
        <v>44636</v>
      </c>
      <c r="B840" s="12" t="s">
        <v>3349</v>
      </c>
      <c r="C840" s="12" t="s">
        <v>1690</v>
      </c>
      <c r="D840" s="5" t="s">
        <v>1675</v>
      </c>
      <c r="E840" s="12">
        <v>405</v>
      </c>
      <c r="F840" s="11" t="s">
        <v>1360</v>
      </c>
      <c r="G840" s="12" t="s">
        <v>7</v>
      </c>
      <c r="H840" s="12" t="s">
        <v>14</v>
      </c>
      <c r="I840" s="11"/>
      <c r="J840" s="12" t="s">
        <v>1574</v>
      </c>
      <c r="K840" s="12" t="str">
        <f t="shared" si="54"/>
        <v>Closed</v>
      </c>
      <c r="L840" s="13">
        <v>44649</v>
      </c>
      <c r="M840" s="12"/>
      <c r="N840" s="12"/>
      <c r="O840" s="12"/>
      <c r="P840" s="12" t="s">
        <v>3790</v>
      </c>
      <c r="Q840" s="12"/>
      <c r="R840" s="12"/>
      <c r="S840" s="12"/>
      <c r="T840" s="13" t="s">
        <v>1547</v>
      </c>
      <c r="U840" s="12" t="str">
        <f t="shared" si="55"/>
        <v>NFF</v>
      </c>
      <c r="V840" s="12" t="str">
        <f t="shared" si="52"/>
        <v>GUAN Jialin</v>
      </c>
      <c r="W840" s="13">
        <f t="shared" si="53"/>
        <v>44649</v>
      </c>
    </row>
    <row r="841" spans="1:23" x14ac:dyDescent="0.3">
      <c r="A841" s="28">
        <v>44636</v>
      </c>
      <c r="B841" s="12" t="s">
        <v>3350</v>
      </c>
      <c r="C841" s="12" t="s">
        <v>1690</v>
      </c>
      <c r="D841" s="5" t="s">
        <v>1675</v>
      </c>
      <c r="E841" s="12">
        <v>417</v>
      </c>
      <c r="F841" s="11" t="s">
        <v>1334</v>
      </c>
      <c r="G841" s="12" t="s">
        <v>1</v>
      </c>
      <c r="H841" s="12" t="s">
        <v>11</v>
      </c>
      <c r="I841" s="11"/>
      <c r="J841" s="12" t="s">
        <v>1545</v>
      </c>
      <c r="K841" s="12" t="str">
        <f t="shared" si="54"/>
        <v>Closed</v>
      </c>
      <c r="L841" s="13">
        <v>44640</v>
      </c>
      <c r="M841" s="12"/>
      <c r="N841" s="12" t="s">
        <v>2683</v>
      </c>
      <c r="O841" s="12" t="s">
        <v>3369</v>
      </c>
      <c r="P841" s="12" t="s">
        <v>2788</v>
      </c>
      <c r="Q841" s="12"/>
      <c r="R841" s="12"/>
      <c r="S841" s="12"/>
      <c r="T841" s="13" t="s">
        <v>1547</v>
      </c>
      <c r="U841" s="12" t="str">
        <f t="shared" si="55"/>
        <v>Corrected</v>
      </c>
      <c r="V841" s="12" t="str">
        <f t="shared" si="52"/>
        <v>FIRDUS Ahmad</v>
      </c>
      <c r="W841" s="13">
        <f t="shared" si="53"/>
        <v>44640</v>
      </c>
    </row>
    <row r="842" spans="1:23" x14ac:dyDescent="0.3">
      <c r="A842" s="28">
        <v>44636</v>
      </c>
      <c r="B842" s="12" t="s">
        <v>3351</v>
      </c>
      <c r="C842" s="12" t="s">
        <v>1690</v>
      </c>
      <c r="D842" s="5" t="s">
        <v>1675</v>
      </c>
      <c r="E842" s="12">
        <v>608</v>
      </c>
      <c r="F842" s="11" t="s">
        <v>3352</v>
      </c>
      <c r="G842" s="12" t="s">
        <v>1</v>
      </c>
      <c r="H842" s="12" t="s">
        <v>14</v>
      </c>
      <c r="I842" s="11" t="s">
        <v>3353</v>
      </c>
      <c r="J842" s="12" t="s">
        <v>1545</v>
      </c>
      <c r="K842" s="12" t="str">
        <f t="shared" si="54"/>
        <v>Closed</v>
      </c>
      <c r="L842" s="13">
        <v>44636</v>
      </c>
      <c r="M842" s="12"/>
      <c r="N842" s="12" t="s">
        <v>4427</v>
      </c>
      <c r="O842" s="12" t="s">
        <v>3370</v>
      </c>
      <c r="P842" s="12" t="s">
        <v>2788</v>
      </c>
      <c r="Q842" s="12"/>
      <c r="R842" s="12" t="s">
        <v>1545</v>
      </c>
      <c r="S842" s="12" t="s">
        <v>12</v>
      </c>
      <c r="T842" s="13">
        <v>44641</v>
      </c>
      <c r="U842" s="12" t="str">
        <f t="shared" si="55"/>
        <v>Corrected</v>
      </c>
      <c r="V842" s="12" t="str">
        <f t="shared" si="52"/>
        <v>GUAN Jialin</v>
      </c>
      <c r="W842" s="13">
        <f t="shared" si="53"/>
        <v>44636</v>
      </c>
    </row>
    <row r="843" spans="1:23" x14ac:dyDescent="0.3">
      <c r="A843" s="28">
        <v>44636</v>
      </c>
      <c r="B843" s="12" t="s">
        <v>3354</v>
      </c>
      <c r="C843" s="12" t="s">
        <v>1690</v>
      </c>
      <c r="D843" s="5" t="s">
        <v>1675</v>
      </c>
      <c r="E843" s="12">
        <v>608</v>
      </c>
      <c r="F843" s="11" t="s">
        <v>3355</v>
      </c>
      <c r="G843" s="12" t="s">
        <v>1</v>
      </c>
      <c r="H843" s="12" t="s">
        <v>14</v>
      </c>
      <c r="I843" s="11" t="s">
        <v>3356</v>
      </c>
      <c r="J843" s="12" t="s">
        <v>1545</v>
      </c>
      <c r="K843" s="12" t="str">
        <f t="shared" si="54"/>
        <v>Closed</v>
      </c>
      <c r="L843" s="13">
        <v>44636</v>
      </c>
      <c r="M843" s="12"/>
      <c r="N843" s="12" t="s">
        <v>4427</v>
      </c>
      <c r="O843" s="12" t="s">
        <v>3371</v>
      </c>
      <c r="P843" s="12" t="s">
        <v>2788</v>
      </c>
      <c r="Q843" s="12"/>
      <c r="R843" s="12"/>
      <c r="S843" s="12"/>
      <c r="T843" s="13" t="s">
        <v>1547</v>
      </c>
      <c r="U843" s="12" t="str">
        <f t="shared" si="55"/>
        <v>Corrected</v>
      </c>
      <c r="V843" s="12" t="str">
        <f t="shared" si="52"/>
        <v>GUAN Jialin</v>
      </c>
      <c r="W843" s="13">
        <f t="shared" si="53"/>
        <v>44636</v>
      </c>
    </row>
    <row r="844" spans="1:23" ht="14.4" customHeight="1" x14ac:dyDescent="0.3">
      <c r="A844" s="28">
        <v>44636</v>
      </c>
      <c r="B844" s="12" t="s">
        <v>3357</v>
      </c>
      <c r="C844" s="12" t="s">
        <v>1690</v>
      </c>
      <c r="D844" s="5" t="s">
        <v>1675</v>
      </c>
      <c r="E844" s="12">
        <v>608</v>
      </c>
      <c r="F844" s="11" t="s">
        <v>3035</v>
      </c>
      <c r="G844" s="12" t="s">
        <v>7</v>
      </c>
      <c r="H844" s="12" t="s">
        <v>14</v>
      </c>
      <c r="I844" s="11" t="s">
        <v>3356</v>
      </c>
      <c r="J844" s="12" t="s">
        <v>1545</v>
      </c>
      <c r="K844" s="12" t="str">
        <f t="shared" si="54"/>
        <v>Closed</v>
      </c>
      <c r="L844" s="13">
        <v>44636</v>
      </c>
      <c r="M844" s="12"/>
      <c r="N844" s="12" t="s">
        <v>4427</v>
      </c>
      <c r="O844" s="12" t="s">
        <v>3371</v>
      </c>
      <c r="P844" s="12" t="s">
        <v>3790</v>
      </c>
      <c r="Q844" s="12"/>
      <c r="R844" s="12"/>
      <c r="S844" s="12"/>
      <c r="T844" s="13" t="s">
        <v>1547</v>
      </c>
      <c r="U844" s="12" t="str">
        <f t="shared" si="55"/>
        <v>Corrected</v>
      </c>
      <c r="V844" s="12" t="str">
        <f t="shared" si="52"/>
        <v>GUAN Jialin</v>
      </c>
      <c r="W844" s="13">
        <f t="shared" si="53"/>
        <v>44636</v>
      </c>
    </row>
    <row r="845" spans="1:23" ht="14.4" customHeight="1" x14ac:dyDescent="0.3">
      <c r="A845" s="28">
        <v>44636</v>
      </c>
      <c r="B845" s="12" t="s">
        <v>3358</v>
      </c>
      <c r="C845" s="12" t="s">
        <v>1690</v>
      </c>
      <c r="D845" s="5" t="s">
        <v>1675</v>
      </c>
      <c r="E845" s="12">
        <v>406</v>
      </c>
      <c r="F845" s="11" t="s">
        <v>3359</v>
      </c>
      <c r="G845" s="12" t="s">
        <v>7</v>
      </c>
      <c r="H845" s="12" t="s">
        <v>14</v>
      </c>
      <c r="I845" s="11"/>
      <c r="J845" s="12" t="s">
        <v>1574</v>
      </c>
      <c r="K845" s="12" t="str">
        <f t="shared" si="54"/>
        <v>Closed</v>
      </c>
      <c r="L845" s="13">
        <v>44637</v>
      </c>
      <c r="M845" s="12"/>
      <c r="N845" s="12" t="s">
        <v>4427</v>
      </c>
      <c r="O845" s="12" t="s">
        <v>3372</v>
      </c>
      <c r="P845" s="12" t="s">
        <v>3790</v>
      </c>
      <c r="Q845" s="12"/>
      <c r="R845" s="12" t="s">
        <v>1545</v>
      </c>
      <c r="S845" s="12" t="s">
        <v>12</v>
      </c>
      <c r="T845" s="13">
        <v>44641</v>
      </c>
      <c r="U845" s="12" t="str">
        <f t="shared" si="55"/>
        <v>NFF</v>
      </c>
      <c r="V845" s="12" t="str">
        <f t="shared" si="52"/>
        <v>GUAN Jialin</v>
      </c>
      <c r="W845" s="13">
        <f t="shared" si="53"/>
        <v>44637</v>
      </c>
    </row>
    <row r="846" spans="1:23" ht="14.4" customHeight="1" x14ac:dyDescent="0.3">
      <c r="A846" s="28">
        <v>44636</v>
      </c>
      <c r="B846" s="12" t="s">
        <v>3360</v>
      </c>
      <c r="C846" s="12" t="s">
        <v>1690</v>
      </c>
      <c r="D846" s="5" t="s">
        <v>1675</v>
      </c>
      <c r="E846" s="12">
        <v>621</v>
      </c>
      <c r="F846" s="11" t="s">
        <v>1887</v>
      </c>
      <c r="G846" s="12" t="s">
        <v>1</v>
      </c>
      <c r="H846" s="12" t="s">
        <v>14</v>
      </c>
      <c r="I846" s="11" t="s">
        <v>3361</v>
      </c>
      <c r="J846" s="12" t="s">
        <v>1545</v>
      </c>
      <c r="K846" s="12" t="str">
        <f t="shared" si="54"/>
        <v>Closed</v>
      </c>
      <c r="L846" s="13">
        <v>44636</v>
      </c>
      <c r="M846" s="12"/>
      <c r="N846" s="12" t="s">
        <v>4427</v>
      </c>
      <c r="O846" s="12" t="s">
        <v>3371</v>
      </c>
      <c r="P846" s="12" t="s">
        <v>3790</v>
      </c>
      <c r="Q846" s="12"/>
      <c r="R846" s="12"/>
      <c r="S846" s="12"/>
      <c r="T846" s="13" t="s">
        <v>1547</v>
      </c>
      <c r="U846" s="12" t="str">
        <f t="shared" si="55"/>
        <v>Corrected</v>
      </c>
      <c r="V846" s="12" t="str">
        <f t="shared" si="52"/>
        <v>GUAN Jialin</v>
      </c>
      <c r="W846" s="13">
        <f t="shared" si="53"/>
        <v>44636</v>
      </c>
    </row>
    <row r="847" spans="1:23" ht="14.4" customHeight="1" x14ac:dyDescent="0.3">
      <c r="A847" s="28">
        <v>44636</v>
      </c>
      <c r="B847" s="12" t="s">
        <v>3362</v>
      </c>
      <c r="C847" s="12" t="s">
        <v>1690</v>
      </c>
      <c r="D847" s="5" t="s">
        <v>1675</v>
      </c>
      <c r="E847" s="12">
        <v>611</v>
      </c>
      <c r="F847" s="11" t="s">
        <v>1360</v>
      </c>
      <c r="G847" s="12" t="s">
        <v>7</v>
      </c>
      <c r="H847" s="12" t="s">
        <v>14</v>
      </c>
      <c r="I847" s="11"/>
      <c r="J847" s="12" t="s">
        <v>1574</v>
      </c>
      <c r="K847" s="12" t="str">
        <f t="shared" si="54"/>
        <v>Closed</v>
      </c>
      <c r="L847" s="13">
        <v>44637</v>
      </c>
      <c r="M847" s="12"/>
      <c r="N847" s="12" t="s">
        <v>4427</v>
      </c>
      <c r="O847" s="12"/>
      <c r="P847" s="12" t="s">
        <v>3790</v>
      </c>
      <c r="Q847" s="12"/>
      <c r="R847" s="12"/>
      <c r="S847" s="12"/>
      <c r="T847" s="13" t="s">
        <v>1547</v>
      </c>
      <c r="U847" s="12" t="str">
        <f t="shared" si="55"/>
        <v>NFF</v>
      </c>
      <c r="V847" s="12" t="str">
        <f t="shared" si="52"/>
        <v>GUAN Jialin</v>
      </c>
      <c r="W847" s="13">
        <f t="shared" si="53"/>
        <v>44637</v>
      </c>
    </row>
    <row r="848" spans="1:23" ht="14.4" customHeight="1" x14ac:dyDescent="0.3">
      <c r="A848" s="28">
        <v>44636</v>
      </c>
      <c r="B848" s="12" t="s">
        <v>3363</v>
      </c>
      <c r="C848" s="12" t="s">
        <v>1542</v>
      </c>
      <c r="D848" s="5" t="s">
        <v>3364</v>
      </c>
      <c r="E848" s="12">
        <v>401</v>
      </c>
      <c r="F848" s="11" t="s">
        <v>3365</v>
      </c>
      <c r="G848" s="12" t="s">
        <v>7</v>
      </c>
      <c r="H848" s="12" t="s">
        <v>18</v>
      </c>
      <c r="I848" s="11"/>
      <c r="J848" s="12" t="s">
        <v>1574</v>
      </c>
      <c r="K848" s="12" t="str">
        <f t="shared" si="54"/>
        <v>Closed</v>
      </c>
      <c r="L848" s="13">
        <v>44637</v>
      </c>
      <c r="M848" s="12"/>
      <c r="N848" s="12" t="s">
        <v>4427</v>
      </c>
      <c r="O848" s="12"/>
      <c r="P848" s="12" t="s">
        <v>3790</v>
      </c>
      <c r="Q848" s="12"/>
      <c r="R848" s="12"/>
      <c r="S848" s="12"/>
      <c r="T848" s="13" t="s">
        <v>1547</v>
      </c>
      <c r="U848" s="12" t="str">
        <f t="shared" si="55"/>
        <v>NFF</v>
      </c>
      <c r="V848" s="12" t="str">
        <f t="shared" si="52"/>
        <v>BENAYED Elie</v>
      </c>
      <c r="W848" s="13">
        <f t="shared" si="53"/>
        <v>44637</v>
      </c>
    </row>
    <row r="849" spans="1:23" ht="14.4" customHeight="1" x14ac:dyDescent="0.3">
      <c r="A849" s="28">
        <v>44636</v>
      </c>
      <c r="B849" s="12" t="s">
        <v>3366</v>
      </c>
      <c r="C849" s="12" t="s">
        <v>1542</v>
      </c>
      <c r="D849" s="5" t="s">
        <v>3367</v>
      </c>
      <c r="E849" s="12">
        <v>412</v>
      </c>
      <c r="F849" s="11" t="s">
        <v>3368</v>
      </c>
      <c r="G849" s="12" t="s">
        <v>7</v>
      </c>
      <c r="H849" s="12" t="s">
        <v>18</v>
      </c>
      <c r="I849" s="11"/>
      <c r="J849" s="12" t="s">
        <v>1574</v>
      </c>
      <c r="K849" s="12" t="str">
        <f t="shared" si="54"/>
        <v>Closed</v>
      </c>
      <c r="L849" s="13">
        <v>44637</v>
      </c>
      <c r="M849" s="12"/>
      <c r="N849" s="12" t="s">
        <v>4427</v>
      </c>
      <c r="O849" s="12"/>
      <c r="P849" s="12" t="s">
        <v>3790</v>
      </c>
      <c r="Q849" s="12"/>
      <c r="R849" s="12"/>
      <c r="S849" s="12"/>
      <c r="T849" s="13" t="s">
        <v>1547</v>
      </c>
      <c r="U849" s="12" t="str">
        <f t="shared" si="55"/>
        <v>NFF</v>
      </c>
      <c r="V849" s="12" t="str">
        <f t="shared" si="52"/>
        <v>BENAYED Elie</v>
      </c>
      <c r="W849" s="13">
        <f t="shared" si="53"/>
        <v>44637</v>
      </c>
    </row>
    <row r="850" spans="1:23" ht="14.4" customHeight="1" x14ac:dyDescent="0.3">
      <c r="A850" s="28">
        <v>44637</v>
      </c>
      <c r="B850" s="12" t="s">
        <v>3373</v>
      </c>
      <c r="C850" s="12" t="s">
        <v>1542</v>
      </c>
      <c r="D850" s="5" t="s">
        <v>3374</v>
      </c>
      <c r="E850" s="12">
        <v>402</v>
      </c>
      <c r="F850" s="11" t="s">
        <v>3375</v>
      </c>
      <c r="G850" s="12" t="s">
        <v>7</v>
      </c>
      <c r="H850" s="12" t="s">
        <v>14</v>
      </c>
      <c r="I850" s="11"/>
      <c r="J850" s="12" t="s">
        <v>1574</v>
      </c>
      <c r="K850" s="12" t="str">
        <f t="shared" si="54"/>
        <v>Closed</v>
      </c>
      <c r="L850" s="13">
        <v>44649</v>
      </c>
      <c r="M850" s="12"/>
      <c r="N850" s="12"/>
      <c r="O850" s="12"/>
      <c r="P850" s="12" t="s">
        <v>3790</v>
      </c>
      <c r="Q850" s="12"/>
      <c r="R850" s="12"/>
      <c r="S850" s="12"/>
      <c r="T850" s="13" t="s">
        <v>1547</v>
      </c>
      <c r="U850" s="12" t="str">
        <f t="shared" si="55"/>
        <v>NFF</v>
      </c>
      <c r="V850" s="12" t="str">
        <f t="shared" si="52"/>
        <v>GUAN Jialin</v>
      </c>
      <c r="W850" s="13">
        <f t="shared" si="53"/>
        <v>44649</v>
      </c>
    </row>
    <row r="851" spans="1:23" ht="14.4" customHeight="1" x14ac:dyDescent="0.3">
      <c r="A851" s="28">
        <v>44637</v>
      </c>
      <c r="B851" s="12" t="s">
        <v>3376</v>
      </c>
      <c r="C851" s="12" t="s">
        <v>1542</v>
      </c>
      <c r="D851" s="5" t="s">
        <v>3377</v>
      </c>
      <c r="E851" s="12">
        <v>614</v>
      </c>
      <c r="F851" s="11" t="s">
        <v>3378</v>
      </c>
      <c r="G851" s="12" t="s">
        <v>7</v>
      </c>
      <c r="H851" s="12" t="s">
        <v>14</v>
      </c>
      <c r="I851" s="11"/>
      <c r="J851" s="12" t="s">
        <v>1574</v>
      </c>
      <c r="K851" s="12" t="str">
        <f t="shared" si="54"/>
        <v>Closed</v>
      </c>
      <c r="L851" s="13">
        <v>44648</v>
      </c>
      <c r="M851" s="12"/>
      <c r="N851" s="12"/>
      <c r="O851" s="12"/>
      <c r="P851" s="12" t="s">
        <v>3790</v>
      </c>
      <c r="Q851" s="12"/>
      <c r="R851" s="12"/>
      <c r="S851" s="12"/>
      <c r="T851" s="13" t="s">
        <v>1547</v>
      </c>
      <c r="U851" s="12" t="str">
        <f t="shared" si="55"/>
        <v>NFF</v>
      </c>
      <c r="V851" s="12" t="str">
        <f t="shared" si="52"/>
        <v>GUAN Jialin</v>
      </c>
      <c r="W851" s="13">
        <f t="shared" si="53"/>
        <v>44648</v>
      </c>
    </row>
    <row r="852" spans="1:23" ht="14.4" customHeight="1" x14ac:dyDescent="0.3">
      <c r="A852" s="28">
        <v>44637</v>
      </c>
      <c r="B852" s="12" t="s">
        <v>3379</v>
      </c>
      <c r="C852" s="12" t="s">
        <v>1690</v>
      </c>
      <c r="D852" s="5" t="s">
        <v>1675</v>
      </c>
      <c r="E852" s="12">
        <v>401</v>
      </c>
      <c r="F852" s="11" t="s">
        <v>3380</v>
      </c>
      <c r="G852" s="12" t="s">
        <v>7</v>
      </c>
      <c r="H852" s="12" t="s">
        <v>11</v>
      </c>
      <c r="I852" s="11" t="s">
        <v>3568</v>
      </c>
      <c r="J852" s="12" t="s">
        <v>1609</v>
      </c>
      <c r="K852" s="12" t="str">
        <f t="shared" si="54"/>
        <v>Open</v>
      </c>
      <c r="L852" s="13"/>
      <c r="M852" s="12"/>
      <c r="N852" s="12"/>
      <c r="O852" s="12"/>
      <c r="P852" s="12" t="s">
        <v>3790</v>
      </c>
      <c r="Q852" s="12"/>
      <c r="R852" s="12" t="s">
        <v>5</v>
      </c>
      <c r="S852" s="12" t="s">
        <v>3</v>
      </c>
      <c r="T852" s="13" t="s">
        <v>1547</v>
      </c>
      <c r="U852" s="12" t="str">
        <f t="shared" si="55"/>
        <v>No Material</v>
      </c>
      <c r="V852" s="12" t="str">
        <f t="shared" si="52"/>
        <v>SUKIMAN Zamhuri</v>
      </c>
      <c r="W852" s="13" t="str">
        <f t="shared" si="53"/>
        <v/>
      </c>
    </row>
    <row r="853" spans="1:23" ht="14.4" customHeight="1" x14ac:dyDescent="0.3">
      <c r="A853" s="28">
        <v>44637</v>
      </c>
      <c r="B853" s="12" t="s">
        <v>3381</v>
      </c>
      <c r="C853" s="12" t="s">
        <v>1690</v>
      </c>
      <c r="D853" s="5" t="s">
        <v>1675</v>
      </c>
      <c r="E853" s="12">
        <v>404</v>
      </c>
      <c r="F853" s="11" t="s">
        <v>3382</v>
      </c>
      <c r="G853" s="12" t="s">
        <v>1</v>
      </c>
      <c r="H853" s="12" t="s">
        <v>11</v>
      </c>
      <c r="I853" s="11"/>
      <c r="J853" s="12" t="s">
        <v>1545</v>
      </c>
      <c r="K853" s="12" t="str">
        <f t="shared" si="54"/>
        <v>Closed</v>
      </c>
      <c r="L853" s="13">
        <v>44640</v>
      </c>
      <c r="M853" s="12"/>
      <c r="N853" s="12" t="s">
        <v>2528</v>
      </c>
      <c r="O853" s="12" t="s">
        <v>3383</v>
      </c>
      <c r="P853" s="12" t="s">
        <v>3790</v>
      </c>
      <c r="Q853" s="12"/>
      <c r="R853" s="12" t="s">
        <v>5</v>
      </c>
      <c r="S853" s="12" t="s">
        <v>3</v>
      </c>
      <c r="T853" s="13" t="s">
        <v>1547</v>
      </c>
      <c r="U853" s="12" t="str">
        <f t="shared" si="55"/>
        <v>Corrected</v>
      </c>
      <c r="V853" s="12" t="str">
        <f t="shared" si="52"/>
        <v>FIRDUS Ahmad</v>
      </c>
      <c r="W853" s="13">
        <f t="shared" si="53"/>
        <v>44640</v>
      </c>
    </row>
    <row r="854" spans="1:23" x14ac:dyDescent="0.3">
      <c r="A854" s="28">
        <v>44637</v>
      </c>
      <c r="B854" s="12" t="s">
        <v>3384</v>
      </c>
      <c r="C854" s="12" t="s">
        <v>1690</v>
      </c>
      <c r="D854" s="5" t="s">
        <v>1675</v>
      </c>
      <c r="E854" s="12">
        <v>412</v>
      </c>
      <c r="F854" s="11" t="s">
        <v>1360</v>
      </c>
      <c r="G854" s="12" t="s">
        <v>7</v>
      </c>
      <c r="H854" s="12" t="s">
        <v>14</v>
      </c>
      <c r="I854" s="11"/>
      <c r="J854" s="12" t="s">
        <v>1574</v>
      </c>
      <c r="K854" s="12" t="str">
        <f t="shared" si="54"/>
        <v>Closed</v>
      </c>
      <c r="L854" s="13">
        <v>44649</v>
      </c>
      <c r="M854" s="12"/>
      <c r="N854" s="12" t="s">
        <v>4427</v>
      </c>
      <c r="O854" s="12" t="s">
        <v>2445</v>
      </c>
      <c r="P854" s="12" t="s">
        <v>3790</v>
      </c>
      <c r="Q854" s="12"/>
      <c r="R854" s="12"/>
      <c r="S854" s="12"/>
      <c r="T854" s="13" t="s">
        <v>1547</v>
      </c>
      <c r="U854" s="12" t="str">
        <f t="shared" si="55"/>
        <v>NFF</v>
      </c>
      <c r="V854" s="12" t="str">
        <f t="shared" si="52"/>
        <v>GUAN Jialin</v>
      </c>
      <c r="W854" s="13">
        <f t="shared" si="53"/>
        <v>44649</v>
      </c>
    </row>
    <row r="855" spans="1:23" ht="14.4" customHeight="1" x14ac:dyDescent="0.3">
      <c r="A855" s="28">
        <v>44637</v>
      </c>
      <c r="B855" s="12" t="s">
        <v>3385</v>
      </c>
      <c r="C855" s="12" t="s">
        <v>1690</v>
      </c>
      <c r="D855" s="5" t="s">
        <v>1675</v>
      </c>
      <c r="E855" s="12">
        <v>612</v>
      </c>
      <c r="F855" s="11" t="s">
        <v>3386</v>
      </c>
      <c r="G855" s="12" t="s">
        <v>7</v>
      </c>
      <c r="H855" s="12" t="s">
        <v>14</v>
      </c>
      <c r="I855" s="11" t="s">
        <v>3578</v>
      </c>
      <c r="J855" s="12" t="s">
        <v>1574</v>
      </c>
      <c r="K855" s="12" t="str">
        <f t="shared" si="54"/>
        <v>Closed</v>
      </c>
      <c r="L855" s="13">
        <v>44649</v>
      </c>
      <c r="M855" s="12"/>
      <c r="N855" s="12" t="s">
        <v>4427</v>
      </c>
      <c r="O855" s="12" t="s">
        <v>3372</v>
      </c>
      <c r="P855" s="12" t="s">
        <v>3790</v>
      </c>
      <c r="Q855" s="12"/>
      <c r="R855" s="12" t="s">
        <v>5</v>
      </c>
      <c r="S855" s="12" t="s">
        <v>3</v>
      </c>
      <c r="T855" s="13" t="s">
        <v>1547</v>
      </c>
      <c r="U855" s="12" t="str">
        <f t="shared" si="55"/>
        <v>NFF</v>
      </c>
      <c r="V855" s="12" t="str">
        <f t="shared" si="52"/>
        <v>GUAN Jialin</v>
      </c>
      <c r="W855" s="13">
        <f t="shared" si="53"/>
        <v>44649</v>
      </c>
    </row>
    <row r="856" spans="1:23" ht="14.4" customHeight="1" x14ac:dyDescent="0.3">
      <c r="A856" s="28">
        <v>44637</v>
      </c>
      <c r="B856" s="12" t="s">
        <v>3387</v>
      </c>
      <c r="C856" s="12" t="s">
        <v>1690</v>
      </c>
      <c r="D856" s="5" t="s">
        <v>1675</v>
      </c>
      <c r="E856" s="12">
        <v>611</v>
      </c>
      <c r="F856" s="11" t="s">
        <v>3386</v>
      </c>
      <c r="G856" s="12" t="s">
        <v>7</v>
      </c>
      <c r="H856" s="12" t="s">
        <v>14</v>
      </c>
      <c r="I856" s="11" t="s">
        <v>3586</v>
      </c>
      <c r="J856" s="12" t="s">
        <v>1609</v>
      </c>
      <c r="K856" s="12" t="str">
        <f t="shared" si="54"/>
        <v>Open</v>
      </c>
      <c r="L856" s="13"/>
      <c r="M856" s="12"/>
      <c r="N856" s="12" t="s">
        <v>4427</v>
      </c>
      <c r="O856" s="12" t="s">
        <v>3372</v>
      </c>
      <c r="P856" s="12" t="s">
        <v>3790</v>
      </c>
      <c r="Q856" s="12"/>
      <c r="R856" s="12" t="s">
        <v>1545</v>
      </c>
      <c r="S856" s="12" t="s">
        <v>6</v>
      </c>
      <c r="T856" s="13">
        <v>44654</v>
      </c>
      <c r="U856" s="12" t="str">
        <f t="shared" si="55"/>
        <v>Corrected</v>
      </c>
      <c r="V856" s="12" t="str">
        <f t="shared" si="52"/>
        <v>MUHAMMAD ALIF BIN ALI</v>
      </c>
      <c r="W856" s="13">
        <f t="shared" si="53"/>
        <v>44654</v>
      </c>
    </row>
    <row r="857" spans="1:23" x14ac:dyDescent="0.3">
      <c r="A857" s="28">
        <v>44640</v>
      </c>
      <c r="B857" s="12" t="s">
        <v>3388</v>
      </c>
      <c r="C857" s="12" t="s">
        <v>1690</v>
      </c>
      <c r="D857" s="5" t="s">
        <v>1675</v>
      </c>
      <c r="E857" s="12">
        <v>423</v>
      </c>
      <c r="F857" s="11" t="s">
        <v>3389</v>
      </c>
      <c r="G857" s="12" t="s">
        <v>1</v>
      </c>
      <c r="H857" s="12" t="s">
        <v>11</v>
      </c>
      <c r="I857" s="11"/>
      <c r="J857" s="12" t="s">
        <v>1545</v>
      </c>
      <c r="K857" s="12" t="str">
        <f t="shared" si="54"/>
        <v>Closed</v>
      </c>
      <c r="L857" s="13">
        <v>44640</v>
      </c>
      <c r="M857" s="12"/>
      <c r="N857" s="12" t="s">
        <v>4430</v>
      </c>
      <c r="O857" s="12" t="s">
        <v>3390</v>
      </c>
      <c r="P857" s="12" t="s">
        <v>2788</v>
      </c>
      <c r="Q857" s="12"/>
      <c r="R857" s="12" t="s">
        <v>1545</v>
      </c>
      <c r="S857" s="12" t="s">
        <v>6</v>
      </c>
      <c r="T857" s="13">
        <v>44654</v>
      </c>
      <c r="U857" s="12" t="str">
        <f t="shared" si="55"/>
        <v>Corrected</v>
      </c>
      <c r="V857" s="12" t="str">
        <f t="shared" si="52"/>
        <v>FIRDUS Ahmad</v>
      </c>
      <c r="W857" s="13">
        <f t="shared" si="53"/>
        <v>44640</v>
      </c>
    </row>
    <row r="858" spans="1:23" ht="14.4" customHeight="1" x14ac:dyDescent="0.3">
      <c r="A858" s="28">
        <v>44640</v>
      </c>
      <c r="B858" s="12" t="s">
        <v>3391</v>
      </c>
      <c r="C858" s="12" t="s">
        <v>1690</v>
      </c>
      <c r="D858" s="5" t="s">
        <v>1675</v>
      </c>
      <c r="E858" s="12">
        <v>415</v>
      </c>
      <c r="F858" s="11" t="s">
        <v>2744</v>
      </c>
      <c r="G858" s="12" t="s">
        <v>7</v>
      </c>
      <c r="H858" s="12" t="s">
        <v>14</v>
      </c>
      <c r="I858" s="11" t="s">
        <v>3603</v>
      </c>
      <c r="J858" s="12" t="s">
        <v>1545</v>
      </c>
      <c r="K858" s="12" t="str">
        <f t="shared" si="54"/>
        <v>Closed</v>
      </c>
      <c r="L858" s="13">
        <v>44649</v>
      </c>
      <c r="M858" s="12"/>
      <c r="N858" s="12" t="s">
        <v>4427</v>
      </c>
      <c r="O858" s="12" t="s">
        <v>2445</v>
      </c>
      <c r="P858" s="12" t="s">
        <v>3790</v>
      </c>
      <c r="Q858" s="12"/>
      <c r="R858" s="12"/>
      <c r="S858" s="12"/>
      <c r="T858" s="13" t="s">
        <v>1547</v>
      </c>
      <c r="U858" s="12" t="str">
        <f t="shared" si="55"/>
        <v>Corrected</v>
      </c>
      <c r="V858" s="12" t="str">
        <f t="shared" si="52"/>
        <v>GUAN Jialin</v>
      </c>
      <c r="W858" s="13">
        <f t="shared" si="53"/>
        <v>44649</v>
      </c>
    </row>
    <row r="859" spans="1:23" x14ac:dyDescent="0.3">
      <c r="A859" s="28">
        <v>44640</v>
      </c>
      <c r="B859" s="12" t="s">
        <v>3392</v>
      </c>
      <c r="C859" s="12" t="s">
        <v>1687</v>
      </c>
      <c r="D859" s="5" t="s">
        <v>1675</v>
      </c>
      <c r="E859" s="12">
        <v>606</v>
      </c>
      <c r="F859" s="11" t="s">
        <v>3393</v>
      </c>
      <c r="G859" s="12" t="s">
        <v>7</v>
      </c>
      <c r="H859" s="12" t="s">
        <v>14</v>
      </c>
      <c r="I859" s="11" t="s">
        <v>3467</v>
      </c>
      <c r="J859" s="12" t="s">
        <v>1545</v>
      </c>
      <c r="K859" s="12" t="str">
        <f t="shared" si="54"/>
        <v>Closed</v>
      </c>
      <c r="L859" s="13">
        <v>44640</v>
      </c>
      <c r="M859" s="12"/>
      <c r="N859" s="12" t="s">
        <v>4427</v>
      </c>
      <c r="O859" s="12" t="s">
        <v>3371</v>
      </c>
      <c r="P859" s="12" t="s">
        <v>3790</v>
      </c>
      <c r="Q859" s="12"/>
      <c r="R859" s="12" t="s">
        <v>1545</v>
      </c>
      <c r="S859" s="12" t="s">
        <v>6</v>
      </c>
      <c r="T859" s="13">
        <v>44654</v>
      </c>
      <c r="U859" s="12" t="str">
        <f t="shared" si="55"/>
        <v>Corrected</v>
      </c>
      <c r="V859" s="12" t="str">
        <f t="shared" si="52"/>
        <v>GUAN Jialin</v>
      </c>
      <c r="W859" s="13">
        <f t="shared" si="53"/>
        <v>44640</v>
      </c>
    </row>
    <row r="860" spans="1:23" ht="14.4" customHeight="1" x14ac:dyDescent="0.3">
      <c r="A860" s="28">
        <v>44640</v>
      </c>
      <c r="B860" s="12" t="s">
        <v>3394</v>
      </c>
      <c r="C860" s="12" t="s">
        <v>1690</v>
      </c>
      <c r="D860" s="5" t="s">
        <v>1675</v>
      </c>
      <c r="E860" s="12">
        <v>409</v>
      </c>
      <c r="F860" s="11" t="s">
        <v>3395</v>
      </c>
      <c r="G860" s="12" t="s">
        <v>1</v>
      </c>
      <c r="H860" s="12" t="s">
        <v>14</v>
      </c>
      <c r="I860" s="11" t="s">
        <v>3493</v>
      </c>
      <c r="J860" s="12" t="s">
        <v>1545</v>
      </c>
      <c r="K860" s="12" t="str">
        <f t="shared" si="54"/>
        <v>Closed</v>
      </c>
      <c r="L860" s="13">
        <v>44640</v>
      </c>
      <c r="M860" s="12"/>
      <c r="N860" s="12" t="s">
        <v>4430</v>
      </c>
      <c r="O860" s="12" t="s">
        <v>3390</v>
      </c>
      <c r="P860" s="12" t="s">
        <v>2788</v>
      </c>
      <c r="Q860" s="12"/>
      <c r="R860" s="12"/>
      <c r="S860" s="12"/>
      <c r="T860" s="13" t="s">
        <v>1547</v>
      </c>
      <c r="U860" s="12" t="str">
        <f t="shared" si="55"/>
        <v>Corrected</v>
      </c>
      <c r="V860" s="12" t="str">
        <f t="shared" si="52"/>
        <v>GUAN Jialin</v>
      </c>
      <c r="W860" s="13">
        <f t="shared" si="53"/>
        <v>44640</v>
      </c>
    </row>
    <row r="861" spans="1:23" ht="14.4" customHeight="1" x14ac:dyDescent="0.3">
      <c r="A861" s="28">
        <v>44640</v>
      </c>
      <c r="B861" s="12" t="s">
        <v>3396</v>
      </c>
      <c r="C861" s="12" t="s">
        <v>1687</v>
      </c>
      <c r="D861" s="5" t="s">
        <v>1675</v>
      </c>
      <c r="E861" s="12">
        <v>606</v>
      </c>
      <c r="F861" s="11" t="s">
        <v>3397</v>
      </c>
      <c r="G861" s="12" t="s">
        <v>7</v>
      </c>
      <c r="H861" s="12" t="s">
        <v>14</v>
      </c>
      <c r="I861" s="11" t="s">
        <v>2841</v>
      </c>
      <c r="J861" s="12" t="s">
        <v>1545</v>
      </c>
      <c r="K861" s="12" t="str">
        <f t="shared" si="54"/>
        <v>Closed</v>
      </c>
      <c r="L861" s="13">
        <v>44640</v>
      </c>
      <c r="M861" s="12"/>
      <c r="N861" s="12" t="s">
        <v>4427</v>
      </c>
      <c r="O861" s="12" t="s">
        <v>3371</v>
      </c>
      <c r="P861" s="12" t="s">
        <v>3790</v>
      </c>
      <c r="Q861" s="12"/>
      <c r="R861" s="12"/>
      <c r="S861" s="12"/>
      <c r="T861" s="13" t="s">
        <v>1547</v>
      </c>
      <c r="U861" s="12" t="str">
        <f t="shared" si="55"/>
        <v>Corrected</v>
      </c>
      <c r="V861" s="12" t="str">
        <f t="shared" si="52"/>
        <v>GUAN Jialin</v>
      </c>
      <c r="W861" s="13">
        <f t="shared" si="53"/>
        <v>44640</v>
      </c>
    </row>
    <row r="862" spans="1:23" ht="14.4" customHeight="1" x14ac:dyDescent="0.3">
      <c r="A862" s="28">
        <v>44640</v>
      </c>
      <c r="B862" s="12" t="s">
        <v>3440</v>
      </c>
      <c r="C862" s="12" t="s">
        <v>1690</v>
      </c>
      <c r="D862" s="5"/>
      <c r="E862" s="12">
        <v>607</v>
      </c>
      <c r="F862" s="11" t="s">
        <v>2744</v>
      </c>
      <c r="G862" s="12" t="s">
        <v>7</v>
      </c>
      <c r="H862" s="12" t="s">
        <v>14</v>
      </c>
      <c r="I862" s="11" t="s">
        <v>3710</v>
      </c>
      <c r="J862" s="12" t="s">
        <v>1545</v>
      </c>
      <c r="K862" s="12" t="str">
        <f t="shared" si="54"/>
        <v>Closed</v>
      </c>
      <c r="L862" s="13">
        <v>44657</v>
      </c>
      <c r="M862" s="12"/>
      <c r="N862" s="12" t="s">
        <v>4427</v>
      </c>
      <c r="O862" s="12" t="s">
        <v>2445</v>
      </c>
      <c r="P862" s="12" t="s">
        <v>3790</v>
      </c>
      <c r="Q862" s="12"/>
      <c r="R862" s="12"/>
      <c r="S862" s="12"/>
      <c r="T862" s="13" t="s">
        <v>1547</v>
      </c>
      <c r="U862" s="12" t="str">
        <f t="shared" si="55"/>
        <v>Corrected</v>
      </c>
      <c r="V862" s="12" t="str">
        <f t="shared" si="52"/>
        <v>GUAN Jialin</v>
      </c>
      <c r="W862" s="13">
        <f t="shared" si="53"/>
        <v>44657</v>
      </c>
    </row>
    <row r="863" spans="1:23" x14ac:dyDescent="0.3">
      <c r="A863" s="28">
        <v>44640</v>
      </c>
      <c r="B863" s="12" t="s">
        <v>3441</v>
      </c>
      <c r="C863" s="12" t="s">
        <v>1690</v>
      </c>
      <c r="D863" s="5"/>
      <c r="E863" s="12">
        <v>615</v>
      </c>
      <c r="F863" s="11" t="s">
        <v>3442</v>
      </c>
      <c r="G863" s="12" t="s">
        <v>7</v>
      </c>
      <c r="H863" s="12" t="s">
        <v>19</v>
      </c>
      <c r="I863" s="11" t="s">
        <v>3748</v>
      </c>
      <c r="J863" s="12" t="s">
        <v>1574</v>
      </c>
      <c r="K863" s="12" t="str">
        <f t="shared" si="54"/>
        <v>Closed</v>
      </c>
      <c r="L863" s="13">
        <v>44658</v>
      </c>
      <c r="M863" s="12"/>
      <c r="N863" s="12"/>
      <c r="O863" s="12"/>
      <c r="P863" s="12" t="s">
        <v>3790</v>
      </c>
      <c r="Q863" s="12"/>
      <c r="R863" s="12"/>
      <c r="S863" s="12"/>
      <c r="T863" s="13" t="s">
        <v>1547</v>
      </c>
      <c r="U863" s="12" t="str">
        <f t="shared" si="55"/>
        <v>NFF</v>
      </c>
      <c r="V863" s="12" t="str">
        <f t="shared" si="52"/>
        <v>DAOUDI Mohamed</v>
      </c>
      <c r="W863" s="13">
        <f t="shared" si="53"/>
        <v>44658</v>
      </c>
    </row>
    <row r="864" spans="1:23" ht="14.4" customHeight="1" x14ac:dyDescent="0.3">
      <c r="A864" s="28">
        <v>44641</v>
      </c>
      <c r="B864" s="12" t="s">
        <v>3443</v>
      </c>
      <c r="C864" s="12" t="s">
        <v>1823</v>
      </c>
      <c r="D864" s="5" t="s">
        <v>1675</v>
      </c>
      <c r="E864" s="12">
        <v>423</v>
      </c>
      <c r="F864" s="11" t="s">
        <v>3444</v>
      </c>
      <c r="G864" s="12" t="s">
        <v>7</v>
      </c>
      <c r="H864" s="12" t="s">
        <v>19</v>
      </c>
      <c r="I864" s="11" t="s">
        <v>3494</v>
      </c>
      <c r="J864" s="12" t="s">
        <v>1609</v>
      </c>
      <c r="K864" s="12" t="str">
        <f t="shared" si="54"/>
        <v>Open</v>
      </c>
      <c r="L864" s="13"/>
      <c r="M864" s="12"/>
      <c r="N864" s="12" t="s">
        <v>2683</v>
      </c>
      <c r="O864" s="12" t="s">
        <v>3468</v>
      </c>
      <c r="P864" s="12" t="s">
        <v>3790</v>
      </c>
      <c r="Q864" s="12"/>
      <c r="R864" s="12" t="s">
        <v>1545</v>
      </c>
      <c r="S864" s="12" t="s">
        <v>6</v>
      </c>
      <c r="T864" s="13">
        <v>44656</v>
      </c>
      <c r="U864" s="12" t="str">
        <f t="shared" si="55"/>
        <v>Corrected</v>
      </c>
      <c r="V864" s="12" t="str">
        <f t="shared" si="52"/>
        <v>MUHAMMAD ALIF BIN ALI</v>
      </c>
      <c r="W864" s="13">
        <f t="shared" si="53"/>
        <v>44656</v>
      </c>
    </row>
    <row r="865" spans="1:23" ht="14.4" customHeight="1" x14ac:dyDescent="0.3">
      <c r="A865" s="28">
        <v>44641</v>
      </c>
      <c r="B865" s="12" t="s">
        <v>3445</v>
      </c>
      <c r="C865" s="12" t="s">
        <v>1823</v>
      </c>
      <c r="D865" s="5" t="s">
        <v>1675</v>
      </c>
      <c r="E865" s="12">
        <v>423</v>
      </c>
      <c r="F865" s="11" t="s">
        <v>3446</v>
      </c>
      <c r="G865" s="12" t="s">
        <v>7</v>
      </c>
      <c r="H865" s="12" t="s">
        <v>11</v>
      </c>
      <c r="I865" s="11" t="s">
        <v>3447</v>
      </c>
      <c r="J865" s="12" t="s">
        <v>1609</v>
      </c>
      <c r="K865" s="12" t="str">
        <f t="shared" si="54"/>
        <v>Open</v>
      </c>
      <c r="L865" s="13"/>
      <c r="M865" s="12"/>
      <c r="N865" s="12" t="s">
        <v>2482</v>
      </c>
      <c r="O865" s="12" t="s">
        <v>3678</v>
      </c>
      <c r="P865" s="12" t="s">
        <v>3790</v>
      </c>
      <c r="Q865" s="12"/>
      <c r="R865" s="12" t="s">
        <v>1545</v>
      </c>
      <c r="S865" s="12" t="s">
        <v>6</v>
      </c>
      <c r="T865" s="13">
        <v>44625</v>
      </c>
      <c r="U865" s="12" t="str">
        <f t="shared" si="55"/>
        <v>Corrected</v>
      </c>
      <c r="V865" s="12" t="str">
        <f t="shared" si="52"/>
        <v>MUHAMMAD ALIF BIN ALI</v>
      </c>
      <c r="W865" s="13">
        <f t="shared" si="53"/>
        <v>44625</v>
      </c>
    </row>
    <row r="866" spans="1:23" ht="14.4" customHeight="1" x14ac:dyDescent="0.3">
      <c r="A866" s="28">
        <v>44641</v>
      </c>
      <c r="B866" s="12" t="s">
        <v>3448</v>
      </c>
      <c r="C866" s="12" t="s">
        <v>1542</v>
      </c>
      <c r="D866" s="5" t="s">
        <v>3469</v>
      </c>
      <c r="E866" s="12">
        <v>424</v>
      </c>
      <c r="F866" s="11" t="s">
        <v>3470</v>
      </c>
      <c r="G866" s="12" t="s">
        <v>7</v>
      </c>
      <c r="H866" s="12" t="s">
        <v>14</v>
      </c>
      <c r="I866" s="11" t="s">
        <v>3471</v>
      </c>
      <c r="J866" s="12" t="s">
        <v>1574</v>
      </c>
      <c r="K866" s="12" t="str">
        <f t="shared" si="54"/>
        <v>Closed</v>
      </c>
      <c r="L866" s="13">
        <v>44643</v>
      </c>
      <c r="M866" s="12"/>
      <c r="N866" s="12"/>
      <c r="O866" s="12" t="s">
        <v>1675</v>
      </c>
      <c r="P866" s="12" t="s">
        <v>3790</v>
      </c>
      <c r="Q866" s="12"/>
      <c r="R866" s="12" t="s">
        <v>1545</v>
      </c>
      <c r="S866" s="12" t="s">
        <v>6</v>
      </c>
      <c r="T866" s="13">
        <v>44644</v>
      </c>
      <c r="U866" s="12" t="str">
        <f t="shared" si="55"/>
        <v>NFF</v>
      </c>
      <c r="V866" s="12" t="str">
        <f>IF(AND(J866="Corrective Action Required",R866="Corrected"),S866, IF(AND(J866="Corrective Action Required",R866&lt;&gt;"Corrected"),S866,H866))</f>
        <v>GUAN Jialin</v>
      </c>
      <c r="W866" s="13">
        <f t="shared" si="53"/>
        <v>44643</v>
      </c>
    </row>
    <row r="867" spans="1:23" ht="14.4" customHeight="1" x14ac:dyDescent="0.3">
      <c r="A867" s="28">
        <v>44641</v>
      </c>
      <c r="B867" s="12" t="s">
        <v>3449</v>
      </c>
      <c r="C867" s="12" t="s">
        <v>1542</v>
      </c>
      <c r="D867" s="5" t="s">
        <v>3472</v>
      </c>
      <c r="E867" s="12">
        <v>601</v>
      </c>
      <c r="F867" s="11" t="s">
        <v>3473</v>
      </c>
      <c r="G867" s="12" t="s">
        <v>7</v>
      </c>
      <c r="H867" s="12" t="s">
        <v>14</v>
      </c>
      <c r="I867" s="11" t="s">
        <v>3495</v>
      </c>
      <c r="J867" s="12" t="s">
        <v>1545</v>
      </c>
      <c r="K867" s="12" t="str">
        <f t="shared" si="54"/>
        <v>Closed</v>
      </c>
      <c r="L867" s="13">
        <v>44644</v>
      </c>
      <c r="M867" s="12"/>
      <c r="N867" s="12" t="s">
        <v>4427</v>
      </c>
      <c r="O867" s="12" t="s">
        <v>2445</v>
      </c>
      <c r="P867" s="12" t="s">
        <v>3790</v>
      </c>
      <c r="Q867" s="12"/>
      <c r="R867" s="12" t="s">
        <v>3566</v>
      </c>
      <c r="S867" s="12" t="s">
        <v>3</v>
      </c>
      <c r="T867" s="13" t="s">
        <v>1547</v>
      </c>
      <c r="U867" s="12" t="str">
        <f t="shared" si="55"/>
        <v>Corrected</v>
      </c>
      <c r="V867" s="12" t="str">
        <f t="shared" si="52"/>
        <v>GUAN Jialin</v>
      </c>
      <c r="W867" s="13">
        <f t="shared" si="53"/>
        <v>44644</v>
      </c>
    </row>
    <row r="868" spans="1:23" ht="28.8" customHeight="1" x14ac:dyDescent="0.3">
      <c r="A868" s="28">
        <v>44641</v>
      </c>
      <c r="B868" s="12" t="s">
        <v>3450</v>
      </c>
      <c r="C868" s="12" t="s">
        <v>1542</v>
      </c>
      <c r="D868" s="5" t="s">
        <v>3474</v>
      </c>
      <c r="E868" s="12">
        <v>615</v>
      </c>
      <c r="F868" s="11" t="s">
        <v>3496</v>
      </c>
      <c r="G868" s="12" t="s">
        <v>7</v>
      </c>
      <c r="H868" s="12" t="s">
        <v>14</v>
      </c>
      <c r="I868" s="11" t="s">
        <v>3497</v>
      </c>
      <c r="J868" s="12" t="s">
        <v>1574</v>
      </c>
      <c r="K868" s="12" t="str">
        <f t="shared" si="54"/>
        <v>Closed</v>
      </c>
      <c r="L868" s="13">
        <v>44643</v>
      </c>
      <c r="M868" s="12"/>
      <c r="N868" s="12" t="s">
        <v>4427</v>
      </c>
      <c r="O868" s="12" t="s">
        <v>3371</v>
      </c>
      <c r="P868" s="12" t="s">
        <v>3790</v>
      </c>
      <c r="Q868" s="12"/>
      <c r="R868" s="12" t="s">
        <v>1545</v>
      </c>
      <c r="S868" s="12" t="s">
        <v>6</v>
      </c>
      <c r="T868" s="13">
        <v>44644</v>
      </c>
      <c r="U868" s="12" t="str">
        <f t="shared" si="55"/>
        <v>NFF</v>
      </c>
      <c r="V868" s="12" t="str">
        <f t="shared" si="52"/>
        <v>GUAN Jialin</v>
      </c>
      <c r="W868" s="13">
        <f t="shared" si="53"/>
        <v>44643</v>
      </c>
    </row>
    <row r="869" spans="1:23" ht="14.4" customHeight="1" x14ac:dyDescent="0.3">
      <c r="A869" s="28">
        <v>44642</v>
      </c>
      <c r="B869" s="12" t="s">
        <v>3453</v>
      </c>
      <c r="C869" s="12" t="s">
        <v>1690</v>
      </c>
      <c r="D869" s="5" t="s">
        <v>1675</v>
      </c>
      <c r="E869" s="12">
        <v>410</v>
      </c>
      <c r="F869" s="11" t="s">
        <v>3454</v>
      </c>
      <c r="G869" s="12" t="s">
        <v>1</v>
      </c>
      <c r="H869" s="12" t="s">
        <v>11</v>
      </c>
      <c r="I869" s="11" t="s">
        <v>3455</v>
      </c>
      <c r="J869" s="12" t="s">
        <v>1545</v>
      </c>
      <c r="K869" s="12" t="str">
        <f t="shared" si="54"/>
        <v>Closed</v>
      </c>
      <c r="L869" s="13">
        <v>44642</v>
      </c>
      <c r="M869" s="12"/>
      <c r="N869" s="12" t="s">
        <v>4429</v>
      </c>
      <c r="O869" s="12" t="s">
        <v>1675</v>
      </c>
      <c r="P869" s="12" t="s">
        <v>3790</v>
      </c>
      <c r="Q869" s="12"/>
      <c r="R869" s="12"/>
      <c r="S869" s="12"/>
      <c r="T869" s="13" t="s">
        <v>1547</v>
      </c>
      <c r="U869" s="12" t="str">
        <f t="shared" si="55"/>
        <v>Corrected</v>
      </c>
      <c r="V869" s="12" t="str">
        <f t="shared" si="52"/>
        <v>FIRDUS Ahmad</v>
      </c>
      <c r="W869" s="13">
        <f t="shared" si="53"/>
        <v>44642</v>
      </c>
    </row>
    <row r="870" spans="1:23" ht="14.4" customHeight="1" x14ac:dyDescent="0.3">
      <c r="A870" s="28">
        <v>44642</v>
      </c>
      <c r="B870" s="12" t="s">
        <v>3456</v>
      </c>
      <c r="C870" s="12" t="s">
        <v>1687</v>
      </c>
      <c r="D870" s="5" t="s">
        <v>1675</v>
      </c>
      <c r="E870" s="12">
        <v>410</v>
      </c>
      <c r="F870" s="11" t="s">
        <v>3444</v>
      </c>
      <c r="G870" s="12" t="s">
        <v>7</v>
      </c>
      <c r="H870" s="12" t="s">
        <v>11</v>
      </c>
      <c r="I870" s="14" t="s">
        <v>4330</v>
      </c>
      <c r="J870" s="12" t="s">
        <v>1545</v>
      </c>
      <c r="K870" s="12" t="str">
        <f t="shared" si="54"/>
        <v>Closed</v>
      </c>
      <c r="L870" s="13" t="s">
        <v>3905</v>
      </c>
      <c r="M870" s="12"/>
      <c r="N870" s="12" t="s">
        <v>2683</v>
      </c>
      <c r="O870" s="12" t="s">
        <v>3626</v>
      </c>
      <c r="P870" s="12" t="s">
        <v>3790</v>
      </c>
      <c r="Q870" s="12"/>
      <c r="R870" s="12"/>
      <c r="S870" s="12"/>
      <c r="T870" s="13" t="s">
        <v>1547</v>
      </c>
      <c r="U870" s="12" t="str">
        <f t="shared" si="55"/>
        <v>Corrected</v>
      </c>
      <c r="V870" s="12" t="str">
        <f t="shared" si="52"/>
        <v>FIRDUS Ahmad</v>
      </c>
      <c r="W870" s="13"/>
    </row>
    <row r="871" spans="1:23" ht="14.4" customHeight="1" x14ac:dyDescent="0.3">
      <c r="A871" s="28">
        <v>44642</v>
      </c>
      <c r="B871" s="12" t="s">
        <v>3457</v>
      </c>
      <c r="C871" s="12" t="s">
        <v>1542</v>
      </c>
      <c r="D871" s="5" t="s">
        <v>1675</v>
      </c>
      <c r="E871" s="12">
        <v>606</v>
      </c>
      <c r="F871" s="11" t="s">
        <v>3326</v>
      </c>
      <c r="G871" s="12" t="s">
        <v>7</v>
      </c>
      <c r="H871" s="12" t="s">
        <v>14</v>
      </c>
      <c r="I871" s="11" t="s">
        <v>3458</v>
      </c>
      <c r="J871" s="12" t="s">
        <v>1545</v>
      </c>
      <c r="K871" s="12" t="str">
        <f t="shared" si="54"/>
        <v>Closed</v>
      </c>
      <c r="L871" s="13">
        <v>44642</v>
      </c>
      <c r="M871" s="12"/>
      <c r="N871" s="12" t="s">
        <v>4427</v>
      </c>
      <c r="O871" s="12" t="s">
        <v>2445</v>
      </c>
      <c r="P871" s="12" t="s">
        <v>3790</v>
      </c>
      <c r="Q871" s="12"/>
      <c r="R871" s="12"/>
      <c r="S871" s="12"/>
      <c r="T871" s="13" t="s">
        <v>1547</v>
      </c>
      <c r="U871" s="12" t="str">
        <f t="shared" si="55"/>
        <v>Corrected</v>
      </c>
      <c r="V871" s="12" t="str">
        <f t="shared" si="52"/>
        <v>GUAN Jialin</v>
      </c>
      <c r="W871" s="13">
        <f t="shared" si="53"/>
        <v>44642</v>
      </c>
    </row>
    <row r="872" spans="1:23" ht="14.4" customHeight="1" x14ac:dyDescent="0.3">
      <c r="A872" s="28">
        <v>44642</v>
      </c>
      <c r="B872" s="12" t="s">
        <v>3459</v>
      </c>
      <c r="C872" s="12" t="s">
        <v>1542</v>
      </c>
      <c r="D872" s="5" t="s">
        <v>1675</v>
      </c>
      <c r="E872" s="12">
        <v>606</v>
      </c>
      <c r="F872" s="11" t="s">
        <v>3452</v>
      </c>
      <c r="G872" s="12" t="s">
        <v>7</v>
      </c>
      <c r="H872" s="12" t="s">
        <v>14</v>
      </c>
      <c r="I872" s="11" t="s">
        <v>3460</v>
      </c>
      <c r="J872" s="12" t="s">
        <v>1545</v>
      </c>
      <c r="K872" s="12" t="str">
        <f t="shared" si="54"/>
        <v>Closed</v>
      </c>
      <c r="L872" s="13">
        <v>44642</v>
      </c>
      <c r="M872" s="12"/>
      <c r="N872" s="12" t="s">
        <v>4427</v>
      </c>
      <c r="O872" s="12" t="s">
        <v>2445</v>
      </c>
      <c r="P872" s="12" t="s">
        <v>3790</v>
      </c>
      <c r="Q872" s="12"/>
      <c r="R872" s="12"/>
      <c r="S872" s="12"/>
      <c r="T872" s="13" t="s">
        <v>1547</v>
      </c>
      <c r="U872" s="12" t="str">
        <f t="shared" si="55"/>
        <v>Corrected</v>
      </c>
      <c r="V872" s="12" t="str">
        <f t="shared" si="52"/>
        <v>GUAN Jialin</v>
      </c>
      <c r="W872" s="13">
        <f t="shared" si="53"/>
        <v>44642</v>
      </c>
    </row>
    <row r="873" spans="1:23" ht="14.4" customHeight="1" x14ac:dyDescent="0.3">
      <c r="A873" s="28">
        <v>44642</v>
      </c>
      <c r="B873" s="12" t="s">
        <v>3461</v>
      </c>
      <c r="C873" s="12" t="s">
        <v>3475</v>
      </c>
      <c r="D873" s="5" t="s">
        <v>1675</v>
      </c>
      <c r="E873" s="12">
        <v>603</v>
      </c>
      <c r="F873" s="11" t="s">
        <v>3476</v>
      </c>
      <c r="G873" s="12" t="s">
        <v>7</v>
      </c>
      <c r="H873" s="12" t="s">
        <v>18</v>
      </c>
      <c r="I873" s="11" t="s">
        <v>3587</v>
      </c>
      <c r="J873" s="12" t="s">
        <v>1609</v>
      </c>
      <c r="K873" s="12" t="str">
        <f t="shared" si="54"/>
        <v>Open</v>
      </c>
      <c r="L873" s="13"/>
      <c r="M873" s="12"/>
      <c r="N873" s="12" t="s">
        <v>2448</v>
      </c>
      <c r="O873" s="12" t="s">
        <v>1675</v>
      </c>
      <c r="P873" s="12" t="s">
        <v>3790</v>
      </c>
      <c r="Q873" s="12"/>
      <c r="R873" s="12" t="s">
        <v>1545</v>
      </c>
      <c r="S873" s="12" t="s">
        <v>16</v>
      </c>
      <c r="T873" s="13">
        <v>44651</v>
      </c>
      <c r="U873" s="12" t="str">
        <f t="shared" si="55"/>
        <v>Corrected</v>
      </c>
      <c r="V873" s="12" t="str">
        <f t="shared" si="52"/>
        <v>BRAO-DIGOR Robert</v>
      </c>
      <c r="W873" s="13">
        <f t="shared" si="53"/>
        <v>44651</v>
      </c>
    </row>
    <row r="874" spans="1:23" ht="14.4" customHeight="1" x14ac:dyDescent="0.3">
      <c r="A874" s="28">
        <v>44642</v>
      </c>
      <c r="B874" s="12" t="s">
        <v>3462</v>
      </c>
      <c r="C874" s="12" t="s">
        <v>3475</v>
      </c>
      <c r="D874" s="5" t="s">
        <v>1675</v>
      </c>
      <c r="E874" s="12">
        <v>606</v>
      </c>
      <c r="F874" s="11" t="s">
        <v>3477</v>
      </c>
      <c r="G874" s="12" t="s">
        <v>7</v>
      </c>
      <c r="H874" s="12" t="s">
        <v>18</v>
      </c>
      <c r="I874" s="11"/>
      <c r="J874" s="12" t="s">
        <v>1582</v>
      </c>
      <c r="K874" s="12" t="str">
        <f t="shared" si="54"/>
        <v>Open</v>
      </c>
      <c r="L874" s="13"/>
      <c r="M874" s="12"/>
      <c r="N874" s="12" t="s">
        <v>2448</v>
      </c>
      <c r="O874" s="12" t="s">
        <v>1675</v>
      </c>
      <c r="P874" s="12" t="s">
        <v>3790</v>
      </c>
      <c r="Q874" s="12"/>
      <c r="R874" s="12" t="s">
        <v>1545</v>
      </c>
      <c r="S874" s="12" t="s">
        <v>16</v>
      </c>
      <c r="T874" s="13">
        <v>44651</v>
      </c>
      <c r="U874" s="12" t="str">
        <f t="shared" si="55"/>
        <v>Not Started</v>
      </c>
      <c r="V874" s="12" t="str">
        <f t="shared" si="52"/>
        <v>BENAYED Elie</v>
      </c>
      <c r="W874" s="13" t="str">
        <f t="shared" si="53"/>
        <v/>
      </c>
    </row>
    <row r="875" spans="1:23" ht="14.4" customHeight="1" x14ac:dyDescent="0.3">
      <c r="A875" s="28">
        <v>44642</v>
      </c>
      <c r="B875" s="12" t="s">
        <v>3463</v>
      </c>
      <c r="C875" s="12" t="s">
        <v>3475</v>
      </c>
      <c r="D875" s="5" t="s">
        <v>1675</v>
      </c>
      <c r="E875" s="12">
        <v>621</v>
      </c>
      <c r="F875" s="11" t="s">
        <v>3477</v>
      </c>
      <c r="G875" s="12" t="s">
        <v>7</v>
      </c>
      <c r="H875" s="12" t="s">
        <v>18</v>
      </c>
      <c r="I875" s="11"/>
      <c r="J875" s="12" t="s">
        <v>1582</v>
      </c>
      <c r="K875" s="12" t="str">
        <f t="shared" si="54"/>
        <v>Open</v>
      </c>
      <c r="L875" s="13"/>
      <c r="M875" s="12"/>
      <c r="N875" s="12" t="s">
        <v>2448</v>
      </c>
      <c r="O875" s="12" t="s">
        <v>1675</v>
      </c>
      <c r="P875" s="12" t="s">
        <v>3790</v>
      </c>
      <c r="Q875" s="12"/>
      <c r="R875" s="12"/>
      <c r="S875" s="12"/>
      <c r="T875" s="13" t="s">
        <v>1547</v>
      </c>
      <c r="U875" s="12" t="str">
        <f t="shared" si="55"/>
        <v>Not Started</v>
      </c>
      <c r="V875" s="12" t="str">
        <f t="shared" si="52"/>
        <v>BENAYED Elie</v>
      </c>
      <c r="W875" s="13" t="str">
        <f t="shared" si="53"/>
        <v/>
      </c>
    </row>
    <row r="876" spans="1:23" ht="14.4" customHeight="1" x14ac:dyDescent="0.3">
      <c r="A876" s="28">
        <v>44642</v>
      </c>
      <c r="B876" s="12" t="s">
        <v>3478</v>
      </c>
      <c r="C876" s="12" t="s">
        <v>1542</v>
      </c>
      <c r="D876" s="5" t="s">
        <v>1675</v>
      </c>
      <c r="E876" s="12">
        <v>413</v>
      </c>
      <c r="F876" s="11" t="s">
        <v>3470</v>
      </c>
      <c r="G876" s="12" t="s">
        <v>7</v>
      </c>
      <c r="H876" s="12" t="s">
        <v>17</v>
      </c>
      <c r="I876" s="11" t="s">
        <v>3471</v>
      </c>
      <c r="J876" s="12" t="s">
        <v>1574</v>
      </c>
      <c r="K876" s="12" t="str">
        <f t="shared" si="54"/>
        <v>Closed</v>
      </c>
      <c r="L876" s="13">
        <v>44643</v>
      </c>
      <c r="M876" s="12"/>
      <c r="N876" s="12"/>
      <c r="O876" s="12"/>
      <c r="P876" s="12" t="s">
        <v>3790</v>
      </c>
      <c r="Q876" s="12"/>
      <c r="R876" s="12" t="s">
        <v>1545</v>
      </c>
      <c r="S876" s="12" t="s">
        <v>16</v>
      </c>
      <c r="T876" s="13">
        <v>44651</v>
      </c>
      <c r="U876" s="12" t="str">
        <f t="shared" si="55"/>
        <v>NFF</v>
      </c>
      <c r="V876" s="12" t="str">
        <f t="shared" si="52"/>
        <v>FATHI Charafeddine</v>
      </c>
      <c r="W876" s="13">
        <f t="shared" si="53"/>
        <v>44643</v>
      </c>
    </row>
    <row r="877" spans="1:23" ht="28.8" customHeight="1" x14ac:dyDescent="0.3">
      <c r="A877" s="28">
        <v>44642</v>
      </c>
      <c r="B877" s="12" t="s">
        <v>3479</v>
      </c>
      <c r="C877" s="12" t="s">
        <v>1542</v>
      </c>
      <c r="D877" s="5" t="s">
        <v>1675</v>
      </c>
      <c r="E877" s="12">
        <v>421</v>
      </c>
      <c r="F877" s="11" t="s">
        <v>3470</v>
      </c>
      <c r="G877" s="12" t="s">
        <v>7</v>
      </c>
      <c r="H877" s="12" t="s">
        <v>17</v>
      </c>
      <c r="I877" s="11" t="s">
        <v>3471</v>
      </c>
      <c r="J877" s="12" t="s">
        <v>1574</v>
      </c>
      <c r="K877" s="12" t="str">
        <f t="shared" si="54"/>
        <v>Closed</v>
      </c>
      <c r="L877" s="13">
        <v>44643</v>
      </c>
      <c r="M877" s="12"/>
      <c r="N877" s="12"/>
      <c r="O877" s="12"/>
      <c r="P877" s="12" t="s">
        <v>3790</v>
      </c>
      <c r="Q877" s="12"/>
      <c r="R877" s="12"/>
      <c r="S877" s="12"/>
      <c r="T877" s="13" t="s">
        <v>1547</v>
      </c>
      <c r="U877" s="12" t="str">
        <f t="shared" si="55"/>
        <v>NFF</v>
      </c>
      <c r="V877" s="12" t="str">
        <f t="shared" si="52"/>
        <v>FATHI Charafeddine</v>
      </c>
      <c r="W877" s="13">
        <f t="shared" si="53"/>
        <v>44643</v>
      </c>
    </row>
    <row r="878" spans="1:23" x14ac:dyDescent="0.3">
      <c r="A878" s="28">
        <v>44643</v>
      </c>
      <c r="B878" s="12" t="s">
        <v>3488</v>
      </c>
      <c r="C878" s="12" t="s">
        <v>1823</v>
      </c>
      <c r="D878" s="5" t="s">
        <v>1675</v>
      </c>
      <c r="E878" s="12">
        <v>608</v>
      </c>
      <c r="F878" s="11" t="s">
        <v>3444</v>
      </c>
      <c r="G878" s="12" t="s">
        <v>7</v>
      </c>
      <c r="H878" s="12" t="s">
        <v>11</v>
      </c>
      <c r="I878" s="11" t="s">
        <v>3627</v>
      </c>
      <c r="J878" s="12" t="s">
        <v>1545</v>
      </c>
      <c r="K878" s="12" t="str">
        <f t="shared" si="54"/>
        <v>Closed</v>
      </c>
      <c r="L878" s="13">
        <v>44650</v>
      </c>
      <c r="M878" s="12"/>
      <c r="N878" s="12"/>
      <c r="O878" s="12" t="s">
        <v>1675</v>
      </c>
      <c r="P878" s="12" t="s">
        <v>3790</v>
      </c>
      <c r="Q878" s="12"/>
      <c r="R878" s="12"/>
      <c r="S878" s="12"/>
      <c r="T878" s="13" t="s">
        <v>1547</v>
      </c>
      <c r="U878" s="12" t="str">
        <f t="shared" si="55"/>
        <v>Corrected</v>
      </c>
      <c r="V878" s="12" t="str">
        <f t="shared" si="52"/>
        <v>FIRDUS Ahmad</v>
      </c>
      <c r="W878" s="13">
        <f t="shared" si="53"/>
        <v>44650</v>
      </c>
    </row>
    <row r="879" spans="1:23" ht="14.4" customHeight="1" x14ac:dyDescent="0.3">
      <c r="A879" s="28">
        <v>44643</v>
      </c>
      <c r="B879" s="12" t="s">
        <v>3489</v>
      </c>
      <c r="C879" s="12" t="s">
        <v>1703</v>
      </c>
      <c r="D879" s="5" t="s">
        <v>1675</v>
      </c>
      <c r="E879" s="12">
        <v>408</v>
      </c>
      <c r="F879" s="11" t="s">
        <v>3490</v>
      </c>
      <c r="G879" s="12" t="s">
        <v>1</v>
      </c>
      <c r="H879" s="12" t="s">
        <v>11</v>
      </c>
      <c r="I879" s="11" t="s">
        <v>3498</v>
      </c>
      <c r="J879" s="12" t="s">
        <v>1545</v>
      </c>
      <c r="K879" s="12" t="str">
        <f t="shared" si="54"/>
        <v>Closed</v>
      </c>
      <c r="L879" s="13">
        <v>44643</v>
      </c>
      <c r="M879" s="12"/>
      <c r="N879" s="12" t="s">
        <v>4430</v>
      </c>
      <c r="O879" s="12" t="s">
        <v>3437</v>
      </c>
      <c r="P879" s="12" t="s">
        <v>3790</v>
      </c>
      <c r="Q879" s="12"/>
      <c r="R879" s="12"/>
      <c r="S879" s="12"/>
      <c r="T879" s="13" t="s">
        <v>1547</v>
      </c>
      <c r="U879" s="12" t="str">
        <f t="shared" si="55"/>
        <v>Corrected</v>
      </c>
      <c r="V879" s="12" t="str">
        <f t="shared" si="52"/>
        <v>FIRDUS Ahmad</v>
      </c>
      <c r="W879" s="13">
        <f t="shared" si="53"/>
        <v>44643</v>
      </c>
    </row>
    <row r="880" spans="1:23" ht="14.4" customHeight="1" x14ac:dyDescent="0.3">
      <c r="A880" s="28">
        <v>44643</v>
      </c>
      <c r="B880" s="12" t="s">
        <v>3491</v>
      </c>
      <c r="C880" s="12" t="s">
        <v>1703</v>
      </c>
      <c r="D880" s="5" t="s">
        <v>1675</v>
      </c>
      <c r="E880" s="12">
        <v>408</v>
      </c>
      <c r="F880" s="11" t="s">
        <v>3492</v>
      </c>
      <c r="G880" s="12" t="s">
        <v>7</v>
      </c>
      <c r="H880" s="12" t="s">
        <v>11</v>
      </c>
      <c r="I880" s="11" t="s">
        <v>3499</v>
      </c>
      <c r="J880" s="12" t="s">
        <v>1574</v>
      </c>
      <c r="K880" s="12" t="str">
        <f t="shared" si="54"/>
        <v>Closed</v>
      </c>
      <c r="L880" s="13">
        <v>44643</v>
      </c>
      <c r="M880" s="12"/>
      <c r="N880" s="12" t="s">
        <v>3216</v>
      </c>
      <c r="O880" s="12"/>
      <c r="P880" s="12" t="s">
        <v>3790</v>
      </c>
      <c r="Q880" s="12"/>
      <c r="R880" s="12"/>
      <c r="S880" s="12"/>
      <c r="T880" s="13" t="s">
        <v>1547</v>
      </c>
      <c r="U880" s="12" t="str">
        <f t="shared" si="55"/>
        <v>NFF</v>
      </c>
      <c r="V880" s="12" t="str">
        <f t="shared" si="52"/>
        <v>FIRDUS Ahmad</v>
      </c>
      <c r="W880" s="13">
        <f t="shared" si="53"/>
        <v>44643</v>
      </c>
    </row>
    <row r="881" spans="1:23" x14ac:dyDescent="0.3">
      <c r="A881" s="28">
        <v>44643</v>
      </c>
      <c r="B881" s="12" t="s">
        <v>3500</v>
      </c>
      <c r="C881" s="12" t="s">
        <v>1542</v>
      </c>
      <c r="D881" s="5"/>
      <c r="E881" s="12">
        <v>414</v>
      </c>
      <c r="F881" s="11" t="s">
        <v>3569</v>
      </c>
      <c r="G881" s="12" t="s">
        <v>7</v>
      </c>
      <c r="H881" s="12" t="s">
        <v>14</v>
      </c>
      <c r="I881" s="11" t="s">
        <v>3604</v>
      </c>
      <c r="J881" s="12" t="s">
        <v>1574</v>
      </c>
      <c r="K881" s="12" t="str">
        <f t="shared" si="54"/>
        <v>Closed</v>
      </c>
      <c r="L881" s="13">
        <v>44649</v>
      </c>
      <c r="M881" s="12"/>
      <c r="N881" s="12"/>
      <c r="O881" s="12"/>
      <c r="P881" s="12" t="s">
        <v>3790</v>
      </c>
      <c r="Q881" s="12"/>
      <c r="R881" s="12"/>
      <c r="S881" s="12"/>
      <c r="T881" s="13" t="s">
        <v>1547</v>
      </c>
      <c r="U881" s="12" t="str">
        <f t="shared" si="55"/>
        <v>NFF</v>
      </c>
      <c r="V881" s="12" t="str">
        <f t="shared" si="52"/>
        <v>GUAN Jialin</v>
      </c>
      <c r="W881" s="13">
        <f t="shared" si="53"/>
        <v>44649</v>
      </c>
    </row>
    <row r="882" spans="1:23" ht="14.4" customHeight="1" x14ac:dyDescent="0.3">
      <c r="A882" s="28">
        <v>44643</v>
      </c>
      <c r="B882" s="12" t="s">
        <v>3501</v>
      </c>
      <c r="C882" s="12" t="s">
        <v>1542</v>
      </c>
      <c r="D882" s="5"/>
      <c r="E882" s="12">
        <v>414</v>
      </c>
      <c r="F882" s="11" t="s">
        <v>3525</v>
      </c>
      <c r="G882" s="12" t="s">
        <v>7</v>
      </c>
      <c r="H882" s="12" t="s">
        <v>14</v>
      </c>
      <c r="I882" s="11" t="s">
        <v>3562</v>
      </c>
      <c r="J882" s="12" t="s">
        <v>1574</v>
      </c>
      <c r="K882" s="12" t="str">
        <f t="shared" si="54"/>
        <v>Closed</v>
      </c>
      <c r="L882" s="13" t="s">
        <v>3906</v>
      </c>
      <c r="M882" s="12"/>
      <c r="N882" s="12"/>
      <c r="O882" s="12"/>
      <c r="P882" s="12" t="s">
        <v>3790</v>
      </c>
      <c r="Q882" s="12"/>
      <c r="R882" s="12" t="s">
        <v>1545</v>
      </c>
      <c r="S882" s="12" t="s">
        <v>6</v>
      </c>
      <c r="T882" s="13">
        <v>44643</v>
      </c>
      <c r="U882" s="12" t="str">
        <f t="shared" si="55"/>
        <v>NFF</v>
      </c>
      <c r="V882" s="12" t="str">
        <f t="shared" si="52"/>
        <v>GUAN Jialin</v>
      </c>
      <c r="W882" s="13"/>
    </row>
    <row r="883" spans="1:23" ht="14.4" customHeight="1" x14ac:dyDescent="0.3">
      <c r="A883" s="28">
        <v>44643</v>
      </c>
      <c r="B883" s="12" t="s">
        <v>3502</v>
      </c>
      <c r="C883" s="12" t="s">
        <v>1542</v>
      </c>
      <c r="D883" s="5"/>
      <c r="E883" s="12">
        <v>416</v>
      </c>
      <c r="F883" s="11" t="s">
        <v>3526</v>
      </c>
      <c r="G883" s="12" t="s">
        <v>7</v>
      </c>
      <c r="H883" s="12" t="s">
        <v>14</v>
      </c>
      <c r="I883" s="11"/>
      <c r="J883" s="12" t="s">
        <v>1574</v>
      </c>
      <c r="K883" s="12" t="str">
        <f t="shared" si="54"/>
        <v>Closed</v>
      </c>
      <c r="L883" s="13">
        <v>44648</v>
      </c>
      <c r="M883" s="12"/>
      <c r="N883" s="12"/>
      <c r="O883" s="12"/>
      <c r="P883" s="12" t="s">
        <v>3790</v>
      </c>
      <c r="Q883" s="12"/>
      <c r="R883" s="12"/>
      <c r="S883" s="12"/>
      <c r="T883" s="13" t="s">
        <v>1547</v>
      </c>
      <c r="U883" s="12" t="str">
        <f t="shared" si="55"/>
        <v>NFF</v>
      </c>
      <c r="V883" s="12" t="str">
        <f t="shared" si="52"/>
        <v>GUAN Jialin</v>
      </c>
      <c r="W883" s="13">
        <f t="shared" si="53"/>
        <v>44648</v>
      </c>
    </row>
    <row r="884" spans="1:23" ht="14.4" customHeight="1" x14ac:dyDescent="0.3">
      <c r="A884" s="28">
        <v>44643</v>
      </c>
      <c r="B884" s="12" t="s">
        <v>3503</v>
      </c>
      <c r="C884" s="12" t="s">
        <v>1542</v>
      </c>
      <c r="D884" s="5"/>
      <c r="E884" s="12">
        <v>416</v>
      </c>
      <c r="F884" s="11" t="s">
        <v>3527</v>
      </c>
      <c r="G884" s="12" t="s">
        <v>7</v>
      </c>
      <c r="H884" s="12" t="s">
        <v>14</v>
      </c>
      <c r="I884" s="11" t="s">
        <v>3562</v>
      </c>
      <c r="J884" s="12" t="s">
        <v>1574</v>
      </c>
      <c r="K884" s="12" t="str">
        <f t="shared" si="54"/>
        <v>Closed</v>
      </c>
      <c r="L884" s="13">
        <v>44648</v>
      </c>
      <c r="M884" s="12"/>
      <c r="N884" s="12"/>
      <c r="O884" s="12"/>
      <c r="P884" s="12" t="s">
        <v>3790</v>
      </c>
      <c r="Q884" s="12"/>
      <c r="R884" s="12"/>
      <c r="S884" s="12"/>
      <c r="T884" s="13" t="s">
        <v>1547</v>
      </c>
      <c r="U884" s="12" t="str">
        <f t="shared" si="55"/>
        <v>NFF</v>
      </c>
      <c r="V884" s="12" t="str">
        <f t="shared" si="52"/>
        <v>GUAN Jialin</v>
      </c>
      <c r="W884" s="13">
        <f t="shared" si="53"/>
        <v>44648</v>
      </c>
    </row>
    <row r="885" spans="1:23" ht="14.4" customHeight="1" x14ac:dyDescent="0.3">
      <c r="A885" s="28">
        <v>44643</v>
      </c>
      <c r="B885" s="12" t="s">
        <v>3504</v>
      </c>
      <c r="C885" s="12" t="s">
        <v>1542</v>
      </c>
      <c r="D885" s="5"/>
      <c r="E885" s="12">
        <v>417</v>
      </c>
      <c r="F885" s="11" t="s">
        <v>3526</v>
      </c>
      <c r="G885" s="12" t="s">
        <v>7</v>
      </c>
      <c r="H885" s="12" t="s">
        <v>14</v>
      </c>
      <c r="I885" s="11"/>
      <c r="J885" s="12" t="s">
        <v>1574</v>
      </c>
      <c r="K885" s="12" t="str">
        <f t="shared" si="54"/>
        <v>Closed</v>
      </c>
      <c r="L885" s="13">
        <v>44648</v>
      </c>
      <c r="M885" s="12"/>
      <c r="N885" s="12"/>
      <c r="O885" s="12"/>
      <c r="P885" s="12" t="s">
        <v>3790</v>
      </c>
      <c r="Q885" s="12"/>
      <c r="R885" s="12"/>
      <c r="S885" s="12"/>
      <c r="T885" s="13" t="s">
        <v>1547</v>
      </c>
      <c r="U885" s="12" t="str">
        <f t="shared" si="55"/>
        <v>NFF</v>
      </c>
      <c r="V885" s="12" t="str">
        <f t="shared" si="52"/>
        <v>GUAN Jialin</v>
      </c>
      <c r="W885" s="13">
        <f t="shared" si="53"/>
        <v>44648</v>
      </c>
    </row>
    <row r="886" spans="1:23" ht="14.4" customHeight="1" x14ac:dyDescent="0.3">
      <c r="A886" s="28">
        <v>44643</v>
      </c>
      <c r="B886" s="12" t="s">
        <v>3505</v>
      </c>
      <c r="C886" s="12" t="s">
        <v>1542</v>
      </c>
      <c r="D886" s="5"/>
      <c r="E886" s="12">
        <v>417</v>
      </c>
      <c r="F886" s="11" t="s">
        <v>3527</v>
      </c>
      <c r="G886" s="12" t="s">
        <v>7</v>
      </c>
      <c r="H886" s="12" t="s">
        <v>14</v>
      </c>
      <c r="I886" s="11" t="s">
        <v>3562</v>
      </c>
      <c r="J886" s="12" t="s">
        <v>1574</v>
      </c>
      <c r="K886" s="12" t="str">
        <f t="shared" si="54"/>
        <v>Closed</v>
      </c>
      <c r="L886" s="13">
        <v>44648</v>
      </c>
      <c r="M886" s="12"/>
      <c r="N886" s="12"/>
      <c r="O886" s="12"/>
      <c r="P886" s="12" t="s">
        <v>3790</v>
      </c>
      <c r="Q886" s="12"/>
      <c r="R886" s="12"/>
      <c r="S886" s="12"/>
      <c r="T886" s="13" t="s">
        <v>1547</v>
      </c>
      <c r="U886" s="12" t="str">
        <f t="shared" si="55"/>
        <v>NFF</v>
      </c>
      <c r="V886" s="12" t="str">
        <f t="shared" si="52"/>
        <v>GUAN Jialin</v>
      </c>
      <c r="W886" s="13">
        <f t="shared" si="53"/>
        <v>44648</v>
      </c>
    </row>
    <row r="887" spans="1:23" ht="14.4" customHeight="1" x14ac:dyDescent="0.3">
      <c r="A887" s="28">
        <v>44643</v>
      </c>
      <c r="B887" s="12" t="s">
        <v>3506</v>
      </c>
      <c r="C887" s="12" t="s">
        <v>1542</v>
      </c>
      <c r="D887" s="5"/>
      <c r="E887" s="12">
        <v>619</v>
      </c>
      <c r="F887" s="11" t="s">
        <v>3527</v>
      </c>
      <c r="G887" s="12" t="s">
        <v>7</v>
      </c>
      <c r="H887" s="12" t="s">
        <v>14</v>
      </c>
      <c r="I887" s="11" t="s">
        <v>3562</v>
      </c>
      <c r="J887" s="12" t="s">
        <v>1574</v>
      </c>
      <c r="K887" s="12" t="str">
        <f t="shared" si="54"/>
        <v>Closed</v>
      </c>
      <c r="L887" s="13">
        <v>44648</v>
      </c>
      <c r="M887" s="12"/>
      <c r="N887" s="12"/>
      <c r="O887" s="12"/>
      <c r="P887" s="12" t="s">
        <v>3790</v>
      </c>
      <c r="Q887" s="12"/>
      <c r="R887" s="12"/>
      <c r="S887" s="12"/>
      <c r="T887" s="13" t="s">
        <v>1547</v>
      </c>
      <c r="U887" s="12" t="str">
        <f t="shared" si="55"/>
        <v>NFF</v>
      </c>
      <c r="V887" s="12" t="str">
        <f t="shared" si="52"/>
        <v>GUAN Jialin</v>
      </c>
      <c r="W887" s="13">
        <f t="shared" si="53"/>
        <v>44648</v>
      </c>
    </row>
    <row r="888" spans="1:23" ht="14.4" customHeight="1" x14ac:dyDescent="0.3">
      <c r="A888" s="28">
        <v>44643</v>
      </c>
      <c r="B888" s="12" t="s">
        <v>3507</v>
      </c>
      <c r="C888" s="12" t="s">
        <v>1542</v>
      </c>
      <c r="D888" s="5"/>
      <c r="E888" s="12">
        <v>626</v>
      </c>
      <c r="F888" s="11" t="s">
        <v>3570</v>
      </c>
      <c r="G888" s="12" t="s">
        <v>7</v>
      </c>
      <c r="H888" s="12" t="s">
        <v>14</v>
      </c>
      <c r="I888" s="11"/>
      <c r="J888" s="12" t="s">
        <v>1574</v>
      </c>
      <c r="K888" s="12" t="str">
        <f t="shared" si="54"/>
        <v>Closed</v>
      </c>
      <c r="L888" s="13">
        <v>44648</v>
      </c>
      <c r="M888" s="12"/>
      <c r="N888" s="12"/>
      <c r="O888" s="12"/>
      <c r="P888" s="12" t="s">
        <v>3790</v>
      </c>
      <c r="Q888" s="12"/>
      <c r="R888" s="12"/>
      <c r="S888" s="12"/>
      <c r="T888" s="13" t="s">
        <v>1547</v>
      </c>
      <c r="U888" s="12" t="str">
        <f t="shared" si="55"/>
        <v>NFF</v>
      </c>
      <c r="V888" s="12" t="str">
        <f t="shared" si="52"/>
        <v>GUAN Jialin</v>
      </c>
      <c r="W888" s="13">
        <f t="shared" si="53"/>
        <v>44648</v>
      </c>
    </row>
    <row r="889" spans="1:23" ht="14.4" customHeight="1" x14ac:dyDescent="0.3">
      <c r="A889" s="28">
        <v>44644</v>
      </c>
      <c r="B889" s="12" t="s">
        <v>3514</v>
      </c>
      <c r="C889" s="12" t="s">
        <v>1703</v>
      </c>
      <c r="D889" s="5"/>
      <c r="E889" s="12">
        <v>419</v>
      </c>
      <c r="F889" s="11" t="s">
        <v>3515</v>
      </c>
      <c r="G889" s="12" t="s">
        <v>1</v>
      </c>
      <c r="H889" s="12" t="s">
        <v>11</v>
      </c>
      <c r="I889" s="11" t="s">
        <v>3516</v>
      </c>
      <c r="J889" s="12" t="s">
        <v>1574</v>
      </c>
      <c r="K889" s="12" t="str">
        <f t="shared" si="54"/>
        <v>Closed</v>
      </c>
      <c r="L889" s="13">
        <v>44641</v>
      </c>
      <c r="M889" s="12"/>
      <c r="N889" s="12"/>
      <c r="O889" s="12"/>
      <c r="P889" s="12" t="s">
        <v>3790</v>
      </c>
      <c r="Q889" s="12"/>
      <c r="R889" s="12"/>
      <c r="S889" s="12"/>
      <c r="T889" s="13" t="s">
        <v>1547</v>
      </c>
      <c r="U889" s="12" t="str">
        <f t="shared" si="55"/>
        <v>NFF</v>
      </c>
      <c r="V889" s="12" t="str">
        <f t="shared" si="52"/>
        <v>FIRDUS Ahmad</v>
      </c>
      <c r="W889" s="13">
        <f t="shared" si="53"/>
        <v>44641</v>
      </c>
    </row>
    <row r="890" spans="1:23" ht="14.4" customHeight="1" x14ac:dyDescent="0.3">
      <c r="A890" s="28">
        <v>44644</v>
      </c>
      <c r="B890" s="12" t="s">
        <v>3517</v>
      </c>
      <c r="C890" s="12" t="s">
        <v>1690</v>
      </c>
      <c r="D890" s="5"/>
      <c r="E890" s="12">
        <v>410</v>
      </c>
      <c r="F890" s="11" t="s">
        <v>3518</v>
      </c>
      <c r="G890" s="12" t="s">
        <v>1</v>
      </c>
      <c r="H890" s="12" t="s">
        <v>11</v>
      </c>
      <c r="I890" s="11" t="s">
        <v>3532</v>
      </c>
      <c r="J890" s="12" t="s">
        <v>1609</v>
      </c>
      <c r="K890" s="12" t="str">
        <f t="shared" si="54"/>
        <v>Open</v>
      </c>
      <c r="L890" s="13"/>
      <c r="M890" s="12"/>
      <c r="N890" s="12"/>
      <c r="O890" s="12"/>
      <c r="P890" s="12" t="s">
        <v>2788</v>
      </c>
      <c r="Q890" s="12"/>
      <c r="R890" s="12" t="s">
        <v>1545</v>
      </c>
      <c r="S890" s="12" t="s">
        <v>6</v>
      </c>
      <c r="T890" s="13">
        <v>44647</v>
      </c>
      <c r="U890" s="12" t="str">
        <f t="shared" si="55"/>
        <v>Corrected</v>
      </c>
      <c r="V890" s="12" t="str">
        <f t="shared" si="52"/>
        <v>MUHAMMAD ALIF BIN ALI</v>
      </c>
      <c r="W890" s="13">
        <f t="shared" si="53"/>
        <v>44647</v>
      </c>
    </row>
    <row r="891" spans="1:23" ht="14.4" customHeight="1" x14ac:dyDescent="0.3">
      <c r="A891" s="28">
        <v>44644</v>
      </c>
      <c r="B891" s="12" t="s">
        <v>3542</v>
      </c>
      <c r="C891" s="12" t="s">
        <v>1823</v>
      </c>
      <c r="D891" s="5"/>
      <c r="E891" s="12">
        <v>625</v>
      </c>
      <c r="F891" s="11" t="s">
        <v>3543</v>
      </c>
      <c r="G891" s="12" t="s">
        <v>1</v>
      </c>
      <c r="H891" s="12" t="s">
        <v>11</v>
      </c>
      <c r="I891" s="11" t="s">
        <v>3571</v>
      </c>
      <c r="J891" s="12" t="s">
        <v>1574</v>
      </c>
      <c r="K891" s="12" t="str">
        <f t="shared" si="54"/>
        <v>Closed</v>
      </c>
      <c r="L891" s="13">
        <v>44648</v>
      </c>
      <c r="M891" s="12"/>
      <c r="N891" s="12"/>
      <c r="O891" s="12"/>
      <c r="P891" s="12" t="s">
        <v>3790</v>
      </c>
      <c r="Q891" s="12"/>
      <c r="R891" s="12"/>
      <c r="S891" s="12"/>
      <c r="T891" s="13" t="s">
        <v>1547</v>
      </c>
      <c r="U891" s="12" t="str">
        <f t="shared" si="55"/>
        <v>NFF</v>
      </c>
      <c r="V891" s="12" t="str">
        <f t="shared" si="52"/>
        <v>FIRDUS Ahmad</v>
      </c>
      <c r="W891" s="13">
        <f t="shared" si="53"/>
        <v>44648</v>
      </c>
    </row>
    <row r="892" spans="1:23" ht="14.4" customHeight="1" x14ac:dyDescent="0.3">
      <c r="A892" s="28">
        <v>44645</v>
      </c>
      <c r="B892" s="12" t="s">
        <v>3548</v>
      </c>
      <c r="C892" s="12" t="s">
        <v>1542</v>
      </c>
      <c r="D892" s="5"/>
      <c r="E892" s="12">
        <v>409</v>
      </c>
      <c r="F892" s="11" t="s">
        <v>3572</v>
      </c>
      <c r="G892" s="12" t="s">
        <v>7</v>
      </c>
      <c r="H892" s="12" t="s">
        <v>14</v>
      </c>
      <c r="I892" s="11"/>
      <c r="J892" s="12" t="s">
        <v>1574</v>
      </c>
      <c r="K892" s="12" t="str">
        <f t="shared" si="54"/>
        <v>Closed</v>
      </c>
      <c r="L892" s="13">
        <v>44650</v>
      </c>
      <c r="M892" s="12"/>
      <c r="N892" s="12" t="s">
        <v>1574</v>
      </c>
      <c r="O892" s="12"/>
      <c r="P892" s="12" t="s">
        <v>3790</v>
      </c>
      <c r="Q892" s="12"/>
      <c r="R892" s="12"/>
      <c r="S892" s="12"/>
      <c r="T892" s="13" t="s">
        <v>1547</v>
      </c>
      <c r="U892" s="12" t="str">
        <f t="shared" si="55"/>
        <v>NFF</v>
      </c>
      <c r="V892" s="12" t="str">
        <f t="shared" si="52"/>
        <v>GUAN Jialin</v>
      </c>
      <c r="W892" s="13">
        <f t="shared" si="53"/>
        <v>44650</v>
      </c>
    </row>
    <row r="893" spans="1:23" ht="14.4" customHeight="1" x14ac:dyDescent="0.3">
      <c r="A893" s="28">
        <v>44645</v>
      </c>
      <c r="B893" s="12" t="s">
        <v>3549</v>
      </c>
      <c r="C893" s="12" t="s">
        <v>1542</v>
      </c>
      <c r="D893" s="5"/>
      <c r="E893" s="12">
        <v>409</v>
      </c>
      <c r="F893" s="11" t="s">
        <v>3527</v>
      </c>
      <c r="G893" s="12" t="s">
        <v>7</v>
      </c>
      <c r="H893" s="12" t="s">
        <v>14</v>
      </c>
      <c r="I893" s="11" t="s">
        <v>3562</v>
      </c>
      <c r="J893" s="12" t="s">
        <v>1574</v>
      </c>
      <c r="K893" s="12" t="str">
        <f t="shared" si="54"/>
        <v>Closed</v>
      </c>
      <c r="L893" s="13">
        <v>44648</v>
      </c>
      <c r="M893" s="12"/>
      <c r="N893" s="12"/>
      <c r="O893" s="12"/>
      <c r="P893" s="12" t="s">
        <v>3790</v>
      </c>
      <c r="Q893" s="12"/>
      <c r="R893" s="12"/>
      <c r="S893" s="12"/>
      <c r="T893" s="13" t="s">
        <v>1547</v>
      </c>
      <c r="U893" s="12" t="str">
        <f t="shared" si="55"/>
        <v>NFF</v>
      </c>
      <c r="V893" s="12" t="str">
        <f t="shared" si="52"/>
        <v>GUAN Jialin</v>
      </c>
      <c r="W893" s="13">
        <f t="shared" si="53"/>
        <v>44648</v>
      </c>
    </row>
    <row r="894" spans="1:23" x14ac:dyDescent="0.3">
      <c r="A894" s="28">
        <v>44645</v>
      </c>
      <c r="B894" s="12" t="s">
        <v>3550</v>
      </c>
      <c r="C894" s="12" t="s">
        <v>1542</v>
      </c>
      <c r="D894" s="5"/>
      <c r="E894" s="12">
        <v>419</v>
      </c>
      <c r="F894" s="11" t="s">
        <v>3573</v>
      </c>
      <c r="G894" s="12" t="s">
        <v>7</v>
      </c>
      <c r="H894" s="12" t="s">
        <v>18</v>
      </c>
      <c r="I894" s="11" t="s">
        <v>3605</v>
      </c>
      <c r="J894" s="12" t="s">
        <v>1574</v>
      </c>
      <c r="K894" s="12" t="str">
        <f t="shared" si="54"/>
        <v>Closed</v>
      </c>
      <c r="L894" s="13">
        <v>44649</v>
      </c>
      <c r="M894" s="12"/>
      <c r="N894" s="12"/>
      <c r="O894" s="12"/>
      <c r="P894" s="12" t="s">
        <v>3790</v>
      </c>
      <c r="Q894" s="12"/>
      <c r="R894" s="12"/>
      <c r="S894" s="12"/>
      <c r="T894" s="13" t="s">
        <v>1547</v>
      </c>
      <c r="U894" s="12" t="str">
        <f t="shared" si="55"/>
        <v>NFF</v>
      </c>
      <c r="V894" s="12" t="str">
        <f t="shared" si="52"/>
        <v>BENAYED Elie</v>
      </c>
      <c r="W894" s="13">
        <f t="shared" si="53"/>
        <v>44649</v>
      </c>
    </row>
    <row r="895" spans="1:23" ht="14.4" customHeight="1" x14ac:dyDescent="0.3">
      <c r="A895" s="28">
        <v>44645</v>
      </c>
      <c r="B895" s="12" t="s">
        <v>3551</v>
      </c>
      <c r="C895" s="12" t="s">
        <v>1542</v>
      </c>
      <c r="D895" s="5"/>
      <c r="E895" s="12">
        <v>419</v>
      </c>
      <c r="F895" s="11" t="s">
        <v>3527</v>
      </c>
      <c r="G895" s="12" t="s">
        <v>7</v>
      </c>
      <c r="H895" s="12" t="s">
        <v>18</v>
      </c>
      <c r="I895" s="11" t="s">
        <v>3562</v>
      </c>
      <c r="J895" s="12" t="s">
        <v>1574</v>
      </c>
      <c r="K895" s="12" t="str">
        <f t="shared" si="54"/>
        <v>Closed</v>
      </c>
      <c r="L895" s="13">
        <v>44648</v>
      </c>
      <c r="M895" s="12"/>
      <c r="N895" s="12"/>
      <c r="O895" s="12"/>
      <c r="P895" s="12" t="s">
        <v>3790</v>
      </c>
      <c r="Q895" s="12"/>
      <c r="R895" s="12"/>
      <c r="S895" s="12"/>
      <c r="T895" s="13" t="s">
        <v>1547</v>
      </c>
      <c r="U895" s="12" t="str">
        <f t="shared" si="55"/>
        <v>NFF</v>
      </c>
      <c r="V895" s="12" t="str">
        <f t="shared" ref="V895:V958" si="56">IF(AND(J895="Corrective Action Required",R895="Corrected"),S895, IF(AND(J895="Corrective Action Required",R895&lt;&gt;"Corrected"),S895,H895))</f>
        <v>BENAYED Elie</v>
      </c>
      <c r="W895" s="13">
        <f t="shared" ref="W895:W958" si="57">IF(OR(J895="Corrected",J895="NFF"),L895, IF(AND(J895="Corrective Action Required",R895="Corrected"),T895,""))</f>
        <v>44648</v>
      </c>
    </row>
    <row r="896" spans="1:23" ht="28.8" customHeight="1" x14ac:dyDescent="0.3">
      <c r="A896" s="28">
        <v>44645</v>
      </c>
      <c r="B896" s="12" t="s">
        <v>3552</v>
      </c>
      <c r="C896" s="12" t="s">
        <v>1542</v>
      </c>
      <c r="D896" s="5"/>
      <c r="E896" s="12">
        <v>419</v>
      </c>
      <c r="F896" s="11" t="s">
        <v>2286</v>
      </c>
      <c r="G896" s="12" t="s">
        <v>7</v>
      </c>
      <c r="H896" s="12" t="s">
        <v>11</v>
      </c>
      <c r="I896" s="11" t="s">
        <v>3628</v>
      </c>
      <c r="J896" s="12" t="s">
        <v>1574</v>
      </c>
      <c r="K896" s="12" t="str">
        <f t="shared" ref="K896:K925" si="58">IF(J896="Corrected","Closed",IF(J896="NFF","Closed","Open"))</f>
        <v>Closed</v>
      </c>
      <c r="L896" s="13">
        <v>44651</v>
      </c>
      <c r="M896" s="12"/>
      <c r="N896" s="12" t="s">
        <v>2683</v>
      </c>
      <c r="O896" s="12"/>
      <c r="P896" s="12" t="s">
        <v>3790</v>
      </c>
      <c r="Q896" s="12"/>
      <c r="R896" s="12"/>
      <c r="S896" s="12"/>
      <c r="T896" s="13" t="s">
        <v>1547</v>
      </c>
      <c r="U896" s="12" t="str">
        <f t="shared" si="55"/>
        <v>NFF</v>
      </c>
      <c r="V896" s="12" t="str">
        <f t="shared" si="56"/>
        <v>FIRDUS Ahmad</v>
      </c>
      <c r="W896" s="13">
        <f t="shared" si="57"/>
        <v>44651</v>
      </c>
    </row>
    <row r="897" spans="1:23" x14ac:dyDescent="0.3">
      <c r="A897" s="28">
        <v>44648</v>
      </c>
      <c r="B897" s="12" t="s">
        <v>3574</v>
      </c>
      <c r="C897" s="12" t="s">
        <v>1542</v>
      </c>
      <c r="D897" s="5"/>
      <c r="E897" s="12">
        <v>604</v>
      </c>
      <c r="F897" s="11" t="s">
        <v>3575</v>
      </c>
      <c r="G897" s="12" t="s">
        <v>7</v>
      </c>
      <c r="H897" s="12" t="s">
        <v>17</v>
      </c>
      <c r="I897" s="11"/>
      <c r="J897" s="12" t="s">
        <v>1609</v>
      </c>
      <c r="K897" s="12" t="str">
        <f t="shared" si="58"/>
        <v>Open</v>
      </c>
      <c r="L897" s="13">
        <v>44648</v>
      </c>
      <c r="M897" s="12"/>
      <c r="N897" s="12"/>
      <c r="O897" s="12" t="s">
        <v>1675</v>
      </c>
      <c r="P897" s="12" t="s">
        <v>3790</v>
      </c>
      <c r="Q897" s="12"/>
      <c r="R897" s="12" t="s">
        <v>1545</v>
      </c>
      <c r="S897" s="12" t="s">
        <v>15</v>
      </c>
      <c r="T897" s="13">
        <v>44648</v>
      </c>
      <c r="U897" s="12" t="str">
        <f t="shared" si="55"/>
        <v>Corrected</v>
      </c>
      <c r="V897" s="12" t="str">
        <f t="shared" si="56"/>
        <v>Imran Rasheed</v>
      </c>
      <c r="W897" s="13">
        <f t="shared" si="57"/>
        <v>44648</v>
      </c>
    </row>
    <row r="898" spans="1:23" ht="28.8" customHeight="1" x14ac:dyDescent="0.3">
      <c r="A898" s="28">
        <v>44648</v>
      </c>
      <c r="B898" s="12" t="s">
        <v>3576</v>
      </c>
      <c r="C898" s="12" t="s">
        <v>1542</v>
      </c>
      <c r="D898" s="5"/>
      <c r="E898" s="12">
        <v>606</v>
      </c>
      <c r="F898" s="11" t="s">
        <v>3577</v>
      </c>
      <c r="G898" s="12" t="s">
        <v>7</v>
      </c>
      <c r="H898" s="12" t="s">
        <v>17</v>
      </c>
      <c r="I898" s="11"/>
      <c r="J898" s="12" t="s">
        <v>1609</v>
      </c>
      <c r="K898" s="12" t="str">
        <f t="shared" si="58"/>
        <v>Open</v>
      </c>
      <c r="L898" s="13">
        <v>44648</v>
      </c>
      <c r="M898" s="12"/>
      <c r="N898" s="12"/>
      <c r="O898" s="12" t="s">
        <v>1675</v>
      </c>
      <c r="P898" s="12" t="s">
        <v>3790</v>
      </c>
      <c r="Q898" s="12"/>
      <c r="R898" s="12" t="s">
        <v>1545</v>
      </c>
      <c r="S898" s="12" t="s">
        <v>15</v>
      </c>
      <c r="T898" s="13">
        <v>44648</v>
      </c>
      <c r="U898" s="12" t="str">
        <f t="shared" si="55"/>
        <v>Corrected</v>
      </c>
      <c r="V898" s="12" t="str">
        <f t="shared" si="56"/>
        <v>Imran Rasheed</v>
      </c>
      <c r="W898" s="13">
        <f t="shared" si="57"/>
        <v>44648</v>
      </c>
    </row>
    <row r="899" spans="1:23" x14ac:dyDescent="0.3">
      <c r="A899" s="28">
        <v>44649</v>
      </c>
      <c r="B899" s="12" t="s">
        <v>3588</v>
      </c>
      <c r="C899" s="12" t="s">
        <v>1687</v>
      </c>
      <c r="D899" s="5"/>
      <c r="E899" s="12">
        <v>403</v>
      </c>
      <c r="F899" s="11" t="s">
        <v>3606</v>
      </c>
      <c r="G899" s="12" t="s">
        <v>7</v>
      </c>
      <c r="H899" s="12" t="s">
        <v>11</v>
      </c>
      <c r="I899" s="11"/>
      <c r="J899" s="12" t="s">
        <v>1582</v>
      </c>
      <c r="K899" s="12" t="str">
        <f t="shared" si="58"/>
        <v>Open</v>
      </c>
      <c r="L899" s="13"/>
      <c r="M899" s="12"/>
      <c r="N899" s="12"/>
      <c r="O899" s="12"/>
      <c r="P899" s="12" t="s">
        <v>3790</v>
      </c>
      <c r="Q899" s="12"/>
      <c r="R899" s="12" t="s">
        <v>1545</v>
      </c>
      <c r="S899" s="12" t="s">
        <v>15</v>
      </c>
      <c r="T899" s="13">
        <v>44648</v>
      </c>
      <c r="U899" s="12" t="str">
        <f t="shared" ref="U899:U962" si="59">IF(AND(J899="Corrective Action Required",R899="Corrected"),"Corrected", IF(AND(J899="Corrective Action Required",R899&lt;&gt;"Corrected"),R899,J899))</f>
        <v>Not Started</v>
      </c>
      <c r="V899" s="12" t="str">
        <f t="shared" si="56"/>
        <v>FIRDUS Ahmad</v>
      </c>
      <c r="W899" s="13" t="str">
        <f t="shared" si="57"/>
        <v/>
      </c>
    </row>
    <row r="900" spans="1:23" x14ac:dyDescent="0.3">
      <c r="A900" s="28">
        <v>44649</v>
      </c>
      <c r="B900" s="12" t="s">
        <v>3589</v>
      </c>
      <c r="C900" s="12" t="s">
        <v>1542</v>
      </c>
      <c r="D900" s="5"/>
      <c r="E900" s="12">
        <v>401</v>
      </c>
      <c r="F900" s="11" t="s">
        <v>3648</v>
      </c>
      <c r="G900" s="12" t="s">
        <v>7</v>
      </c>
      <c r="H900" s="12" t="s">
        <v>14</v>
      </c>
      <c r="I900" s="11" t="s">
        <v>4094</v>
      </c>
      <c r="J900" s="12" t="s">
        <v>1574</v>
      </c>
      <c r="K900" s="12" t="str">
        <f t="shared" si="58"/>
        <v>Closed</v>
      </c>
      <c r="L900" s="13">
        <v>44691</v>
      </c>
      <c r="M900" s="12"/>
      <c r="N900" s="12" t="s">
        <v>4427</v>
      </c>
      <c r="O900" s="12"/>
      <c r="P900" s="12" t="s">
        <v>3790</v>
      </c>
      <c r="Q900" s="12"/>
      <c r="R900" s="12" t="s">
        <v>1545</v>
      </c>
      <c r="S900" s="12" t="s">
        <v>15</v>
      </c>
      <c r="T900" s="25">
        <v>44648</v>
      </c>
      <c r="U900" s="12" t="str">
        <f t="shared" si="59"/>
        <v>NFF</v>
      </c>
      <c r="V900" s="12" t="str">
        <f t="shared" si="56"/>
        <v>GUAN Jialin</v>
      </c>
      <c r="W900" s="13">
        <f t="shared" si="57"/>
        <v>44691</v>
      </c>
    </row>
    <row r="901" spans="1:23" x14ac:dyDescent="0.3">
      <c r="A901" s="28">
        <v>44649</v>
      </c>
      <c r="B901" s="12" t="s">
        <v>3590</v>
      </c>
      <c r="C901" s="12" t="s">
        <v>1542</v>
      </c>
      <c r="D901" s="5"/>
      <c r="E901" s="12">
        <v>411</v>
      </c>
      <c r="F901" s="11" t="s">
        <v>3649</v>
      </c>
      <c r="G901" s="12" t="s">
        <v>7</v>
      </c>
      <c r="H901" s="12" t="s">
        <v>19</v>
      </c>
      <c r="I901" s="11" t="s">
        <v>3671</v>
      </c>
      <c r="J901" s="12" t="s">
        <v>1609</v>
      </c>
      <c r="K901" s="12" t="str">
        <f t="shared" si="58"/>
        <v>Open</v>
      </c>
      <c r="L901" s="13"/>
      <c r="M901" s="12"/>
      <c r="N901" s="12"/>
      <c r="O901" s="12"/>
      <c r="P901" s="12" t="s">
        <v>3790</v>
      </c>
      <c r="Q901" s="12"/>
      <c r="R901" s="12" t="s">
        <v>3566</v>
      </c>
      <c r="S901" s="12" t="s">
        <v>19</v>
      </c>
      <c r="T901" s="13"/>
      <c r="U901" s="12" t="str">
        <f t="shared" si="59"/>
        <v>CM Open</v>
      </c>
      <c r="V901" s="12" t="str">
        <f t="shared" si="56"/>
        <v>DAOUDI Mohamed</v>
      </c>
      <c r="W901" s="13" t="str">
        <f t="shared" si="57"/>
        <v/>
      </c>
    </row>
    <row r="902" spans="1:23" x14ac:dyDescent="0.3">
      <c r="A902" s="28">
        <v>44649</v>
      </c>
      <c r="B902" s="12" t="s">
        <v>3591</v>
      </c>
      <c r="C902" s="12" t="s">
        <v>1542</v>
      </c>
      <c r="D902" s="5"/>
      <c r="E902" s="12">
        <v>411</v>
      </c>
      <c r="F902" s="11" t="s">
        <v>3650</v>
      </c>
      <c r="G902" s="12" t="s">
        <v>7</v>
      </c>
      <c r="H902" s="12" t="s">
        <v>14</v>
      </c>
      <c r="I902" s="11"/>
      <c r="J902" s="12" t="s">
        <v>1574</v>
      </c>
      <c r="K902" s="12" t="str">
        <f t="shared" si="58"/>
        <v>Closed</v>
      </c>
      <c r="L902" s="13">
        <v>44669</v>
      </c>
      <c r="M902" s="12"/>
      <c r="N902" s="12"/>
      <c r="O902" s="12"/>
      <c r="P902" s="12" t="s">
        <v>3790</v>
      </c>
      <c r="Q902" s="12"/>
      <c r="R902" s="12"/>
      <c r="S902" s="12"/>
      <c r="T902" s="13" t="s">
        <v>1547</v>
      </c>
      <c r="U902" s="12" t="str">
        <f t="shared" si="59"/>
        <v>NFF</v>
      </c>
      <c r="V902" s="12" t="str">
        <f t="shared" si="56"/>
        <v>GUAN Jialin</v>
      </c>
      <c r="W902" s="13">
        <f t="shared" si="57"/>
        <v>44669</v>
      </c>
    </row>
    <row r="903" spans="1:23" x14ac:dyDescent="0.3">
      <c r="A903" s="28">
        <v>44649</v>
      </c>
      <c r="B903" s="12" t="s">
        <v>3592</v>
      </c>
      <c r="C903" s="12" t="s">
        <v>1542</v>
      </c>
      <c r="D903" s="5"/>
      <c r="E903" s="12">
        <v>412</v>
      </c>
      <c r="F903" s="11" t="s">
        <v>3651</v>
      </c>
      <c r="G903" s="12" t="s">
        <v>7</v>
      </c>
      <c r="H903" s="12" t="s">
        <v>19</v>
      </c>
      <c r="I903" s="11" t="s">
        <v>3671</v>
      </c>
      <c r="J903" s="12" t="s">
        <v>1609</v>
      </c>
      <c r="K903" s="12" t="str">
        <f t="shared" si="58"/>
        <v>Open</v>
      </c>
      <c r="L903" s="13"/>
      <c r="M903" s="12"/>
      <c r="N903" s="12"/>
      <c r="O903" s="12"/>
      <c r="P903" s="12" t="s">
        <v>3790</v>
      </c>
      <c r="Q903" s="12"/>
      <c r="R903" s="12" t="s">
        <v>3566</v>
      </c>
      <c r="S903" s="12" t="s">
        <v>19</v>
      </c>
      <c r="T903" s="13" t="s">
        <v>1547</v>
      </c>
      <c r="U903" s="12" t="str">
        <f t="shared" si="59"/>
        <v>CM Open</v>
      </c>
      <c r="V903" s="12" t="str">
        <f t="shared" si="56"/>
        <v>DAOUDI Mohamed</v>
      </c>
      <c r="W903" s="13" t="str">
        <f t="shared" si="57"/>
        <v/>
      </c>
    </row>
    <row r="904" spans="1:23" ht="28.8" customHeight="1" x14ac:dyDescent="0.3">
      <c r="A904" s="28">
        <v>44649</v>
      </c>
      <c r="B904" s="12" t="s">
        <v>3593</v>
      </c>
      <c r="C904" s="12" t="s">
        <v>1542</v>
      </c>
      <c r="D904" s="5"/>
      <c r="E904" s="12">
        <v>412</v>
      </c>
      <c r="F904" s="11" t="s">
        <v>3652</v>
      </c>
      <c r="G904" s="12" t="s">
        <v>7</v>
      </c>
      <c r="H904" s="12" t="s">
        <v>14</v>
      </c>
      <c r="I904" s="11"/>
      <c r="J904" s="12" t="s">
        <v>1574</v>
      </c>
      <c r="K904" s="12" t="str">
        <f t="shared" si="58"/>
        <v>Closed</v>
      </c>
      <c r="L904" s="13">
        <v>44690</v>
      </c>
      <c r="M904" s="12"/>
      <c r="N904" s="12"/>
      <c r="O904" s="12"/>
      <c r="P904" s="12" t="s">
        <v>3790</v>
      </c>
      <c r="Q904" s="12"/>
      <c r="R904" s="12"/>
      <c r="S904" s="12"/>
      <c r="T904" s="13" t="s">
        <v>1547</v>
      </c>
      <c r="U904" s="12" t="str">
        <f t="shared" si="59"/>
        <v>NFF</v>
      </c>
      <c r="V904" s="12" t="str">
        <f t="shared" si="56"/>
        <v>GUAN Jialin</v>
      </c>
      <c r="W904" s="13">
        <f t="shared" si="57"/>
        <v>44690</v>
      </c>
    </row>
    <row r="905" spans="1:23" ht="28.8" customHeight="1" x14ac:dyDescent="0.3">
      <c r="A905" s="28">
        <v>44649</v>
      </c>
      <c r="B905" s="12" t="s">
        <v>3594</v>
      </c>
      <c r="C905" s="12" t="s">
        <v>1542</v>
      </c>
      <c r="D905" s="5"/>
      <c r="E905" s="12">
        <v>604</v>
      </c>
      <c r="F905" s="11" t="s">
        <v>3653</v>
      </c>
      <c r="G905" s="12" t="s">
        <v>7</v>
      </c>
      <c r="H905" s="12" t="s">
        <v>19</v>
      </c>
      <c r="I905" s="11" t="s">
        <v>3671</v>
      </c>
      <c r="J905" s="12" t="s">
        <v>1609</v>
      </c>
      <c r="K905" s="12" t="str">
        <f t="shared" si="58"/>
        <v>Open</v>
      </c>
      <c r="L905" s="13"/>
      <c r="M905" s="12"/>
      <c r="N905" s="12"/>
      <c r="O905" s="12"/>
      <c r="P905" s="12" t="s">
        <v>3790</v>
      </c>
      <c r="Q905" s="12"/>
      <c r="R905" s="12" t="s">
        <v>3566</v>
      </c>
      <c r="S905" s="12" t="s">
        <v>19</v>
      </c>
      <c r="T905" s="13" t="s">
        <v>1547</v>
      </c>
      <c r="U905" s="12" t="str">
        <f t="shared" si="59"/>
        <v>CM Open</v>
      </c>
      <c r="V905" s="12" t="str">
        <f t="shared" si="56"/>
        <v>DAOUDI Mohamed</v>
      </c>
      <c r="W905" s="13" t="str">
        <f t="shared" si="57"/>
        <v/>
      </c>
    </row>
    <row r="906" spans="1:23" ht="14.4" customHeight="1" x14ac:dyDescent="0.3">
      <c r="A906" s="28">
        <v>44649</v>
      </c>
      <c r="B906" s="12" t="s">
        <v>3595</v>
      </c>
      <c r="C906" s="12" t="s">
        <v>1542</v>
      </c>
      <c r="D906" s="5"/>
      <c r="E906" s="12">
        <v>608</v>
      </c>
      <c r="F906" s="11" t="s">
        <v>3654</v>
      </c>
      <c r="G906" s="12" t="s">
        <v>7</v>
      </c>
      <c r="H906" s="12" t="s">
        <v>18</v>
      </c>
      <c r="I906" s="11"/>
      <c r="J906" s="12" t="s">
        <v>1582</v>
      </c>
      <c r="K906" s="12" t="str">
        <f t="shared" si="58"/>
        <v>Open</v>
      </c>
      <c r="L906" s="13"/>
      <c r="M906" s="12"/>
      <c r="N906" s="12"/>
      <c r="O906" s="12"/>
      <c r="P906" s="12" t="s">
        <v>3790</v>
      </c>
      <c r="Q906" s="12"/>
      <c r="R906" s="12"/>
      <c r="S906" s="12"/>
      <c r="T906" s="13" t="s">
        <v>1547</v>
      </c>
      <c r="U906" s="12" t="str">
        <f t="shared" si="59"/>
        <v>Not Started</v>
      </c>
      <c r="V906" s="12" t="str">
        <f t="shared" si="56"/>
        <v>BENAYED Elie</v>
      </c>
      <c r="W906" s="13" t="str">
        <f t="shared" si="57"/>
        <v/>
      </c>
    </row>
    <row r="907" spans="1:23" ht="14.4" customHeight="1" x14ac:dyDescent="0.3">
      <c r="A907" s="28">
        <v>44649</v>
      </c>
      <c r="B907" s="12" t="s">
        <v>3596</v>
      </c>
      <c r="C907" s="12" t="s">
        <v>1542</v>
      </c>
      <c r="D907" s="5"/>
      <c r="E907" s="12">
        <v>608</v>
      </c>
      <c r="F907" s="11" t="s">
        <v>3655</v>
      </c>
      <c r="G907" s="12" t="s">
        <v>7</v>
      </c>
      <c r="H907" s="12" t="s">
        <v>14</v>
      </c>
      <c r="I907" s="11" t="s">
        <v>3820</v>
      </c>
      <c r="J907" s="12" t="s">
        <v>1574</v>
      </c>
      <c r="K907" s="12" t="str">
        <f t="shared" si="58"/>
        <v>Closed</v>
      </c>
      <c r="L907" s="13">
        <v>44664</v>
      </c>
      <c r="M907" s="12"/>
      <c r="N907" s="12" t="s">
        <v>4427</v>
      </c>
      <c r="O907" s="12" t="s">
        <v>3371</v>
      </c>
      <c r="P907" s="12" t="s">
        <v>3790</v>
      </c>
      <c r="Q907" s="12"/>
      <c r="R907" s="12"/>
      <c r="S907" s="12"/>
      <c r="T907" s="13" t="s">
        <v>1547</v>
      </c>
      <c r="U907" s="12" t="str">
        <f t="shared" si="59"/>
        <v>NFF</v>
      </c>
      <c r="V907" s="12" t="str">
        <f t="shared" si="56"/>
        <v>GUAN Jialin</v>
      </c>
      <c r="W907" s="13">
        <f t="shared" si="57"/>
        <v>44664</v>
      </c>
    </row>
    <row r="908" spans="1:23" ht="14.4" customHeight="1" x14ac:dyDescent="0.3">
      <c r="A908" s="28">
        <v>44649</v>
      </c>
      <c r="B908" s="12" t="s">
        <v>3607</v>
      </c>
      <c r="C908" s="12" t="s">
        <v>1703</v>
      </c>
      <c r="D908" s="5"/>
      <c r="E908" s="12">
        <v>624</v>
      </c>
      <c r="F908" s="11" t="s">
        <v>3608</v>
      </c>
      <c r="G908" s="12" t="s">
        <v>7</v>
      </c>
      <c r="H908" s="12" t="s">
        <v>9</v>
      </c>
      <c r="I908" s="11"/>
      <c r="J908" s="12" t="s">
        <v>1609</v>
      </c>
      <c r="K908" s="12" t="str">
        <f t="shared" si="58"/>
        <v>Open</v>
      </c>
      <c r="L908" s="13"/>
      <c r="M908" s="12"/>
      <c r="N908" s="12" t="s">
        <v>2482</v>
      </c>
      <c r="O908" s="12" t="s">
        <v>4021</v>
      </c>
      <c r="P908" s="12" t="s">
        <v>3790</v>
      </c>
      <c r="Q908" s="12"/>
      <c r="R908" s="12" t="s">
        <v>1545</v>
      </c>
      <c r="S908" s="12" t="s">
        <v>6</v>
      </c>
      <c r="T908" s="13">
        <v>44654</v>
      </c>
      <c r="U908" s="12" t="str">
        <f t="shared" si="59"/>
        <v>Corrected</v>
      </c>
      <c r="V908" s="12" t="str">
        <f t="shared" si="56"/>
        <v>MUHAMMAD ALIF BIN ALI</v>
      </c>
      <c r="W908" s="13">
        <f t="shared" si="57"/>
        <v>44654</v>
      </c>
    </row>
    <row r="909" spans="1:23" ht="14.4" customHeight="1" x14ac:dyDescent="0.3">
      <c r="A909" s="28">
        <v>44650</v>
      </c>
      <c r="B909" s="12" t="s">
        <v>3609</v>
      </c>
      <c r="C909" s="12" t="s">
        <v>1542</v>
      </c>
      <c r="D909" s="5"/>
      <c r="E909" s="12">
        <v>605</v>
      </c>
      <c r="F909" s="11" t="s">
        <v>3656</v>
      </c>
      <c r="G909" s="12" t="s">
        <v>7</v>
      </c>
      <c r="H909" s="12" t="s">
        <v>14</v>
      </c>
      <c r="I909" s="11" t="s">
        <v>4095</v>
      </c>
      <c r="J909" s="12" t="s">
        <v>1574</v>
      </c>
      <c r="K909" s="12" t="str">
        <f t="shared" si="58"/>
        <v>Closed</v>
      </c>
      <c r="L909" s="13">
        <v>44691</v>
      </c>
      <c r="M909" s="12"/>
      <c r="N909" s="12" t="s">
        <v>4427</v>
      </c>
      <c r="O909" s="12"/>
      <c r="P909" s="12" t="s">
        <v>3790</v>
      </c>
      <c r="Q909" s="12"/>
      <c r="R909" s="12" t="s">
        <v>1545</v>
      </c>
      <c r="S909" s="12" t="s">
        <v>6</v>
      </c>
      <c r="T909" s="13">
        <v>44654</v>
      </c>
      <c r="U909" s="12" t="str">
        <f t="shared" si="59"/>
        <v>NFF</v>
      </c>
      <c r="V909" s="12" t="str">
        <f t="shared" si="56"/>
        <v>GUAN Jialin</v>
      </c>
      <c r="W909" s="13">
        <f t="shared" si="57"/>
        <v>44691</v>
      </c>
    </row>
    <row r="910" spans="1:23" ht="14.4" customHeight="1" x14ac:dyDescent="0.3">
      <c r="A910" s="28">
        <v>44650</v>
      </c>
      <c r="B910" s="12" t="s">
        <v>3610</v>
      </c>
      <c r="C910" s="12" t="s">
        <v>1542</v>
      </c>
      <c r="D910" s="5"/>
      <c r="E910" s="12">
        <v>621</v>
      </c>
      <c r="F910" s="11" t="s">
        <v>3657</v>
      </c>
      <c r="G910" s="12" t="s">
        <v>7</v>
      </c>
      <c r="H910" s="12" t="s">
        <v>14</v>
      </c>
      <c r="I910" s="11" t="s">
        <v>3907</v>
      </c>
      <c r="J910" s="12" t="s">
        <v>1574</v>
      </c>
      <c r="K910" s="12" t="str">
        <f t="shared" si="58"/>
        <v>Closed</v>
      </c>
      <c r="L910" s="13">
        <v>44669</v>
      </c>
      <c r="M910" s="12"/>
      <c r="N910" s="12"/>
      <c r="O910" s="12"/>
      <c r="P910" s="12" t="s">
        <v>3790</v>
      </c>
      <c r="Q910" s="12"/>
      <c r="R910" s="12"/>
      <c r="S910" s="12"/>
      <c r="T910" s="13" t="s">
        <v>1547</v>
      </c>
      <c r="U910" s="12" t="str">
        <f t="shared" si="59"/>
        <v>NFF</v>
      </c>
      <c r="V910" s="12" t="str">
        <f t="shared" si="56"/>
        <v>GUAN Jialin</v>
      </c>
      <c r="W910" s="13">
        <f t="shared" si="57"/>
        <v>44669</v>
      </c>
    </row>
    <row r="911" spans="1:23" ht="14.4" customHeight="1" x14ac:dyDescent="0.3">
      <c r="A911" s="28">
        <v>44650</v>
      </c>
      <c r="B911" s="12" t="s">
        <v>3613</v>
      </c>
      <c r="C911" s="12" t="s">
        <v>1542</v>
      </c>
      <c r="D911" s="5"/>
      <c r="E911" s="12">
        <v>617</v>
      </c>
      <c r="F911" s="11" t="s">
        <v>3680</v>
      </c>
      <c r="G911" s="12" t="s">
        <v>7</v>
      </c>
      <c r="H911" s="12" t="s">
        <v>14</v>
      </c>
      <c r="I911" s="11" t="s">
        <v>3971</v>
      </c>
      <c r="J911" s="12" t="s">
        <v>1574</v>
      </c>
      <c r="K911" s="12" t="str">
        <f t="shared" si="58"/>
        <v>Closed</v>
      </c>
      <c r="L911" s="13">
        <v>44675</v>
      </c>
      <c r="M911" s="12"/>
      <c r="N911" s="12"/>
      <c r="O911" s="12"/>
      <c r="P911" s="12" t="s">
        <v>3790</v>
      </c>
      <c r="Q911" s="12"/>
      <c r="R911" s="12"/>
      <c r="S911" s="12"/>
      <c r="T911" s="13" t="s">
        <v>1547</v>
      </c>
      <c r="U911" s="12" t="str">
        <f t="shared" si="59"/>
        <v>NFF</v>
      </c>
      <c r="V911" s="12" t="str">
        <f t="shared" si="56"/>
        <v>GUAN Jialin</v>
      </c>
      <c r="W911" s="13">
        <f t="shared" si="57"/>
        <v>44675</v>
      </c>
    </row>
    <row r="912" spans="1:23" x14ac:dyDescent="0.3">
      <c r="A912" s="28">
        <v>44650</v>
      </c>
      <c r="B912" s="12" t="s">
        <v>3614</v>
      </c>
      <c r="C912" s="12" t="s">
        <v>1542</v>
      </c>
      <c r="D912" s="5"/>
      <c r="E912" s="12">
        <v>624</v>
      </c>
      <c r="F912" s="11" t="s">
        <v>3681</v>
      </c>
      <c r="G912" s="12" t="s">
        <v>7</v>
      </c>
      <c r="H912" s="12" t="s">
        <v>19</v>
      </c>
      <c r="I912" s="11"/>
      <c r="J912" s="12" t="s">
        <v>1545</v>
      </c>
      <c r="K912" s="12" t="str">
        <f t="shared" si="58"/>
        <v>Closed</v>
      </c>
      <c r="L912" s="13"/>
      <c r="M912" s="12"/>
      <c r="N912" s="12"/>
      <c r="O912" s="12"/>
      <c r="P912" s="12" t="s">
        <v>3790</v>
      </c>
      <c r="Q912" s="12"/>
      <c r="R912" s="12" t="s">
        <v>1545</v>
      </c>
      <c r="S912" s="12" t="s">
        <v>19</v>
      </c>
      <c r="T912" s="13" t="s">
        <v>1547</v>
      </c>
      <c r="U912" s="12" t="str">
        <f t="shared" si="59"/>
        <v>Corrected</v>
      </c>
      <c r="V912" s="12" t="str">
        <f t="shared" si="56"/>
        <v>DAOUDI Mohamed</v>
      </c>
      <c r="W912" s="13">
        <v>44698</v>
      </c>
    </row>
    <row r="913" spans="1:23" ht="14.4" customHeight="1" x14ac:dyDescent="0.3">
      <c r="A913" s="28">
        <v>44650</v>
      </c>
      <c r="B913" s="12" t="s">
        <v>3615</v>
      </c>
      <c r="C913" s="12" t="s">
        <v>1542</v>
      </c>
      <c r="D913" s="5"/>
      <c r="E913" s="12">
        <v>624</v>
      </c>
      <c r="F913" s="11" t="s">
        <v>3682</v>
      </c>
      <c r="G913" s="12" t="s">
        <v>7</v>
      </c>
      <c r="H913" s="12" t="s">
        <v>14</v>
      </c>
      <c r="I913" s="11"/>
      <c r="J913" s="12" t="s">
        <v>1574</v>
      </c>
      <c r="K913" s="12" t="str">
        <f t="shared" si="58"/>
        <v>Closed</v>
      </c>
      <c r="L913" s="13">
        <v>44678</v>
      </c>
      <c r="M913" s="12"/>
      <c r="N913" s="12"/>
      <c r="O913" s="12"/>
      <c r="P913" s="12" t="s">
        <v>3790</v>
      </c>
      <c r="Q913" s="12"/>
      <c r="R913" s="12"/>
      <c r="S913" s="12"/>
      <c r="T913" s="13" t="s">
        <v>1547</v>
      </c>
      <c r="U913" s="12" t="str">
        <f t="shared" si="59"/>
        <v>NFF</v>
      </c>
      <c r="V913" s="12" t="str">
        <f t="shared" si="56"/>
        <v>GUAN Jialin</v>
      </c>
      <c r="W913" s="13">
        <f t="shared" si="57"/>
        <v>44678</v>
      </c>
    </row>
    <row r="914" spans="1:23" ht="14.4" customHeight="1" x14ac:dyDescent="0.3">
      <c r="A914" s="28">
        <v>44651</v>
      </c>
      <c r="B914" s="12" t="s">
        <v>3629</v>
      </c>
      <c r="C914" s="12" t="s">
        <v>1703</v>
      </c>
      <c r="D914" s="5"/>
      <c r="E914" s="12">
        <v>418</v>
      </c>
      <c r="F914" s="11" t="s">
        <v>3630</v>
      </c>
      <c r="G914" s="12" t="s">
        <v>7</v>
      </c>
      <c r="H914" s="12" t="s">
        <v>19</v>
      </c>
      <c r="I914" s="11" t="s">
        <v>3631</v>
      </c>
      <c r="J914" s="12" t="s">
        <v>1609</v>
      </c>
      <c r="K914" s="12" t="str">
        <f t="shared" si="58"/>
        <v>Open</v>
      </c>
      <c r="L914" s="13"/>
      <c r="M914" s="12"/>
      <c r="N914" s="12"/>
      <c r="O914" s="12" t="s">
        <v>1675</v>
      </c>
      <c r="P914" s="12" t="s">
        <v>3790</v>
      </c>
      <c r="Q914" s="12"/>
      <c r="R914" s="12" t="s">
        <v>1545</v>
      </c>
      <c r="S914" s="12" t="s">
        <v>16</v>
      </c>
      <c r="T914" s="13">
        <v>44654</v>
      </c>
      <c r="U914" s="12" t="str">
        <f t="shared" si="59"/>
        <v>Corrected</v>
      </c>
      <c r="V914" s="12" t="str">
        <f t="shared" si="56"/>
        <v>BRAO-DIGOR Robert</v>
      </c>
      <c r="W914" s="13">
        <f t="shared" si="57"/>
        <v>44654</v>
      </c>
    </row>
    <row r="915" spans="1:23" ht="14.4" customHeight="1" x14ac:dyDescent="0.3">
      <c r="A915" s="28">
        <v>44651</v>
      </c>
      <c r="B915" s="12" t="s">
        <v>3632</v>
      </c>
      <c r="C915" s="12" t="s">
        <v>1703</v>
      </c>
      <c r="D915" s="5"/>
      <c r="E915" s="12">
        <v>624</v>
      </c>
      <c r="F915" s="11" t="s">
        <v>3664</v>
      </c>
      <c r="G915" s="12" t="s">
        <v>7</v>
      </c>
      <c r="H915" s="12" t="s">
        <v>19</v>
      </c>
      <c r="I915" s="11" t="s">
        <v>3631</v>
      </c>
      <c r="J915" s="12" t="s">
        <v>1609</v>
      </c>
      <c r="K915" s="12" t="str">
        <f t="shared" si="58"/>
        <v>Open</v>
      </c>
      <c r="L915" s="13"/>
      <c r="M915" s="12"/>
      <c r="N915" s="12"/>
      <c r="O915" s="12" t="s">
        <v>1675</v>
      </c>
      <c r="P915" s="12" t="s">
        <v>3790</v>
      </c>
      <c r="Q915" s="12"/>
      <c r="R915" s="12" t="s">
        <v>1545</v>
      </c>
      <c r="S915" s="12" t="s">
        <v>16</v>
      </c>
      <c r="T915" s="13">
        <v>44654</v>
      </c>
      <c r="U915" s="12" t="str">
        <f t="shared" si="59"/>
        <v>Corrected</v>
      </c>
      <c r="V915" s="12" t="s">
        <v>16</v>
      </c>
      <c r="W915" s="13">
        <v>44654</v>
      </c>
    </row>
    <row r="916" spans="1:23" ht="14.4" customHeight="1" x14ac:dyDescent="0.3">
      <c r="A916" s="28">
        <v>44654</v>
      </c>
      <c r="B916" s="12" t="s">
        <v>3660</v>
      </c>
      <c r="C916" s="12" t="s">
        <v>1703</v>
      </c>
      <c r="D916" s="5"/>
      <c r="E916" s="12">
        <v>409</v>
      </c>
      <c r="F916" s="11" t="s">
        <v>3661</v>
      </c>
      <c r="G916" s="12" t="s">
        <v>7</v>
      </c>
      <c r="H916" s="12" t="s">
        <v>11</v>
      </c>
      <c r="I916" s="11" t="s">
        <v>3752</v>
      </c>
      <c r="J916" s="12" t="s">
        <v>1545</v>
      </c>
      <c r="K916" s="12" t="str">
        <f t="shared" si="58"/>
        <v>Closed</v>
      </c>
      <c r="L916" s="13">
        <v>44661</v>
      </c>
      <c r="M916" s="12"/>
      <c r="N916" s="12" t="s">
        <v>3465</v>
      </c>
      <c r="O916" s="12" t="s">
        <v>4021</v>
      </c>
      <c r="P916" s="12" t="s">
        <v>3790</v>
      </c>
      <c r="Q916" s="12"/>
      <c r="R916" s="12" t="s">
        <v>1545</v>
      </c>
      <c r="S916" s="12" t="s">
        <v>16</v>
      </c>
      <c r="T916" s="13">
        <v>44654</v>
      </c>
      <c r="U916" s="12" t="str">
        <f t="shared" si="59"/>
        <v>Corrected</v>
      </c>
      <c r="V916" s="12" t="str">
        <f t="shared" si="56"/>
        <v>FIRDUS Ahmad</v>
      </c>
      <c r="W916" s="13">
        <f t="shared" si="57"/>
        <v>44661</v>
      </c>
    </row>
    <row r="917" spans="1:23" ht="14.4" customHeight="1" x14ac:dyDescent="0.3">
      <c r="A917" s="28">
        <v>44654</v>
      </c>
      <c r="B917" s="12" t="s">
        <v>3665</v>
      </c>
      <c r="C917" s="12" t="s">
        <v>1703</v>
      </c>
      <c r="D917" s="5"/>
      <c r="E917" s="12">
        <v>617</v>
      </c>
      <c r="F917" s="11" t="s">
        <v>3664</v>
      </c>
      <c r="G917" s="12" t="s">
        <v>7</v>
      </c>
      <c r="H917" s="12" t="s">
        <v>19</v>
      </c>
      <c r="I917" s="11" t="s">
        <v>3631</v>
      </c>
      <c r="J917" s="12" t="s">
        <v>1609</v>
      </c>
      <c r="K917" s="12" t="str">
        <f t="shared" si="58"/>
        <v>Open</v>
      </c>
      <c r="L917" s="13"/>
      <c r="M917" s="12"/>
      <c r="N917" s="12"/>
      <c r="O917" s="12" t="s">
        <v>1675</v>
      </c>
      <c r="P917" s="12" t="s">
        <v>3790</v>
      </c>
      <c r="Q917" s="12"/>
      <c r="R917" s="12" t="s">
        <v>1545</v>
      </c>
      <c r="S917" s="12" t="s">
        <v>16</v>
      </c>
      <c r="T917" s="13">
        <v>44654</v>
      </c>
      <c r="U917" s="12" t="str">
        <f t="shared" si="59"/>
        <v>Corrected</v>
      </c>
      <c r="V917" s="12" t="str">
        <f t="shared" si="56"/>
        <v>BRAO-DIGOR Robert</v>
      </c>
      <c r="W917" s="13">
        <f t="shared" si="57"/>
        <v>44654</v>
      </c>
    </row>
    <row r="918" spans="1:23" ht="14.4" customHeight="1" x14ac:dyDescent="0.3">
      <c r="A918" s="28">
        <v>44655</v>
      </c>
      <c r="B918" s="12" t="s">
        <v>3672</v>
      </c>
      <c r="C918" s="12" t="s">
        <v>1542</v>
      </c>
      <c r="D918" s="5"/>
      <c r="E918" s="12">
        <v>615</v>
      </c>
      <c r="F918" s="11" t="s">
        <v>3685</v>
      </c>
      <c r="G918" s="12" t="s">
        <v>7</v>
      </c>
      <c r="H918" s="12" t="s">
        <v>14</v>
      </c>
      <c r="I918" s="11" t="s">
        <v>4022</v>
      </c>
      <c r="J918" s="12" t="s">
        <v>1574</v>
      </c>
      <c r="K918" s="12" t="str">
        <f t="shared" si="58"/>
        <v>Closed</v>
      </c>
      <c r="L918" s="13">
        <v>44689</v>
      </c>
      <c r="M918" s="12"/>
      <c r="N918" s="12"/>
      <c r="O918" s="12"/>
      <c r="P918" s="12" t="s">
        <v>3790</v>
      </c>
      <c r="Q918" s="12"/>
      <c r="R918" s="12"/>
      <c r="S918" s="12"/>
      <c r="T918" s="13" t="s">
        <v>1547</v>
      </c>
      <c r="U918" s="12" t="str">
        <f t="shared" si="59"/>
        <v>NFF</v>
      </c>
      <c r="V918" s="12" t="str">
        <f t="shared" si="56"/>
        <v>GUAN Jialin</v>
      </c>
      <c r="W918" s="13">
        <f t="shared" si="57"/>
        <v>44689</v>
      </c>
    </row>
    <row r="919" spans="1:23" ht="28.8" customHeight="1" x14ac:dyDescent="0.3">
      <c r="A919" s="28">
        <v>44656</v>
      </c>
      <c r="B919" s="12" t="s">
        <v>3674</v>
      </c>
      <c r="C919" s="12" t="s">
        <v>1703</v>
      </c>
      <c r="D919" s="5"/>
      <c r="E919" s="12">
        <v>417</v>
      </c>
      <c r="F919" s="11" t="s">
        <v>3675</v>
      </c>
      <c r="G919" s="12" t="s">
        <v>7</v>
      </c>
      <c r="H919" s="12" t="s">
        <v>18</v>
      </c>
      <c r="I919" s="11" t="s">
        <v>4331</v>
      </c>
      <c r="J919" s="12" t="s">
        <v>1545</v>
      </c>
      <c r="K919" s="12" t="str">
        <f t="shared" si="58"/>
        <v>Closed</v>
      </c>
      <c r="L919" s="13">
        <v>44656</v>
      </c>
      <c r="M919" s="12"/>
      <c r="N919" s="12" t="s">
        <v>2683</v>
      </c>
      <c r="O919" s="12" t="s">
        <v>4023</v>
      </c>
      <c r="P919" s="12" t="s">
        <v>3790</v>
      </c>
      <c r="Q919" s="12"/>
      <c r="R919" s="12"/>
      <c r="S919" s="12"/>
      <c r="T919" s="13" t="s">
        <v>1547</v>
      </c>
      <c r="U919" s="12" t="str">
        <f t="shared" si="59"/>
        <v>Corrected</v>
      </c>
      <c r="V919" s="12" t="str">
        <f t="shared" si="56"/>
        <v>BENAYED Elie</v>
      </c>
      <c r="W919" s="13">
        <f t="shared" si="57"/>
        <v>44656</v>
      </c>
    </row>
    <row r="920" spans="1:23" x14ac:dyDescent="0.3">
      <c r="A920" s="28">
        <v>44656</v>
      </c>
      <c r="B920" s="12" t="s">
        <v>3687</v>
      </c>
      <c r="C920" s="12" t="s">
        <v>1542</v>
      </c>
      <c r="D920" s="5"/>
      <c r="E920" s="12">
        <v>406</v>
      </c>
      <c r="F920" s="11" t="s">
        <v>3688</v>
      </c>
      <c r="G920" s="12" t="s">
        <v>7</v>
      </c>
      <c r="H920" s="12" t="s">
        <v>11</v>
      </c>
      <c r="I920" s="11"/>
      <c r="J920" s="12" t="s">
        <v>1582</v>
      </c>
      <c r="K920" s="12" t="str">
        <f t="shared" si="58"/>
        <v>Open</v>
      </c>
      <c r="L920" s="13"/>
      <c r="M920" s="12"/>
      <c r="N920" s="12"/>
      <c r="O920" s="12"/>
      <c r="P920" s="12" t="s">
        <v>3790</v>
      </c>
      <c r="Q920" s="12"/>
      <c r="R920" s="12"/>
      <c r="S920" s="12"/>
      <c r="T920" s="13" t="s">
        <v>1547</v>
      </c>
      <c r="U920" s="12" t="str">
        <f t="shared" si="59"/>
        <v>Not Started</v>
      </c>
      <c r="V920" s="12" t="str">
        <f t="shared" si="56"/>
        <v>FIRDUS Ahmad</v>
      </c>
      <c r="W920" s="13" t="str">
        <f t="shared" si="57"/>
        <v/>
      </c>
    </row>
    <row r="921" spans="1:23" x14ac:dyDescent="0.3">
      <c r="A921" s="28">
        <v>44656</v>
      </c>
      <c r="B921" s="12" t="s">
        <v>3689</v>
      </c>
      <c r="C921" s="12" t="s">
        <v>1542</v>
      </c>
      <c r="D921" s="5"/>
      <c r="E921" s="12">
        <v>410</v>
      </c>
      <c r="F921" s="11" t="s">
        <v>3690</v>
      </c>
      <c r="G921" s="12" t="s">
        <v>7</v>
      </c>
      <c r="H921" s="12" t="s">
        <v>19</v>
      </c>
      <c r="I921" s="11"/>
      <c r="J921" s="12" t="s">
        <v>1545</v>
      </c>
      <c r="K921" s="12" t="str">
        <f t="shared" si="58"/>
        <v>Closed</v>
      </c>
      <c r="L921" s="13">
        <v>44658</v>
      </c>
      <c r="M921" s="12"/>
      <c r="N921" s="12" t="s">
        <v>2482</v>
      </c>
      <c r="O921" s="12" t="s">
        <v>4021</v>
      </c>
      <c r="P921" s="12" t="s">
        <v>3790</v>
      </c>
      <c r="Q921" s="12"/>
      <c r="R921" s="12"/>
      <c r="S921" s="12"/>
      <c r="T921" s="13" t="s">
        <v>1547</v>
      </c>
      <c r="U921" s="12" t="str">
        <f t="shared" si="59"/>
        <v>Corrected</v>
      </c>
      <c r="V921" s="12" t="str">
        <f t="shared" si="56"/>
        <v>DAOUDI Mohamed</v>
      </c>
      <c r="W921" s="13">
        <f t="shared" si="57"/>
        <v>44658</v>
      </c>
    </row>
    <row r="922" spans="1:23" x14ac:dyDescent="0.3">
      <c r="A922" s="28">
        <v>44656</v>
      </c>
      <c r="B922" s="12" t="s">
        <v>3691</v>
      </c>
      <c r="C922" s="12" t="s">
        <v>1542</v>
      </c>
      <c r="D922" s="5"/>
      <c r="E922" s="12">
        <v>413</v>
      </c>
      <c r="F922" s="11" t="s">
        <v>3692</v>
      </c>
      <c r="G922" s="12" t="s">
        <v>7</v>
      </c>
      <c r="H922" s="12" t="s">
        <v>14</v>
      </c>
      <c r="I922" s="11"/>
      <c r="J922" s="12" t="s">
        <v>1574</v>
      </c>
      <c r="K922" s="12" t="str">
        <f t="shared" si="58"/>
        <v>Closed</v>
      </c>
      <c r="L922" s="13">
        <v>44691</v>
      </c>
      <c r="M922" s="12"/>
      <c r="N922" s="12" t="s">
        <v>4427</v>
      </c>
      <c r="O922" s="12"/>
      <c r="P922" s="12" t="s">
        <v>3790</v>
      </c>
      <c r="Q922" s="12"/>
      <c r="R922" s="12"/>
      <c r="S922" s="12"/>
      <c r="T922" s="13" t="s">
        <v>1547</v>
      </c>
      <c r="U922" s="12" t="str">
        <f t="shared" si="59"/>
        <v>NFF</v>
      </c>
      <c r="V922" s="12" t="str">
        <f t="shared" si="56"/>
        <v>GUAN Jialin</v>
      </c>
      <c r="W922" s="13">
        <f t="shared" si="57"/>
        <v>44691</v>
      </c>
    </row>
    <row r="923" spans="1:23" ht="14.4" customHeight="1" x14ac:dyDescent="0.3">
      <c r="A923" s="28">
        <v>44656</v>
      </c>
      <c r="B923" s="12" t="s">
        <v>3693</v>
      </c>
      <c r="C923" s="12" t="s">
        <v>1542</v>
      </c>
      <c r="D923" s="5"/>
      <c r="E923" s="12">
        <v>421</v>
      </c>
      <c r="F923" s="11" t="s">
        <v>3694</v>
      </c>
      <c r="G923" s="12" t="s">
        <v>7</v>
      </c>
      <c r="H923" s="12" t="s">
        <v>14</v>
      </c>
      <c r="I923" s="11"/>
      <c r="J923" s="12" t="s">
        <v>1574</v>
      </c>
      <c r="K923" s="12" t="str">
        <f t="shared" si="58"/>
        <v>Closed</v>
      </c>
      <c r="L923" s="13">
        <v>44691</v>
      </c>
      <c r="M923" s="12"/>
      <c r="N923" s="12" t="s">
        <v>4427</v>
      </c>
      <c r="O923" s="12"/>
      <c r="P923" s="12" t="s">
        <v>3790</v>
      </c>
      <c r="Q923" s="12"/>
      <c r="R923" s="12"/>
      <c r="S923" s="12"/>
      <c r="T923" s="13" t="s">
        <v>1547</v>
      </c>
      <c r="U923" s="12" t="str">
        <f t="shared" si="59"/>
        <v>NFF</v>
      </c>
      <c r="V923" s="12" t="str">
        <f t="shared" si="56"/>
        <v>GUAN Jialin</v>
      </c>
      <c r="W923" s="13">
        <f t="shared" si="57"/>
        <v>44691</v>
      </c>
    </row>
    <row r="924" spans="1:23" ht="14.4" customHeight="1" x14ac:dyDescent="0.3">
      <c r="A924" s="28">
        <v>44657</v>
      </c>
      <c r="B924" s="12" t="s">
        <v>3700</v>
      </c>
      <c r="C924" s="12" t="s">
        <v>1542</v>
      </c>
      <c r="D924" s="5"/>
      <c r="E924" s="12">
        <v>402</v>
      </c>
      <c r="F924" s="11" t="s">
        <v>3701</v>
      </c>
      <c r="G924" s="12" t="s">
        <v>7</v>
      </c>
      <c r="H924" s="12" t="s">
        <v>19</v>
      </c>
      <c r="I924" s="11" t="s">
        <v>4096</v>
      </c>
      <c r="J924" s="12" t="s">
        <v>1609</v>
      </c>
      <c r="K924" s="12" t="str">
        <f t="shared" si="58"/>
        <v>Open</v>
      </c>
      <c r="L924" s="13"/>
      <c r="M924" s="12"/>
      <c r="N924" s="12"/>
      <c r="O924" s="12"/>
      <c r="P924" s="12" t="s">
        <v>3790</v>
      </c>
      <c r="Q924" s="12"/>
      <c r="R924" s="12" t="s">
        <v>3566</v>
      </c>
      <c r="S924" s="12" t="s">
        <v>19</v>
      </c>
      <c r="T924" s="13" t="s">
        <v>1547</v>
      </c>
      <c r="U924" s="12" t="str">
        <f t="shared" si="59"/>
        <v>CM Open</v>
      </c>
      <c r="V924" s="12" t="str">
        <f t="shared" si="56"/>
        <v>DAOUDI Mohamed</v>
      </c>
      <c r="W924" s="13" t="str">
        <f t="shared" si="57"/>
        <v/>
      </c>
    </row>
    <row r="925" spans="1:23" ht="14.4" customHeight="1" x14ac:dyDescent="0.3">
      <c r="A925" s="28">
        <v>44657</v>
      </c>
      <c r="B925" s="12" t="s">
        <v>3702</v>
      </c>
      <c r="C925" s="12" t="s">
        <v>1542</v>
      </c>
      <c r="D925" s="5"/>
      <c r="E925" s="12">
        <v>618</v>
      </c>
      <c r="F925" s="11" t="s">
        <v>3703</v>
      </c>
      <c r="G925" s="12" t="s">
        <v>7</v>
      </c>
      <c r="H925" s="12" t="s">
        <v>19</v>
      </c>
      <c r="I925" s="11"/>
      <c r="J925" s="12" t="s">
        <v>1582</v>
      </c>
      <c r="K925" s="12" t="str">
        <f t="shared" si="58"/>
        <v>Open</v>
      </c>
      <c r="L925" s="13"/>
      <c r="M925" s="12"/>
      <c r="N925" s="12"/>
      <c r="O925" s="12"/>
      <c r="P925" s="12" t="s">
        <v>3790</v>
      </c>
      <c r="Q925" s="12"/>
      <c r="R925" s="12"/>
      <c r="S925" s="12"/>
      <c r="T925" s="13" t="s">
        <v>1547</v>
      </c>
      <c r="U925" s="12" t="str">
        <f t="shared" si="59"/>
        <v>Not Started</v>
      </c>
      <c r="V925" s="12" t="str">
        <f t="shared" si="56"/>
        <v>DAOUDI Mohamed</v>
      </c>
      <c r="W925" s="13" t="str">
        <f t="shared" si="57"/>
        <v/>
      </c>
    </row>
    <row r="926" spans="1:23" ht="14.4" customHeight="1" x14ac:dyDescent="0.3">
      <c r="A926" s="28">
        <v>44657</v>
      </c>
      <c r="B926" s="12" t="s">
        <v>3704</v>
      </c>
      <c r="C926" s="12" t="s">
        <v>1542</v>
      </c>
      <c r="D926" s="5"/>
      <c r="E926" s="12"/>
      <c r="F926" s="11" t="s">
        <v>2705</v>
      </c>
      <c r="G926" s="12"/>
      <c r="H926" s="12"/>
      <c r="I926" s="11"/>
      <c r="J926" s="12" t="s">
        <v>1582</v>
      </c>
      <c r="K926" s="12" t="str">
        <f>IF(J926="Corrected","Closed",IF(J926="NFF","Closed","Open"))</f>
        <v>Open</v>
      </c>
      <c r="L926" s="13"/>
      <c r="M926" s="12"/>
      <c r="N926" s="12"/>
      <c r="O926" s="12"/>
      <c r="P926" s="12" t="s">
        <v>3790</v>
      </c>
      <c r="Q926" s="12"/>
      <c r="R926" s="12"/>
      <c r="S926" s="12"/>
      <c r="T926" s="13" t="s">
        <v>1547</v>
      </c>
      <c r="U926" s="12" t="str">
        <f t="shared" si="59"/>
        <v>Not Started</v>
      </c>
      <c r="V926" s="12">
        <f t="shared" si="56"/>
        <v>0</v>
      </c>
      <c r="W926" s="13" t="str">
        <f t="shared" si="57"/>
        <v/>
      </c>
    </row>
    <row r="927" spans="1:23" ht="14.4" customHeight="1" x14ac:dyDescent="0.3">
      <c r="A927" s="28">
        <v>44657</v>
      </c>
      <c r="B927" s="12" t="s">
        <v>3705</v>
      </c>
      <c r="C927" s="12" t="s">
        <v>1542</v>
      </c>
      <c r="D927" s="5"/>
      <c r="E927" s="12"/>
      <c r="F927" s="11" t="s">
        <v>2705</v>
      </c>
      <c r="G927" s="12"/>
      <c r="H927" s="12"/>
      <c r="I927" s="11"/>
      <c r="J927" s="12" t="s">
        <v>1582</v>
      </c>
      <c r="K927" s="12" t="str">
        <f t="shared" ref="K927:K929" si="60">IF(J927="Corrected","Closed",IF(J927="NFF","Closed","Open"))</f>
        <v>Open</v>
      </c>
      <c r="L927" s="13"/>
      <c r="M927" s="12"/>
      <c r="N927" s="12"/>
      <c r="O927" s="12"/>
      <c r="P927" s="12" t="s">
        <v>3790</v>
      </c>
      <c r="Q927" s="12"/>
      <c r="R927" s="12"/>
      <c r="S927" s="12"/>
      <c r="T927" s="13" t="s">
        <v>1547</v>
      </c>
      <c r="U927" s="12" t="str">
        <f t="shared" si="59"/>
        <v>Not Started</v>
      </c>
      <c r="V927" s="12">
        <f t="shared" si="56"/>
        <v>0</v>
      </c>
      <c r="W927" s="13" t="str">
        <f t="shared" si="57"/>
        <v/>
      </c>
    </row>
    <row r="928" spans="1:23" ht="14.4" customHeight="1" x14ac:dyDescent="0.3">
      <c r="A928" s="28">
        <v>44657</v>
      </c>
      <c r="B928" s="12" t="s">
        <v>3706</v>
      </c>
      <c r="C928" s="12" t="s">
        <v>1542</v>
      </c>
      <c r="D928" s="5"/>
      <c r="E928" s="12">
        <v>613</v>
      </c>
      <c r="F928" s="11" t="s">
        <v>3908</v>
      </c>
      <c r="G928" s="12" t="s">
        <v>7</v>
      </c>
      <c r="H928" s="12" t="s">
        <v>19</v>
      </c>
      <c r="I928" s="11"/>
      <c r="J928" s="12" t="s">
        <v>1582</v>
      </c>
      <c r="K928" s="12" t="str">
        <f t="shared" si="60"/>
        <v>Open</v>
      </c>
      <c r="L928" s="13"/>
      <c r="M928" s="12"/>
      <c r="N928" s="12"/>
      <c r="O928" s="12"/>
      <c r="P928" s="12" t="s">
        <v>3790</v>
      </c>
      <c r="Q928" s="12"/>
      <c r="R928" s="12"/>
      <c r="S928" s="12"/>
      <c r="T928" s="13" t="s">
        <v>1547</v>
      </c>
      <c r="U928" s="12" t="str">
        <f t="shared" si="59"/>
        <v>Not Started</v>
      </c>
      <c r="V928" s="12" t="str">
        <f t="shared" si="56"/>
        <v>DAOUDI Mohamed</v>
      </c>
      <c r="W928" s="13" t="str">
        <f t="shared" si="57"/>
        <v/>
      </c>
    </row>
    <row r="929" spans="1:23" ht="14.4" customHeight="1" x14ac:dyDescent="0.3">
      <c r="A929" s="28">
        <v>44657</v>
      </c>
      <c r="B929" s="12" t="s">
        <v>3708</v>
      </c>
      <c r="C929" s="12" t="s">
        <v>1542</v>
      </c>
      <c r="D929" s="5"/>
      <c r="E929" s="12"/>
      <c r="F929" s="11" t="s">
        <v>2705</v>
      </c>
      <c r="G929" s="12"/>
      <c r="H929" s="12"/>
      <c r="I929" s="11"/>
      <c r="J929" s="12" t="s">
        <v>1582</v>
      </c>
      <c r="K929" s="12" t="str">
        <f t="shared" si="60"/>
        <v>Open</v>
      </c>
      <c r="L929" s="13"/>
      <c r="M929" s="12"/>
      <c r="N929" s="12"/>
      <c r="O929" s="12"/>
      <c r="P929" s="12" t="s">
        <v>3790</v>
      </c>
      <c r="Q929" s="12"/>
      <c r="R929" s="12"/>
      <c r="S929" s="12"/>
      <c r="T929" s="13" t="s">
        <v>1547</v>
      </c>
      <c r="U929" s="12" t="str">
        <f t="shared" si="59"/>
        <v>Not Started</v>
      </c>
      <c r="V929" s="12">
        <f t="shared" si="56"/>
        <v>0</v>
      </c>
      <c r="W929" s="13" t="str">
        <f t="shared" si="57"/>
        <v/>
      </c>
    </row>
    <row r="930" spans="1:23" ht="14.4" customHeight="1" x14ac:dyDescent="0.3">
      <c r="A930" s="28">
        <v>44657</v>
      </c>
      <c r="B930" s="12" t="s">
        <v>3711</v>
      </c>
      <c r="C930" s="12" t="s">
        <v>1690</v>
      </c>
      <c r="D930" s="5"/>
      <c r="E930" s="12">
        <v>403</v>
      </c>
      <c r="F930" s="11" t="s">
        <v>3712</v>
      </c>
      <c r="G930" s="12" t="s">
        <v>7</v>
      </c>
      <c r="H930" s="12" t="s">
        <v>11</v>
      </c>
      <c r="I930" s="11" t="s">
        <v>3752</v>
      </c>
      <c r="J930" s="12" t="s">
        <v>1545</v>
      </c>
      <c r="K930" s="12" t="str">
        <f>IF(J930="Corrected","Closed",IF(J930="NFF","Closed","Open"))</f>
        <v>Closed</v>
      </c>
      <c r="L930" s="13">
        <v>44661</v>
      </c>
      <c r="M930" s="12"/>
      <c r="N930" s="12" t="s">
        <v>2482</v>
      </c>
      <c r="O930" s="12" t="s">
        <v>4021</v>
      </c>
      <c r="P930" s="12" t="s">
        <v>3790</v>
      </c>
      <c r="Q930" s="12"/>
      <c r="R930" s="12"/>
      <c r="S930" s="12"/>
      <c r="T930" s="13" t="s">
        <v>1547</v>
      </c>
      <c r="U930" s="12" t="str">
        <f t="shared" si="59"/>
        <v>Corrected</v>
      </c>
      <c r="V930" s="12" t="str">
        <f t="shared" si="56"/>
        <v>FIRDUS Ahmad</v>
      </c>
      <c r="W930" s="13">
        <f t="shared" si="57"/>
        <v>44661</v>
      </c>
    </row>
    <row r="931" spans="1:23" ht="14.4" customHeight="1" x14ac:dyDescent="0.3">
      <c r="A931" s="28">
        <v>44657</v>
      </c>
      <c r="B931" s="12" t="s">
        <v>3713</v>
      </c>
      <c r="C931" s="12" t="s">
        <v>1690</v>
      </c>
      <c r="D931" s="5"/>
      <c r="E931" s="12">
        <v>404</v>
      </c>
      <c r="F931" s="11" t="s">
        <v>3714</v>
      </c>
      <c r="G931" s="12" t="s">
        <v>7</v>
      </c>
      <c r="H931" s="12" t="s">
        <v>11</v>
      </c>
      <c r="I931" s="11" t="s">
        <v>3752</v>
      </c>
      <c r="J931" s="12" t="s">
        <v>1545</v>
      </c>
      <c r="K931" s="12" t="str">
        <f t="shared" ref="K931:K994" si="61">IF(J931="Corrected","Closed",IF(J931="NFF","Closed","Open"))</f>
        <v>Closed</v>
      </c>
      <c r="L931" s="13">
        <v>44661</v>
      </c>
      <c r="M931" s="12"/>
      <c r="N931" s="12" t="s">
        <v>2482</v>
      </c>
      <c r="O931" s="12" t="s">
        <v>4021</v>
      </c>
      <c r="P931" s="12" t="s">
        <v>3790</v>
      </c>
      <c r="Q931" s="12"/>
      <c r="R931" s="12"/>
      <c r="S931" s="12"/>
      <c r="T931" s="13" t="s">
        <v>1547</v>
      </c>
      <c r="U931" s="12" t="str">
        <f t="shared" si="59"/>
        <v>Corrected</v>
      </c>
      <c r="V931" s="12" t="str">
        <f t="shared" si="56"/>
        <v>FIRDUS Ahmad</v>
      </c>
      <c r="W931" s="13">
        <f t="shared" si="57"/>
        <v>44661</v>
      </c>
    </row>
    <row r="932" spans="1:23" ht="14.4" customHeight="1" x14ac:dyDescent="0.3">
      <c r="A932" s="28">
        <v>44657</v>
      </c>
      <c r="B932" s="12" t="s">
        <v>3715</v>
      </c>
      <c r="C932" s="12" t="s">
        <v>1690</v>
      </c>
      <c r="D932" s="5"/>
      <c r="E932" s="12">
        <v>406</v>
      </c>
      <c r="F932" s="11" t="s">
        <v>3712</v>
      </c>
      <c r="G932" s="12" t="s">
        <v>7</v>
      </c>
      <c r="H932" s="12" t="s">
        <v>11</v>
      </c>
      <c r="I932" s="11" t="s">
        <v>4009</v>
      </c>
      <c r="J932" s="12" t="s">
        <v>1545</v>
      </c>
      <c r="K932" s="12" t="str">
        <f t="shared" si="61"/>
        <v>Closed</v>
      </c>
      <c r="L932" s="13">
        <v>44678</v>
      </c>
      <c r="M932" s="12"/>
      <c r="N932" s="12" t="s">
        <v>2482</v>
      </c>
      <c r="O932" s="12" t="s">
        <v>4021</v>
      </c>
      <c r="P932" s="12" t="s">
        <v>3790</v>
      </c>
      <c r="Q932" s="12"/>
      <c r="R932" s="12"/>
      <c r="S932" s="12"/>
      <c r="T932" s="13" t="s">
        <v>1547</v>
      </c>
      <c r="U932" s="12" t="str">
        <f t="shared" si="59"/>
        <v>Corrected</v>
      </c>
      <c r="V932" s="12" t="str">
        <f t="shared" si="56"/>
        <v>FIRDUS Ahmad</v>
      </c>
      <c r="W932" s="13">
        <f t="shared" si="57"/>
        <v>44678</v>
      </c>
    </row>
    <row r="933" spans="1:23" ht="14.4" customHeight="1" x14ac:dyDescent="0.3">
      <c r="A933" s="28">
        <v>44657</v>
      </c>
      <c r="B933" s="12" t="s">
        <v>3716</v>
      </c>
      <c r="C933" s="12" t="s">
        <v>1690</v>
      </c>
      <c r="D933" s="5"/>
      <c r="E933" s="12">
        <v>413</v>
      </c>
      <c r="F933" s="11" t="s">
        <v>3712</v>
      </c>
      <c r="G933" s="12" t="s">
        <v>7</v>
      </c>
      <c r="H933" s="12" t="s">
        <v>11</v>
      </c>
      <c r="I933" s="11" t="s">
        <v>3792</v>
      </c>
      <c r="J933" s="12" t="s">
        <v>1545</v>
      </c>
      <c r="K933" s="12" t="str">
        <f t="shared" si="61"/>
        <v>Closed</v>
      </c>
      <c r="L933" s="13">
        <v>44663</v>
      </c>
      <c r="M933" s="12"/>
      <c r="N933" s="12" t="s">
        <v>2482</v>
      </c>
      <c r="O933" s="12" t="s">
        <v>4021</v>
      </c>
      <c r="P933" s="12" t="s">
        <v>3790</v>
      </c>
      <c r="Q933" s="12"/>
      <c r="R933" s="12"/>
      <c r="S933" s="12"/>
      <c r="T933" s="13" t="s">
        <v>1547</v>
      </c>
      <c r="U933" s="12" t="str">
        <f t="shared" si="59"/>
        <v>Corrected</v>
      </c>
      <c r="V933" s="12" t="str">
        <f t="shared" si="56"/>
        <v>FIRDUS Ahmad</v>
      </c>
      <c r="W933" s="13">
        <f t="shared" si="57"/>
        <v>44663</v>
      </c>
    </row>
    <row r="934" spans="1:23" ht="14.4" customHeight="1" x14ac:dyDescent="0.3">
      <c r="A934" s="28">
        <v>44657</v>
      </c>
      <c r="B934" s="12" t="s">
        <v>3717</v>
      </c>
      <c r="C934" s="12" t="s">
        <v>1690</v>
      </c>
      <c r="D934" s="5"/>
      <c r="E934" s="12">
        <v>411</v>
      </c>
      <c r="F934" s="11" t="s">
        <v>3712</v>
      </c>
      <c r="G934" s="12" t="s">
        <v>7</v>
      </c>
      <c r="H934" s="12" t="s">
        <v>11</v>
      </c>
      <c r="I934" s="11" t="s">
        <v>3752</v>
      </c>
      <c r="J934" s="12" t="s">
        <v>1545</v>
      </c>
      <c r="K934" s="12" t="str">
        <f t="shared" si="61"/>
        <v>Closed</v>
      </c>
      <c r="L934" s="13">
        <v>44661</v>
      </c>
      <c r="M934" s="12"/>
      <c r="N934" s="12" t="s">
        <v>2482</v>
      </c>
      <c r="O934" s="12" t="s">
        <v>4021</v>
      </c>
      <c r="P934" s="12" t="s">
        <v>3790</v>
      </c>
      <c r="Q934" s="12"/>
      <c r="R934" s="12"/>
      <c r="S934" s="12"/>
      <c r="T934" s="13" t="s">
        <v>1547</v>
      </c>
      <c r="U934" s="12" t="str">
        <f t="shared" si="59"/>
        <v>Corrected</v>
      </c>
      <c r="V934" s="12" t="str">
        <f t="shared" si="56"/>
        <v>FIRDUS Ahmad</v>
      </c>
      <c r="W934" s="13">
        <f t="shared" si="57"/>
        <v>44661</v>
      </c>
    </row>
    <row r="935" spans="1:23" x14ac:dyDescent="0.3">
      <c r="A935" s="28">
        <v>44657</v>
      </c>
      <c r="B935" s="12" t="s">
        <v>3718</v>
      </c>
      <c r="C935" s="12" t="s">
        <v>1690</v>
      </c>
      <c r="D935" s="5"/>
      <c r="E935" s="12">
        <v>622</v>
      </c>
      <c r="F935" s="11" t="s">
        <v>3712</v>
      </c>
      <c r="G935" s="12" t="s">
        <v>7</v>
      </c>
      <c r="H935" s="12" t="s">
        <v>11</v>
      </c>
      <c r="I935" s="11" t="s">
        <v>3753</v>
      </c>
      <c r="J935" s="12" t="s">
        <v>1545</v>
      </c>
      <c r="K935" s="12" t="str">
        <f t="shared" si="61"/>
        <v>Closed</v>
      </c>
      <c r="L935" s="13">
        <v>44661</v>
      </c>
      <c r="M935" s="12"/>
      <c r="N935" s="12" t="s">
        <v>2482</v>
      </c>
      <c r="O935" s="12" t="s">
        <v>4021</v>
      </c>
      <c r="P935" s="12" t="s">
        <v>3790</v>
      </c>
      <c r="Q935" s="12"/>
      <c r="R935" s="12"/>
      <c r="S935" s="12"/>
      <c r="T935" s="13" t="s">
        <v>1547</v>
      </c>
      <c r="U935" s="12" t="str">
        <f t="shared" si="59"/>
        <v>Corrected</v>
      </c>
      <c r="V935" s="12" t="str">
        <f t="shared" si="56"/>
        <v>FIRDUS Ahmad</v>
      </c>
      <c r="W935" s="13">
        <f t="shared" si="57"/>
        <v>44661</v>
      </c>
    </row>
    <row r="936" spans="1:23" ht="14.4" customHeight="1" x14ac:dyDescent="0.3">
      <c r="A936" s="28">
        <v>44657</v>
      </c>
      <c r="B936" s="12" t="s">
        <v>3719</v>
      </c>
      <c r="C936" s="12" t="s">
        <v>1690</v>
      </c>
      <c r="D936" s="5"/>
      <c r="E936" s="12">
        <v>615</v>
      </c>
      <c r="F936" s="11" t="s">
        <v>3712</v>
      </c>
      <c r="G936" s="12" t="s">
        <v>7</v>
      </c>
      <c r="H936" s="12" t="s">
        <v>11</v>
      </c>
      <c r="I936" s="11" t="s">
        <v>3798</v>
      </c>
      <c r="J936" s="12" t="s">
        <v>1545</v>
      </c>
      <c r="K936" s="12" t="str">
        <f t="shared" si="61"/>
        <v>Closed</v>
      </c>
      <c r="L936" s="13">
        <v>44664</v>
      </c>
      <c r="M936" s="12"/>
      <c r="N936" s="12" t="s">
        <v>2482</v>
      </c>
      <c r="O936" s="12" t="s">
        <v>4021</v>
      </c>
      <c r="P936" s="12" t="s">
        <v>3790</v>
      </c>
      <c r="Q936" s="12"/>
      <c r="R936" s="12"/>
      <c r="S936" s="12"/>
      <c r="T936" s="13" t="s">
        <v>1547</v>
      </c>
      <c r="U936" s="12" t="str">
        <f t="shared" si="59"/>
        <v>Corrected</v>
      </c>
      <c r="V936" s="12" t="str">
        <f t="shared" si="56"/>
        <v>FIRDUS Ahmad</v>
      </c>
      <c r="W936" s="13">
        <f t="shared" si="57"/>
        <v>44664</v>
      </c>
    </row>
    <row r="937" spans="1:23" ht="14.4" customHeight="1" x14ac:dyDescent="0.3">
      <c r="A937" s="28">
        <v>44657</v>
      </c>
      <c r="B937" s="12" t="s">
        <v>3720</v>
      </c>
      <c r="C937" s="12" t="s">
        <v>1690</v>
      </c>
      <c r="D937" s="5"/>
      <c r="E937" s="12">
        <v>620</v>
      </c>
      <c r="F937" s="14" t="s">
        <v>4332</v>
      </c>
      <c r="G937" s="12" t="s">
        <v>7</v>
      </c>
      <c r="H937" s="12" t="s">
        <v>11</v>
      </c>
      <c r="I937" s="11" t="s">
        <v>3721</v>
      </c>
      <c r="J937" s="12" t="s">
        <v>1574</v>
      </c>
      <c r="K937" s="12" t="str">
        <f t="shared" si="61"/>
        <v>Closed</v>
      </c>
      <c r="L937" s="13">
        <v>44658</v>
      </c>
      <c r="M937" s="12"/>
      <c r="N937" s="12" t="s">
        <v>2482</v>
      </c>
      <c r="O937" s="12"/>
      <c r="P937" s="12" t="s">
        <v>3790</v>
      </c>
      <c r="Q937" s="12"/>
      <c r="R937" s="12"/>
      <c r="S937" s="12"/>
      <c r="T937" s="13" t="s">
        <v>1547</v>
      </c>
      <c r="U937" s="12" t="str">
        <f t="shared" si="59"/>
        <v>NFF</v>
      </c>
      <c r="V937" s="12" t="str">
        <f t="shared" si="56"/>
        <v>FIRDUS Ahmad</v>
      </c>
      <c r="W937" s="13">
        <f t="shared" si="57"/>
        <v>44658</v>
      </c>
    </row>
    <row r="938" spans="1:23" ht="14.4" customHeight="1" x14ac:dyDescent="0.3">
      <c r="A938" s="28">
        <v>44657</v>
      </c>
      <c r="B938" s="12" t="s">
        <v>3722</v>
      </c>
      <c r="C938" s="12" t="s">
        <v>1690</v>
      </c>
      <c r="D938" s="5"/>
      <c r="E938" s="12">
        <v>411</v>
      </c>
      <c r="F938" s="11" t="s">
        <v>3352</v>
      </c>
      <c r="G938" s="12" t="s">
        <v>1</v>
      </c>
      <c r="H938" s="12" t="s">
        <v>14</v>
      </c>
      <c r="I938" s="11" t="s">
        <v>3776</v>
      </c>
      <c r="J938" s="12" t="s">
        <v>1545</v>
      </c>
      <c r="K938" s="12" t="str">
        <f t="shared" si="61"/>
        <v>Closed</v>
      </c>
      <c r="L938" s="13">
        <v>44662</v>
      </c>
      <c r="M938" s="12"/>
      <c r="N938" s="12" t="s">
        <v>4427</v>
      </c>
      <c r="O938" s="12" t="s">
        <v>4024</v>
      </c>
      <c r="P938" s="12" t="s">
        <v>3790</v>
      </c>
      <c r="Q938" s="12"/>
      <c r="R938" s="12"/>
      <c r="S938" s="12"/>
      <c r="T938" s="13" t="s">
        <v>1547</v>
      </c>
      <c r="U938" s="12" t="str">
        <f t="shared" si="59"/>
        <v>Corrected</v>
      </c>
      <c r="V938" s="12" t="str">
        <f t="shared" si="56"/>
        <v>GUAN Jialin</v>
      </c>
      <c r="W938" s="13">
        <f t="shared" si="57"/>
        <v>44662</v>
      </c>
    </row>
    <row r="939" spans="1:23" ht="14.4" customHeight="1" x14ac:dyDescent="0.3">
      <c r="A939" s="28">
        <v>44657</v>
      </c>
      <c r="B939" s="12" t="s">
        <v>3723</v>
      </c>
      <c r="C939" s="12" t="s">
        <v>1690</v>
      </c>
      <c r="D939" s="5"/>
      <c r="E939" s="12">
        <v>411</v>
      </c>
      <c r="F939" s="11" t="s">
        <v>3724</v>
      </c>
      <c r="G939" s="12" t="s">
        <v>7</v>
      </c>
      <c r="H939" s="12" t="s">
        <v>17</v>
      </c>
      <c r="I939" s="11"/>
      <c r="J939" s="12" t="s">
        <v>1582</v>
      </c>
      <c r="K939" s="12" t="str">
        <f t="shared" si="61"/>
        <v>Open</v>
      </c>
      <c r="L939" s="13"/>
      <c r="M939" s="12"/>
      <c r="N939" s="12"/>
      <c r="O939" s="12"/>
      <c r="P939" s="12" t="s">
        <v>3790</v>
      </c>
      <c r="Q939" s="12"/>
      <c r="R939" s="12"/>
      <c r="S939" s="12"/>
      <c r="T939" s="13" t="s">
        <v>1547</v>
      </c>
      <c r="U939" s="12" t="str">
        <f t="shared" si="59"/>
        <v>Not Started</v>
      </c>
      <c r="V939" s="12" t="str">
        <f t="shared" si="56"/>
        <v>FATHI Charafeddine</v>
      </c>
      <c r="W939" s="13" t="str">
        <f t="shared" si="57"/>
        <v/>
      </c>
    </row>
    <row r="940" spans="1:23" ht="14.4" customHeight="1" x14ac:dyDescent="0.3">
      <c r="A940" s="28">
        <v>44657</v>
      </c>
      <c r="B940" s="12" t="s">
        <v>3725</v>
      </c>
      <c r="C940" s="12" t="s">
        <v>1690</v>
      </c>
      <c r="D940" s="5"/>
      <c r="E940" s="12">
        <v>411</v>
      </c>
      <c r="F940" s="11" t="s">
        <v>3726</v>
      </c>
      <c r="G940" s="12" t="s">
        <v>7</v>
      </c>
      <c r="H940" s="12" t="s">
        <v>19</v>
      </c>
      <c r="I940" s="11"/>
      <c r="J940" s="12" t="s">
        <v>1582</v>
      </c>
      <c r="K940" s="12" t="str">
        <f t="shared" si="61"/>
        <v>Open</v>
      </c>
      <c r="L940" s="13"/>
      <c r="M940" s="12"/>
      <c r="N940" s="12"/>
      <c r="O940" s="12"/>
      <c r="P940" s="12" t="s">
        <v>3790</v>
      </c>
      <c r="Q940" s="12"/>
      <c r="R940" s="12"/>
      <c r="S940" s="12"/>
      <c r="T940" s="13" t="s">
        <v>1547</v>
      </c>
      <c r="U940" s="12" t="str">
        <f t="shared" si="59"/>
        <v>Not Started</v>
      </c>
      <c r="V940" s="12" t="str">
        <f t="shared" si="56"/>
        <v>DAOUDI Mohamed</v>
      </c>
      <c r="W940" s="13" t="str">
        <f t="shared" si="57"/>
        <v/>
      </c>
    </row>
    <row r="941" spans="1:23" ht="14.4" customHeight="1" x14ac:dyDescent="0.3">
      <c r="A941" s="28">
        <v>44657</v>
      </c>
      <c r="B941" s="12" t="s">
        <v>3727</v>
      </c>
      <c r="C941" s="12" t="s">
        <v>1690</v>
      </c>
      <c r="D941" s="5"/>
      <c r="E941" s="12">
        <v>411</v>
      </c>
      <c r="F941" s="11" t="s">
        <v>3728</v>
      </c>
      <c r="G941" s="12" t="s">
        <v>7</v>
      </c>
      <c r="H941" s="12" t="s">
        <v>14</v>
      </c>
      <c r="I941" s="11"/>
      <c r="J941" s="12" t="s">
        <v>1574</v>
      </c>
      <c r="K941" s="12" t="str">
        <f t="shared" si="61"/>
        <v>Closed</v>
      </c>
      <c r="L941" s="13">
        <v>44689</v>
      </c>
      <c r="M941" s="12"/>
      <c r="N941" s="12"/>
      <c r="O941" s="12"/>
      <c r="P941" s="12" t="s">
        <v>3790</v>
      </c>
      <c r="Q941" s="12"/>
      <c r="R941" s="12"/>
      <c r="S941" s="12"/>
      <c r="T941" s="13" t="s">
        <v>1547</v>
      </c>
      <c r="U941" s="12" t="str">
        <f t="shared" si="59"/>
        <v>NFF</v>
      </c>
      <c r="V941" s="12" t="str">
        <f t="shared" si="56"/>
        <v>GUAN Jialin</v>
      </c>
      <c r="W941" s="13">
        <f t="shared" si="57"/>
        <v>44689</v>
      </c>
    </row>
    <row r="942" spans="1:23" ht="14.4" customHeight="1" x14ac:dyDescent="0.3">
      <c r="A942" s="28">
        <v>44657</v>
      </c>
      <c r="B942" s="12" t="s">
        <v>3729</v>
      </c>
      <c r="C942" s="12" t="s">
        <v>1690</v>
      </c>
      <c r="D942" s="5"/>
      <c r="E942" s="12">
        <v>412</v>
      </c>
      <c r="F942" s="11" t="s">
        <v>3730</v>
      </c>
      <c r="G942" s="12" t="s">
        <v>1</v>
      </c>
      <c r="H942" s="12" t="s">
        <v>11</v>
      </c>
      <c r="I942" s="11" t="s">
        <v>3754</v>
      </c>
      <c r="J942" s="12" t="s">
        <v>1609</v>
      </c>
      <c r="K942" s="12" t="str">
        <f t="shared" si="61"/>
        <v>Open</v>
      </c>
      <c r="L942" s="13"/>
      <c r="M942" s="12"/>
      <c r="N942" s="12" t="s">
        <v>2528</v>
      </c>
      <c r="O942" s="12" t="s">
        <v>4025</v>
      </c>
      <c r="P942" s="12" t="s">
        <v>3790</v>
      </c>
      <c r="Q942" s="12"/>
      <c r="R942" s="12" t="s">
        <v>1545</v>
      </c>
      <c r="S942" s="12" t="s">
        <v>3</v>
      </c>
      <c r="T942" s="13">
        <v>44671</v>
      </c>
      <c r="U942" s="12" t="str">
        <f t="shared" si="59"/>
        <v>Corrected</v>
      </c>
      <c r="V942" s="12" t="str">
        <f t="shared" si="56"/>
        <v>SUKIMAN Zamhuri</v>
      </c>
      <c r="W942" s="13">
        <f t="shared" si="57"/>
        <v>44671</v>
      </c>
    </row>
    <row r="943" spans="1:23" ht="14.4" customHeight="1" x14ac:dyDescent="0.3">
      <c r="A943" s="28">
        <v>44657</v>
      </c>
      <c r="B943" s="12" t="s">
        <v>3731</v>
      </c>
      <c r="C943" s="12" t="s">
        <v>1542</v>
      </c>
      <c r="D943" s="5"/>
      <c r="E943" s="12">
        <v>416</v>
      </c>
      <c r="F943" s="11" t="s">
        <v>3690</v>
      </c>
      <c r="G943" s="12" t="s">
        <v>7</v>
      </c>
      <c r="H943" s="12" t="s">
        <v>11</v>
      </c>
      <c r="I943" s="11" t="s">
        <v>3798</v>
      </c>
      <c r="J943" s="12" t="s">
        <v>1545</v>
      </c>
      <c r="K943" s="12" t="str">
        <f t="shared" si="61"/>
        <v>Closed</v>
      </c>
      <c r="L943" s="13">
        <v>44668</v>
      </c>
      <c r="M943" s="12"/>
      <c r="N943" s="12" t="s">
        <v>4429</v>
      </c>
      <c r="O943" s="12" t="s">
        <v>4021</v>
      </c>
      <c r="P943" s="12" t="s">
        <v>3790</v>
      </c>
      <c r="Q943" s="12"/>
      <c r="R943" s="12" t="s">
        <v>3566</v>
      </c>
      <c r="S943" s="12"/>
      <c r="T943" s="13" t="s">
        <v>1547</v>
      </c>
      <c r="U943" s="12" t="str">
        <f t="shared" si="59"/>
        <v>Corrected</v>
      </c>
      <c r="V943" s="12" t="str">
        <f t="shared" si="56"/>
        <v>FIRDUS Ahmad</v>
      </c>
      <c r="W943" s="13">
        <f t="shared" si="57"/>
        <v>44668</v>
      </c>
    </row>
    <row r="944" spans="1:23" ht="14.4" customHeight="1" x14ac:dyDescent="0.3">
      <c r="A944" s="28">
        <v>44657</v>
      </c>
      <c r="B944" s="12" t="s">
        <v>3732</v>
      </c>
      <c r="C944" s="12" t="s">
        <v>1542</v>
      </c>
      <c r="D944" s="5"/>
      <c r="E944" s="12">
        <v>417</v>
      </c>
      <c r="F944" s="11" t="s">
        <v>3733</v>
      </c>
      <c r="G944" s="12" t="s">
        <v>7</v>
      </c>
      <c r="H944" s="12" t="s">
        <v>14</v>
      </c>
      <c r="I944" s="11" t="s">
        <v>3972</v>
      </c>
      <c r="J944" s="12" t="s">
        <v>1545</v>
      </c>
      <c r="K944" s="12" t="str">
        <f t="shared" si="61"/>
        <v>Closed</v>
      </c>
      <c r="L944" s="13">
        <v>44675</v>
      </c>
      <c r="M944" s="12"/>
      <c r="N944" s="12" t="s">
        <v>4427</v>
      </c>
      <c r="O944" s="12" t="s">
        <v>2445</v>
      </c>
      <c r="P944" s="12" t="s">
        <v>3790</v>
      </c>
      <c r="Q944" s="12"/>
      <c r="R944" s="12"/>
      <c r="S944" s="12"/>
      <c r="T944" s="13" t="s">
        <v>1547</v>
      </c>
      <c r="U944" s="12" t="str">
        <f t="shared" si="59"/>
        <v>Corrected</v>
      </c>
      <c r="V944" s="12" t="str">
        <f t="shared" si="56"/>
        <v>GUAN Jialin</v>
      </c>
      <c r="W944" s="13">
        <f t="shared" si="57"/>
        <v>44675</v>
      </c>
    </row>
    <row r="945" spans="1:23" ht="14.4" customHeight="1" x14ac:dyDescent="0.3">
      <c r="A945" s="28">
        <v>44657</v>
      </c>
      <c r="B945" s="12" t="s">
        <v>3734</v>
      </c>
      <c r="C945" s="12" t="s">
        <v>1542</v>
      </c>
      <c r="D945" s="5" t="s">
        <v>1675</v>
      </c>
      <c r="E945" s="12">
        <v>623</v>
      </c>
      <c r="F945" s="11" t="s">
        <v>3735</v>
      </c>
      <c r="G945" s="12" t="s">
        <v>7</v>
      </c>
      <c r="H945" s="12" t="s">
        <v>9</v>
      </c>
      <c r="I945" s="11" t="s">
        <v>3755</v>
      </c>
      <c r="J945" s="12" t="s">
        <v>1545</v>
      </c>
      <c r="K945" s="12" t="str">
        <f t="shared" si="61"/>
        <v>Closed</v>
      </c>
      <c r="L945" s="13">
        <v>44661</v>
      </c>
      <c r="M945" s="12"/>
      <c r="N945" s="12" t="s">
        <v>2482</v>
      </c>
      <c r="O945" s="12" t="s">
        <v>1675</v>
      </c>
      <c r="P945" s="12" t="s">
        <v>3790</v>
      </c>
      <c r="Q945" s="12"/>
      <c r="R945" s="12"/>
      <c r="S945" s="12"/>
      <c r="T945" s="13" t="s">
        <v>1547</v>
      </c>
      <c r="U945" s="12" t="str">
        <f t="shared" si="59"/>
        <v>Corrected</v>
      </c>
      <c r="V945" s="12" t="str">
        <f t="shared" si="56"/>
        <v>KHAN Jahan</v>
      </c>
      <c r="W945" s="13">
        <f t="shared" si="57"/>
        <v>44661</v>
      </c>
    </row>
    <row r="946" spans="1:23" ht="14.4" customHeight="1" x14ac:dyDescent="0.3">
      <c r="A946" s="28">
        <v>44657</v>
      </c>
      <c r="B946" s="12" t="s">
        <v>3736</v>
      </c>
      <c r="C946" s="12" t="s">
        <v>1542</v>
      </c>
      <c r="D946" s="5"/>
      <c r="E946" s="12">
        <v>626</v>
      </c>
      <c r="F946" s="11" t="s">
        <v>3737</v>
      </c>
      <c r="G946" s="12" t="s">
        <v>7</v>
      </c>
      <c r="H946" s="12" t="s">
        <v>14</v>
      </c>
      <c r="I946" s="11"/>
      <c r="J946" s="12" t="s">
        <v>1574</v>
      </c>
      <c r="K946" s="12" t="str">
        <f t="shared" si="61"/>
        <v>Closed</v>
      </c>
      <c r="L946" s="13">
        <v>44690</v>
      </c>
      <c r="M946" s="12"/>
      <c r="N946" s="12"/>
      <c r="O946" s="12"/>
      <c r="P946" s="12" t="s">
        <v>3790</v>
      </c>
      <c r="Q946" s="12"/>
      <c r="R946" s="12"/>
      <c r="S946" s="12"/>
      <c r="T946" s="13" t="s">
        <v>1547</v>
      </c>
      <c r="U946" s="12" t="str">
        <f t="shared" si="59"/>
        <v>NFF</v>
      </c>
      <c r="V946" s="12" t="str">
        <f t="shared" si="56"/>
        <v>GUAN Jialin</v>
      </c>
      <c r="W946" s="13">
        <f t="shared" si="57"/>
        <v>44690</v>
      </c>
    </row>
    <row r="947" spans="1:23" ht="14.4" customHeight="1" x14ac:dyDescent="0.3">
      <c r="A947" s="28">
        <v>44658</v>
      </c>
      <c r="B947" s="12" t="s">
        <v>3741</v>
      </c>
      <c r="C947" s="12" t="s">
        <v>1690</v>
      </c>
      <c r="D947" s="5"/>
      <c r="E947" s="12">
        <v>402</v>
      </c>
      <c r="F947" s="11" t="s">
        <v>3712</v>
      </c>
      <c r="G947" s="12" t="s">
        <v>7</v>
      </c>
      <c r="H947" s="12" t="s">
        <v>11</v>
      </c>
      <c r="I947" s="11" t="s">
        <v>3798</v>
      </c>
      <c r="J947" s="12" t="s">
        <v>1545</v>
      </c>
      <c r="K947" s="12" t="str">
        <f t="shared" si="61"/>
        <v>Closed</v>
      </c>
      <c r="L947" s="13">
        <v>44664</v>
      </c>
      <c r="M947" s="12"/>
      <c r="N947" s="12" t="s">
        <v>2482</v>
      </c>
      <c r="O947" s="12" t="s">
        <v>4021</v>
      </c>
      <c r="P947" s="12" t="s">
        <v>3790</v>
      </c>
      <c r="Q947" s="12"/>
      <c r="R947" s="12"/>
      <c r="S947" s="12"/>
      <c r="T947" s="13" t="s">
        <v>1547</v>
      </c>
      <c r="U947" s="12" t="str">
        <f t="shared" si="59"/>
        <v>Corrected</v>
      </c>
      <c r="V947" s="12" t="str">
        <f t="shared" si="56"/>
        <v>FIRDUS Ahmad</v>
      </c>
      <c r="W947" s="13">
        <f t="shared" si="57"/>
        <v>44664</v>
      </c>
    </row>
    <row r="948" spans="1:23" ht="14.4" customHeight="1" x14ac:dyDescent="0.3">
      <c r="A948" s="28">
        <v>44658</v>
      </c>
      <c r="B948" s="12" t="s">
        <v>3742</v>
      </c>
      <c r="C948" s="12" t="s">
        <v>1690</v>
      </c>
      <c r="D948" s="5"/>
      <c r="E948" s="12">
        <v>615</v>
      </c>
      <c r="F948" s="11" t="s">
        <v>3743</v>
      </c>
      <c r="G948" s="12" t="s">
        <v>7</v>
      </c>
      <c r="H948" s="12" t="s">
        <v>11</v>
      </c>
      <c r="I948" s="11"/>
      <c r="J948" s="12" t="s">
        <v>1574</v>
      </c>
      <c r="K948" s="12" t="str">
        <f t="shared" si="61"/>
        <v>Closed</v>
      </c>
      <c r="L948" s="13">
        <v>44664</v>
      </c>
      <c r="M948" s="12"/>
      <c r="N948" s="12" t="s">
        <v>4429</v>
      </c>
      <c r="O948" s="12"/>
      <c r="P948" s="12" t="s">
        <v>3790</v>
      </c>
      <c r="Q948" s="12"/>
      <c r="R948" s="12"/>
      <c r="S948" s="12"/>
      <c r="T948" s="13" t="s">
        <v>1547</v>
      </c>
      <c r="U948" s="12" t="str">
        <f t="shared" si="59"/>
        <v>NFF</v>
      </c>
      <c r="V948" s="12" t="str">
        <f t="shared" si="56"/>
        <v>FIRDUS Ahmad</v>
      </c>
      <c r="W948" s="13">
        <f t="shared" si="57"/>
        <v>44664</v>
      </c>
    </row>
    <row r="949" spans="1:23" ht="14.4" customHeight="1" x14ac:dyDescent="0.3">
      <c r="A949" s="28">
        <v>44658</v>
      </c>
      <c r="B949" s="12" t="s">
        <v>3744</v>
      </c>
      <c r="C949" s="12" t="s">
        <v>1690</v>
      </c>
      <c r="D949" s="5"/>
      <c r="E949" s="12">
        <v>601</v>
      </c>
      <c r="F949" s="11" t="s">
        <v>3745</v>
      </c>
      <c r="G949" s="12" t="s">
        <v>7</v>
      </c>
      <c r="H949" s="12" t="s">
        <v>14</v>
      </c>
      <c r="I949" s="14" t="s">
        <v>4333</v>
      </c>
      <c r="J949" s="12" t="s">
        <v>1545</v>
      </c>
      <c r="K949" s="12" t="str">
        <f t="shared" si="61"/>
        <v>Closed</v>
      </c>
      <c r="L949" s="13">
        <v>44677</v>
      </c>
      <c r="M949" s="12"/>
      <c r="N949" s="12" t="s">
        <v>4427</v>
      </c>
      <c r="O949" s="12" t="s">
        <v>2445</v>
      </c>
      <c r="P949" s="12" t="s">
        <v>3790</v>
      </c>
      <c r="Q949" s="12"/>
      <c r="R949" s="12"/>
      <c r="S949" s="12"/>
      <c r="T949" s="13" t="s">
        <v>1547</v>
      </c>
      <c r="U949" s="12" t="str">
        <f t="shared" si="59"/>
        <v>Corrected</v>
      </c>
      <c r="V949" s="12" t="str">
        <f t="shared" si="56"/>
        <v>GUAN Jialin</v>
      </c>
      <c r="W949" s="13">
        <f t="shared" si="57"/>
        <v>44677</v>
      </c>
    </row>
    <row r="950" spans="1:23" ht="14.4" customHeight="1" x14ac:dyDescent="0.3">
      <c r="A950" s="28">
        <v>44658</v>
      </c>
      <c r="B950" s="12" t="s">
        <v>3746</v>
      </c>
      <c r="C950" s="12" t="s">
        <v>1690</v>
      </c>
      <c r="D950" s="5"/>
      <c r="E950" s="12">
        <v>618</v>
      </c>
      <c r="F950" s="11" t="s">
        <v>3747</v>
      </c>
      <c r="G950" s="12" t="s">
        <v>7</v>
      </c>
      <c r="H950" s="12" t="s">
        <v>11</v>
      </c>
      <c r="I950" s="11" t="s">
        <v>3779</v>
      </c>
      <c r="J950" s="12" t="s">
        <v>1545</v>
      </c>
      <c r="K950" s="12" t="str">
        <f t="shared" si="61"/>
        <v>Closed</v>
      </c>
      <c r="L950" s="13">
        <v>44665</v>
      </c>
      <c r="M950" s="12"/>
      <c r="N950" s="12" t="s">
        <v>4427</v>
      </c>
      <c r="O950" s="12" t="s">
        <v>2445</v>
      </c>
      <c r="P950" s="12" t="s">
        <v>3790</v>
      </c>
      <c r="Q950" s="12"/>
      <c r="R950" s="12" t="s">
        <v>1545</v>
      </c>
      <c r="S950" s="12" t="s">
        <v>15</v>
      </c>
      <c r="T950" s="13">
        <v>44665</v>
      </c>
      <c r="U950" s="12" t="str">
        <f t="shared" si="59"/>
        <v>Corrected</v>
      </c>
      <c r="V950" s="12" t="str">
        <f t="shared" si="56"/>
        <v>FIRDUS Ahmad</v>
      </c>
      <c r="W950" s="13">
        <f t="shared" si="57"/>
        <v>44665</v>
      </c>
    </row>
    <row r="951" spans="1:23" ht="14.4" customHeight="1" x14ac:dyDescent="0.3">
      <c r="A951" s="28">
        <v>44658</v>
      </c>
      <c r="B951" s="12" t="s">
        <v>3749</v>
      </c>
      <c r="C951" s="12" t="s">
        <v>1690</v>
      </c>
      <c r="D951" s="5"/>
      <c r="E951" s="12">
        <v>609</v>
      </c>
      <c r="F951" s="11" t="s">
        <v>3750</v>
      </c>
      <c r="G951" s="12" t="s">
        <v>1</v>
      </c>
      <c r="H951" s="12" t="s">
        <v>17</v>
      </c>
      <c r="I951" s="11"/>
      <c r="J951" s="12" t="s">
        <v>1574</v>
      </c>
      <c r="K951" s="12" t="str">
        <f t="shared" si="61"/>
        <v>Closed</v>
      </c>
      <c r="L951" s="13">
        <v>44672</v>
      </c>
      <c r="M951" s="12"/>
      <c r="N951" s="12"/>
      <c r="O951" s="12"/>
      <c r="P951" s="12" t="s">
        <v>3790</v>
      </c>
      <c r="Q951" s="12"/>
      <c r="R951" s="12"/>
      <c r="S951" s="12"/>
      <c r="T951" s="13" t="s">
        <v>1547</v>
      </c>
      <c r="U951" s="12" t="str">
        <f t="shared" si="59"/>
        <v>NFF</v>
      </c>
      <c r="V951" s="12" t="str">
        <f t="shared" si="56"/>
        <v>FATHI Charafeddine</v>
      </c>
      <c r="W951" s="13">
        <f t="shared" si="57"/>
        <v>44672</v>
      </c>
    </row>
    <row r="952" spans="1:23" ht="14.4" customHeight="1" x14ac:dyDescent="0.3">
      <c r="A952" s="28">
        <v>44658</v>
      </c>
      <c r="B952" s="12" t="s">
        <v>3751</v>
      </c>
      <c r="C952" s="12" t="s">
        <v>1690</v>
      </c>
      <c r="D952" s="5"/>
      <c r="E952" s="12">
        <v>622</v>
      </c>
      <c r="F952" s="11" t="s">
        <v>3750</v>
      </c>
      <c r="G952" s="12" t="s">
        <v>1</v>
      </c>
      <c r="H952" s="12" t="s">
        <v>17</v>
      </c>
      <c r="I952" s="11"/>
      <c r="J952" s="12" t="s">
        <v>1574</v>
      </c>
      <c r="K952" s="12" t="str">
        <f t="shared" si="61"/>
        <v>Closed</v>
      </c>
      <c r="L952" s="13">
        <v>44672</v>
      </c>
      <c r="M952" s="12"/>
      <c r="N952" s="12"/>
      <c r="O952" s="12"/>
      <c r="P952" s="12" t="s">
        <v>3790</v>
      </c>
      <c r="Q952" s="12"/>
      <c r="R952" s="12"/>
      <c r="S952" s="12"/>
      <c r="T952" s="13" t="s">
        <v>1547</v>
      </c>
      <c r="U952" s="12" t="str">
        <f t="shared" si="59"/>
        <v>NFF</v>
      </c>
      <c r="V952" s="12" t="str">
        <f t="shared" si="56"/>
        <v>FATHI Charafeddine</v>
      </c>
      <c r="W952" s="13">
        <f t="shared" si="57"/>
        <v>44672</v>
      </c>
    </row>
    <row r="953" spans="1:23" ht="14.4" customHeight="1" x14ac:dyDescent="0.3">
      <c r="A953" s="28">
        <v>44658</v>
      </c>
      <c r="B953" s="12" t="s">
        <v>3756</v>
      </c>
      <c r="C953" s="12" t="s">
        <v>1542</v>
      </c>
      <c r="D953" s="5"/>
      <c r="E953" s="12">
        <v>419</v>
      </c>
      <c r="F953" s="11" t="s">
        <v>3821</v>
      </c>
      <c r="G953" s="12" t="s">
        <v>4</v>
      </c>
      <c r="H953" s="12" t="s">
        <v>11</v>
      </c>
      <c r="I953" s="11" t="s">
        <v>3940</v>
      </c>
      <c r="J953" s="12" t="s">
        <v>1609</v>
      </c>
      <c r="K953" s="12" t="str">
        <f t="shared" si="61"/>
        <v>Open</v>
      </c>
      <c r="L953" s="13"/>
      <c r="M953" s="12"/>
      <c r="N953" s="12" t="s">
        <v>4430</v>
      </c>
      <c r="O953" s="12" t="s">
        <v>3390</v>
      </c>
      <c r="P953" s="12" t="s">
        <v>3790</v>
      </c>
      <c r="Q953" s="12"/>
      <c r="R953" s="12" t="s">
        <v>1545</v>
      </c>
      <c r="S953" s="12" t="s">
        <v>12</v>
      </c>
      <c r="T953" s="13">
        <v>44676</v>
      </c>
      <c r="U953" s="12" t="str">
        <f t="shared" si="59"/>
        <v>Corrected</v>
      </c>
      <c r="V953" s="12" t="str">
        <f t="shared" si="56"/>
        <v>ALOWAINI Shawqi</v>
      </c>
      <c r="W953" s="13">
        <f t="shared" si="57"/>
        <v>44676</v>
      </c>
    </row>
    <row r="954" spans="1:23" ht="14.4" customHeight="1" x14ac:dyDescent="0.3">
      <c r="A954" s="28">
        <v>44658</v>
      </c>
      <c r="B954" s="12" t="s">
        <v>3757</v>
      </c>
      <c r="C954" s="12" t="s">
        <v>1542</v>
      </c>
      <c r="D954" s="5"/>
      <c r="E954" s="12">
        <v>419</v>
      </c>
      <c r="F954" s="11" t="s">
        <v>3822</v>
      </c>
      <c r="G954" s="12" t="s">
        <v>4</v>
      </c>
      <c r="H954" s="12" t="s">
        <v>11</v>
      </c>
      <c r="I954" s="11" t="s">
        <v>3941</v>
      </c>
      <c r="J954" s="12" t="s">
        <v>1609</v>
      </c>
      <c r="K954" s="12" t="str">
        <f t="shared" si="61"/>
        <v>Open</v>
      </c>
      <c r="L954" s="13"/>
      <c r="M954" s="12"/>
      <c r="N954" s="12" t="s">
        <v>4430</v>
      </c>
      <c r="O954" s="12" t="s">
        <v>3390</v>
      </c>
      <c r="P954" s="12" t="s">
        <v>3790</v>
      </c>
      <c r="Q954" s="12"/>
      <c r="R954" s="12" t="s">
        <v>1545</v>
      </c>
      <c r="S954" s="12" t="s">
        <v>12</v>
      </c>
      <c r="T954" s="13">
        <v>44676</v>
      </c>
      <c r="U954" s="12" t="str">
        <f t="shared" si="59"/>
        <v>Corrected</v>
      </c>
      <c r="V954" s="12" t="str">
        <f t="shared" si="56"/>
        <v>ALOWAINI Shawqi</v>
      </c>
      <c r="W954" s="13">
        <f t="shared" si="57"/>
        <v>44676</v>
      </c>
    </row>
    <row r="955" spans="1:23" ht="14.4" customHeight="1" x14ac:dyDescent="0.3">
      <c r="A955" s="28">
        <v>44661</v>
      </c>
      <c r="B955" s="12" t="s">
        <v>3761</v>
      </c>
      <c r="C955" s="12" t="s">
        <v>1690</v>
      </c>
      <c r="D955" s="5"/>
      <c r="E955" s="12">
        <v>409</v>
      </c>
      <c r="F955" s="11" t="s">
        <v>3762</v>
      </c>
      <c r="G955" s="12" t="s">
        <v>7</v>
      </c>
      <c r="H955" s="12" t="s">
        <v>9</v>
      </c>
      <c r="I955" s="11"/>
      <c r="J955" s="12" t="s">
        <v>1582</v>
      </c>
      <c r="K955" s="12" t="str">
        <f t="shared" si="61"/>
        <v>Open</v>
      </c>
      <c r="L955" s="13"/>
      <c r="M955" s="12"/>
      <c r="N955" s="12"/>
      <c r="O955" s="12"/>
      <c r="P955" s="12" t="s">
        <v>3790</v>
      </c>
      <c r="Q955" s="12"/>
      <c r="R955" s="12"/>
      <c r="S955" s="12"/>
      <c r="T955" s="13" t="s">
        <v>1547</v>
      </c>
      <c r="U955" s="12" t="str">
        <f t="shared" si="59"/>
        <v>Not Started</v>
      </c>
      <c r="V955" s="12" t="str">
        <f t="shared" si="56"/>
        <v>KHAN Jahan</v>
      </c>
      <c r="W955" s="13" t="str">
        <f t="shared" si="57"/>
        <v/>
      </c>
    </row>
    <row r="956" spans="1:23" ht="14.4" customHeight="1" x14ac:dyDescent="0.3">
      <c r="A956" s="28">
        <v>44661</v>
      </c>
      <c r="B956" s="12" t="s">
        <v>3763</v>
      </c>
      <c r="C956" s="12" t="s">
        <v>1690</v>
      </c>
      <c r="D956" s="5"/>
      <c r="E956" s="12">
        <v>611</v>
      </c>
      <c r="F956" s="11" t="s">
        <v>3764</v>
      </c>
      <c r="G956" s="12" t="s">
        <v>7</v>
      </c>
      <c r="H956" s="12" t="s">
        <v>14</v>
      </c>
      <c r="I956" s="11" t="s">
        <v>3910</v>
      </c>
      <c r="J956" s="12" t="s">
        <v>1574</v>
      </c>
      <c r="K956" s="12" t="str">
        <f t="shared" si="61"/>
        <v>Closed</v>
      </c>
      <c r="L956" s="13">
        <v>44669</v>
      </c>
      <c r="M956" s="12"/>
      <c r="N956" s="12"/>
      <c r="O956" s="12"/>
      <c r="P956" s="12" t="s">
        <v>3790</v>
      </c>
      <c r="Q956" s="12"/>
      <c r="R956" s="12"/>
      <c r="S956" s="12"/>
      <c r="T956" s="13" t="s">
        <v>1547</v>
      </c>
      <c r="U956" s="12" t="str">
        <f t="shared" si="59"/>
        <v>NFF</v>
      </c>
      <c r="V956" s="12" t="str">
        <f t="shared" si="56"/>
        <v>GUAN Jialin</v>
      </c>
      <c r="W956" s="13">
        <f t="shared" si="57"/>
        <v>44669</v>
      </c>
    </row>
    <row r="957" spans="1:23" ht="14.4" customHeight="1" x14ac:dyDescent="0.3">
      <c r="A957" s="28">
        <v>44661</v>
      </c>
      <c r="B957" s="12" t="s">
        <v>3765</v>
      </c>
      <c r="C957" s="12" t="s">
        <v>1690</v>
      </c>
      <c r="D957" s="5"/>
      <c r="E957" s="12">
        <v>614</v>
      </c>
      <c r="F957" s="11" t="s">
        <v>3766</v>
      </c>
      <c r="G957" s="12" t="s">
        <v>7</v>
      </c>
      <c r="H957" s="12" t="s">
        <v>14</v>
      </c>
      <c r="I957" s="11"/>
      <c r="J957" s="12" t="s">
        <v>1574</v>
      </c>
      <c r="K957" s="12" t="str">
        <f t="shared" si="61"/>
        <v>Closed</v>
      </c>
      <c r="L957" s="13">
        <v>44671</v>
      </c>
      <c r="M957" s="12"/>
      <c r="N957" s="12"/>
      <c r="O957" s="12"/>
      <c r="P957" s="12" t="s">
        <v>3790</v>
      </c>
      <c r="Q957" s="12"/>
      <c r="R957" s="12"/>
      <c r="S957" s="12"/>
      <c r="T957" s="13" t="s">
        <v>1547</v>
      </c>
      <c r="U957" s="12" t="str">
        <f t="shared" si="59"/>
        <v>NFF</v>
      </c>
      <c r="V957" s="12" t="str">
        <f t="shared" si="56"/>
        <v>GUAN Jialin</v>
      </c>
      <c r="W957" s="13">
        <f t="shared" si="57"/>
        <v>44671</v>
      </c>
    </row>
    <row r="958" spans="1:23" ht="14.4" customHeight="1" x14ac:dyDescent="0.3">
      <c r="A958" s="28">
        <v>44661</v>
      </c>
      <c r="B958" s="12" t="s">
        <v>3767</v>
      </c>
      <c r="C958" s="12" t="s">
        <v>1690</v>
      </c>
      <c r="D958" s="5"/>
      <c r="E958" s="12">
        <v>623</v>
      </c>
      <c r="F958" s="11" t="s">
        <v>3768</v>
      </c>
      <c r="G958" s="12" t="s">
        <v>7</v>
      </c>
      <c r="H958" s="12" t="s">
        <v>14</v>
      </c>
      <c r="I958" s="11"/>
      <c r="J958" s="12" t="s">
        <v>1574</v>
      </c>
      <c r="K958" s="12" t="str">
        <f t="shared" si="61"/>
        <v>Closed</v>
      </c>
      <c r="L958" s="13">
        <v>44669</v>
      </c>
      <c r="M958" s="12"/>
      <c r="N958" s="12"/>
      <c r="O958" s="12"/>
      <c r="P958" s="12" t="s">
        <v>3790</v>
      </c>
      <c r="Q958" s="12"/>
      <c r="R958" s="12"/>
      <c r="S958" s="12"/>
      <c r="T958" s="13" t="s">
        <v>1547</v>
      </c>
      <c r="U958" s="12" t="str">
        <f t="shared" si="59"/>
        <v>NFF</v>
      </c>
      <c r="V958" s="12" t="str">
        <f t="shared" si="56"/>
        <v>GUAN Jialin</v>
      </c>
      <c r="W958" s="13">
        <f t="shared" si="57"/>
        <v>44669</v>
      </c>
    </row>
    <row r="959" spans="1:23" ht="14.4" customHeight="1" x14ac:dyDescent="0.3">
      <c r="A959" s="28">
        <v>44661</v>
      </c>
      <c r="B959" s="12" t="s">
        <v>3771</v>
      </c>
      <c r="C959" s="12" t="s">
        <v>1690</v>
      </c>
      <c r="D959" s="5"/>
      <c r="E959" s="12">
        <v>609</v>
      </c>
      <c r="F959" s="11" t="s">
        <v>3764</v>
      </c>
      <c r="G959" s="12" t="s">
        <v>4</v>
      </c>
      <c r="H959" s="12" t="s">
        <v>14</v>
      </c>
      <c r="I959" s="11" t="s">
        <v>3910</v>
      </c>
      <c r="J959" s="12" t="s">
        <v>1574</v>
      </c>
      <c r="K959" s="12" t="str">
        <f t="shared" si="61"/>
        <v>Closed</v>
      </c>
      <c r="L959" s="13">
        <v>44669</v>
      </c>
      <c r="M959" s="12"/>
      <c r="N959" s="12"/>
      <c r="O959" s="12"/>
      <c r="P959" s="12" t="s">
        <v>3790</v>
      </c>
      <c r="Q959" s="12"/>
      <c r="R959" s="12"/>
      <c r="S959" s="12"/>
      <c r="T959" s="13" t="s">
        <v>1547</v>
      </c>
      <c r="U959" s="12" t="str">
        <f t="shared" si="59"/>
        <v>NFF</v>
      </c>
      <c r="V959" s="12" t="str">
        <f t="shared" ref="V959:V1022" si="62">IF(AND(J959="Corrective Action Required",R959="Corrected"),S959, IF(AND(J959="Corrective Action Required",R959&lt;&gt;"Corrected"),S959,H959))</f>
        <v>GUAN Jialin</v>
      </c>
      <c r="W959" s="13">
        <f t="shared" ref="W959:W1022" si="63">IF(OR(J959="Corrected",J959="NFF"),L959, IF(AND(J959="Corrective Action Required",R959="Corrected"),T959,""))</f>
        <v>44669</v>
      </c>
    </row>
    <row r="960" spans="1:23" ht="14.4" customHeight="1" x14ac:dyDescent="0.3">
      <c r="A960" s="28">
        <v>44661</v>
      </c>
      <c r="B960" s="12" t="s">
        <v>3772</v>
      </c>
      <c r="C960" s="12" t="s">
        <v>1690</v>
      </c>
      <c r="D960" s="5"/>
      <c r="E960" s="12">
        <v>402</v>
      </c>
      <c r="F960" s="11" t="s">
        <v>3359</v>
      </c>
      <c r="G960" s="12" t="s">
        <v>7</v>
      </c>
      <c r="H960" s="12" t="s">
        <v>14</v>
      </c>
      <c r="I960" s="11"/>
      <c r="J960" s="12" t="s">
        <v>1574</v>
      </c>
      <c r="K960" s="12" t="str">
        <f t="shared" si="61"/>
        <v>Closed</v>
      </c>
      <c r="L960" s="13">
        <v>44690</v>
      </c>
      <c r="M960" s="12"/>
      <c r="N960" s="12"/>
      <c r="O960" s="12"/>
      <c r="P960" s="12" t="s">
        <v>3790</v>
      </c>
      <c r="Q960" s="12"/>
      <c r="R960" s="12"/>
      <c r="S960" s="12"/>
      <c r="T960" s="13" t="s">
        <v>1547</v>
      </c>
      <c r="U960" s="12" t="str">
        <f t="shared" si="59"/>
        <v>NFF</v>
      </c>
      <c r="V960" s="12" t="str">
        <f t="shared" si="62"/>
        <v>GUAN Jialin</v>
      </c>
      <c r="W960" s="13">
        <f t="shared" si="63"/>
        <v>44690</v>
      </c>
    </row>
    <row r="961" spans="1:23" ht="14.4" customHeight="1" x14ac:dyDescent="0.3">
      <c r="A961" s="28">
        <v>44661</v>
      </c>
      <c r="B961" s="12" t="s">
        <v>3780</v>
      </c>
      <c r="C961" s="12" t="s">
        <v>1690</v>
      </c>
      <c r="D961" s="5"/>
      <c r="E961" s="12">
        <v>616</v>
      </c>
      <c r="F961" s="11" t="s">
        <v>3750</v>
      </c>
      <c r="G961" s="12" t="s">
        <v>1</v>
      </c>
      <c r="H961" s="12" t="s">
        <v>17</v>
      </c>
      <c r="I961" s="11"/>
      <c r="J961" s="12" t="s">
        <v>1574</v>
      </c>
      <c r="K961" s="12" t="str">
        <f t="shared" si="61"/>
        <v>Closed</v>
      </c>
      <c r="L961" s="13">
        <v>44672</v>
      </c>
      <c r="M961" s="12"/>
      <c r="N961" s="12"/>
      <c r="O961" s="12"/>
      <c r="P961" s="12" t="s">
        <v>3790</v>
      </c>
      <c r="Q961" s="12"/>
      <c r="R961" s="12"/>
      <c r="S961" s="12"/>
      <c r="T961" s="13" t="s">
        <v>1547</v>
      </c>
      <c r="U961" s="12" t="str">
        <f t="shared" si="59"/>
        <v>NFF</v>
      </c>
      <c r="V961" s="12" t="str">
        <f t="shared" si="62"/>
        <v>FATHI Charafeddine</v>
      </c>
      <c r="W961" s="13">
        <f t="shared" si="63"/>
        <v>44672</v>
      </c>
    </row>
    <row r="962" spans="1:23" ht="14.4" customHeight="1" x14ac:dyDescent="0.3">
      <c r="A962" s="28">
        <v>44661</v>
      </c>
      <c r="B962" s="12" t="s">
        <v>3781</v>
      </c>
      <c r="C962" s="12" t="s">
        <v>1690</v>
      </c>
      <c r="D962" s="5"/>
      <c r="E962" s="12">
        <v>420</v>
      </c>
      <c r="F962" s="11" t="s">
        <v>3750</v>
      </c>
      <c r="G962" s="12" t="s">
        <v>1</v>
      </c>
      <c r="H962" s="12" t="s">
        <v>17</v>
      </c>
      <c r="I962" s="11"/>
      <c r="J962" s="12" t="s">
        <v>1574</v>
      </c>
      <c r="K962" s="12" t="str">
        <f t="shared" si="61"/>
        <v>Closed</v>
      </c>
      <c r="L962" s="13">
        <v>44669</v>
      </c>
      <c r="M962" s="12"/>
      <c r="N962" s="12"/>
      <c r="O962" s="12"/>
      <c r="P962" s="12" t="s">
        <v>3790</v>
      </c>
      <c r="Q962" s="12"/>
      <c r="R962" s="12"/>
      <c r="S962" s="12"/>
      <c r="T962" s="13" t="s">
        <v>1547</v>
      </c>
      <c r="U962" s="12" t="str">
        <f t="shared" si="59"/>
        <v>NFF</v>
      </c>
      <c r="V962" s="12" t="str">
        <f t="shared" si="62"/>
        <v>FATHI Charafeddine</v>
      </c>
      <c r="W962" s="13">
        <f t="shared" si="63"/>
        <v>44669</v>
      </c>
    </row>
    <row r="963" spans="1:23" ht="14.4" customHeight="1" x14ac:dyDescent="0.3">
      <c r="A963" s="28">
        <v>44661</v>
      </c>
      <c r="B963" s="12" t="s">
        <v>3782</v>
      </c>
      <c r="C963" s="12" t="s">
        <v>1690</v>
      </c>
      <c r="D963" s="5"/>
      <c r="E963" s="12">
        <v>404</v>
      </c>
      <c r="F963" s="11" t="s">
        <v>3783</v>
      </c>
      <c r="G963" s="12" t="s">
        <v>7</v>
      </c>
      <c r="H963" s="12" t="s">
        <v>9</v>
      </c>
      <c r="I963" s="11"/>
      <c r="J963" s="12" t="s">
        <v>1574</v>
      </c>
      <c r="K963" s="12" t="str">
        <f t="shared" si="61"/>
        <v>Closed</v>
      </c>
      <c r="L963" s="13">
        <v>44678</v>
      </c>
      <c r="M963" s="12"/>
      <c r="N963" s="12" t="s">
        <v>3465</v>
      </c>
      <c r="O963" s="12"/>
      <c r="P963" s="12" t="s">
        <v>3790</v>
      </c>
      <c r="Q963" s="12"/>
      <c r="R963" s="12"/>
      <c r="S963" s="12"/>
      <c r="T963" s="13" t="s">
        <v>1547</v>
      </c>
      <c r="U963" s="12" t="str">
        <f t="shared" ref="U963:U1026" si="64">IF(AND(J963="Corrective Action Required",R963="Corrected"),"Corrected", IF(AND(J963="Corrective Action Required",R963&lt;&gt;"Corrected"),R963,J963))</f>
        <v>NFF</v>
      </c>
      <c r="V963" s="12" t="str">
        <f t="shared" si="62"/>
        <v>KHAN Jahan</v>
      </c>
      <c r="W963" s="13">
        <f t="shared" si="63"/>
        <v>44678</v>
      </c>
    </row>
    <row r="964" spans="1:23" ht="14.4" customHeight="1" x14ac:dyDescent="0.3">
      <c r="A964" s="28">
        <v>44661</v>
      </c>
      <c r="B964" s="12" t="s">
        <v>3784</v>
      </c>
      <c r="C964" s="12" t="s">
        <v>1690</v>
      </c>
      <c r="D964" s="5"/>
      <c r="E964" s="12">
        <v>407</v>
      </c>
      <c r="F964" s="11" t="s">
        <v>3785</v>
      </c>
      <c r="G964" s="12" t="s">
        <v>1</v>
      </c>
      <c r="H964" s="12" t="s">
        <v>9</v>
      </c>
      <c r="I964" s="11"/>
      <c r="J964" s="12" t="s">
        <v>1609</v>
      </c>
      <c r="K964" s="12" t="str">
        <f t="shared" si="61"/>
        <v>Open</v>
      </c>
      <c r="L964" s="13"/>
      <c r="M964" s="12"/>
      <c r="N964" s="12"/>
      <c r="O964" s="12"/>
      <c r="P964" s="12" t="s">
        <v>3790</v>
      </c>
      <c r="Q964" s="12"/>
      <c r="R964" s="12" t="s">
        <v>3566</v>
      </c>
      <c r="S964" s="12" t="s">
        <v>3</v>
      </c>
      <c r="T964" s="13" t="s">
        <v>1547</v>
      </c>
      <c r="U964" s="12" t="str">
        <f t="shared" si="64"/>
        <v>CM Open</v>
      </c>
      <c r="V964" s="12" t="str">
        <f t="shared" si="62"/>
        <v>SUKIMAN Zamhuri</v>
      </c>
      <c r="W964" s="13" t="str">
        <f t="shared" si="63"/>
        <v/>
      </c>
    </row>
    <row r="965" spans="1:23" ht="14.4" customHeight="1" x14ac:dyDescent="0.3">
      <c r="A965" s="28">
        <v>44696</v>
      </c>
      <c r="B965" s="12" t="s">
        <v>3800</v>
      </c>
      <c r="C965" s="12" t="s">
        <v>1542</v>
      </c>
      <c r="D965" s="5"/>
      <c r="E965" s="12">
        <v>407</v>
      </c>
      <c r="F965" s="11" t="s">
        <v>3826</v>
      </c>
      <c r="G965" s="12" t="s">
        <v>1</v>
      </c>
      <c r="H965" s="12" t="s">
        <v>9</v>
      </c>
      <c r="I965" s="11"/>
      <c r="J965" s="12" t="s">
        <v>1609</v>
      </c>
      <c r="K965" s="12" t="str">
        <f t="shared" si="61"/>
        <v>Open</v>
      </c>
      <c r="L965" s="13"/>
      <c r="M965" s="12"/>
      <c r="N965" s="12"/>
      <c r="O965" s="12"/>
      <c r="P965" s="12" t="s">
        <v>3790</v>
      </c>
      <c r="Q965" s="12"/>
      <c r="R965" s="12" t="s">
        <v>3566</v>
      </c>
      <c r="S965" s="12" t="s">
        <v>3</v>
      </c>
      <c r="T965" s="13" t="s">
        <v>1547</v>
      </c>
      <c r="U965" s="12" t="str">
        <f t="shared" si="64"/>
        <v>CM Open</v>
      </c>
      <c r="V965" s="12" t="str">
        <f t="shared" si="62"/>
        <v>SUKIMAN Zamhuri</v>
      </c>
      <c r="W965" s="13" t="str">
        <f t="shared" si="63"/>
        <v/>
      </c>
    </row>
    <row r="966" spans="1:23" ht="14.4" customHeight="1" x14ac:dyDescent="0.3">
      <c r="A966" s="28">
        <v>44696</v>
      </c>
      <c r="B966" s="12" t="s">
        <v>3801</v>
      </c>
      <c r="C966" s="12" t="s">
        <v>1542</v>
      </c>
      <c r="D966" s="5"/>
      <c r="E966" s="12">
        <v>609</v>
      </c>
      <c r="F966" s="11" t="s">
        <v>3827</v>
      </c>
      <c r="G966" s="12" t="s">
        <v>7</v>
      </c>
      <c r="H966" s="12" t="s">
        <v>9</v>
      </c>
      <c r="I966" s="11"/>
      <c r="J966" s="12" t="s">
        <v>1574</v>
      </c>
      <c r="K966" s="12" t="str">
        <f t="shared" si="61"/>
        <v>Closed</v>
      </c>
      <c r="L966" s="13">
        <v>44678</v>
      </c>
      <c r="M966" s="12"/>
      <c r="N966" s="12" t="s">
        <v>4428</v>
      </c>
      <c r="O966" s="12"/>
      <c r="P966" s="12" t="s">
        <v>3790</v>
      </c>
      <c r="Q966" s="12"/>
      <c r="R966" s="12"/>
      <c r="S966" s="12"/>
      <c r="T966" s="13" t="s">
        <v>1547</v>
      </c>
      <c r="U966" s="12" t="str">
        <f t="shared" si="64"/>
        <v>NFF</v>
      </c>
      <c r="V966" s="12" t="str">
        <f t="shared" si="62"/>
        <v>KHAN Jahan</v>
      </c>
      <c r="W966" s="13">
        <f t="shared" si="63"/>
        <v>44678</v>
      </c>
    </row>
    <row r="967" spans="1:23" ht="14.4" customHeight="1" x14ac:dyDescent="0.3">
      <c r="A967" s="28">
        <v>44664</v>
      </c>
      <c r="B967" s="12" t="s">
        <v>3808</v>
      </c>
      <c r="C967" s="12" t="s">
        <v>1542</v>
      </c>
      <c r="D967" s="5"/>
      <c r="E967" s="12">
        <v>411</v>
      </c>
      <c r="F967" s="11" t="s">
        <v>3809</v>
      </c>
      <c r="G967" s="12" t="s">
        <v>7</v>
      </c>
      <c r="H967" s="12" t="s">
        <v>14</v>
      </c>
      <c r="I967" s="11"/>
      <c r="J967" s="12" t="s">
        <v>1574</v>
      </c>
      <c r="K967" s="12" t="str">
        <f t="shared" si="61"/>
        <v>Closed</v>
      </c>
      <c r="L967" s="13">
        <v>44689</v>
      </c>
      <c r="M967" s="12"/>
      <c r="N967" s="12"/>
      <c r="O967" s="12"/>
      <c r="P967" s="12" t="s">
        <v>3790</v>
      </c>
      <c r="Q967" s="12"/>
      <c r="R967" s="12"/>
      <c r="S967" s="12"/>
      <c r="T967" s="13" t="s">
        <v>1547</v>
      </c>
      <c r="U967" s="12" t="str">
        <f t="shared" si="64"/>
        <v>NFF</v>
      </c>
      <c r="V967" s="12" t="str">
        <f t="shared" si="62"/>
        <v>GUAN Jialin</v>
      </c>
      <c r="W967" s="13">
        <f t="shared" si="63"/>
        <v>44689</v>
      </c>
    </row>
    <row r="968" spans="1:23" ht="14.4" customHeight="1" x14ac:dyDescent="0.3">
      <c r="A968" s="28">
        <v>44664</v>
      </c>
      <c r="B968" s="12" t="s">
        <v>3812</v>
      </c>
      <c r="C968" s="12" t="s">
        <v>1542</v>
      </c>
      <c r="D968" s="5"/>
      <c r="E968" s="12">
        <v>621</v>
      </c>
      <c r="F968" s="11" t="s">
        <v>3813</v>
      </c>
      <c r="G968" s="12" t="s">
        <v>7</v>
      </c>
      <c r="H968" s="12" t="s">
        <v>9</v>
      </c>
      <c r="I968" s="11"/>
      <c r="J968" s="12" t="s">
        <v>1582</v>
      </c>
      <c r="K968" s="12" t="str">
        <f t="shared" si="61"/>
        <v>Open</v>
      </c>
      <c r="L968" s="13"/>
      <c r="M968" s="12"/>
      <c r="N968" s="12"/>
      <c r="O968" s="12"/>
      <c r="P968" s="12" t="s">
        <v>3790</v>
      </c>
      <c r="Q968" s="12"/>
      <c r="R968" s="12"/>
      <c r="S968" s="12"/>
      <c r="T968" s="13" t="s">
        <v>1547</v>
      </c>
      <c r="U968" s="12" t="str">
        <f t="shared" si="64"/>
        <v>Not Started</v>
      </c>
      <c r="V968" s="12" t="str">
        <f t="shared" si="62"/>
        <v>KHAN Jahan</v>
      </c>
      <c r="W968" s="13" t="str">
        <f t="shared" si="63"/>
        <v/>
      </c>
    </row>
    <row r="969" spans="1:23" ht="14.4" customHeight="1" x14ac:dyDescent="0.3">
      <c r="A969" s="28">
        <v>44664</v>
      </c>
      <c r="B969" s="12" t="s">
        <v>3814</v>
      </c>
      <c r="C969" s="12" t="s">
        <v>1542</v>
      </c>
      <c r="D969" s="5"/>
      <c r="E969" s="12">
        <v>604</v>
      </c>
      <c r="F969" s="11" t="s">
        <v>3815</v>
      </c>
      <c r="G969" s="12" t="s">
        <v>7</v>
      </c>
      <c r="H969" s="12" t="s">
        <v>9</v>
      </c>
      <c r="I969" s="11"/>
      <c r="J969" s="12" t="s">
        <v>1582</v>
      </c>
      <c r="K969" s="12" t="str">
        <f t="shared" si="61"/>
        <v>Open</v>
      </c>
      <c r="L969" s="13"/>
      <c r="M969" s="12"/>
      <c r="N969" s="12"/>
      <c r="O969" s="12"/>
      <c r="P969" s="12" t="s">
        <v>3790</v>
      </c>
      <c r="Q969" s="12"/>
      <c r="R969" s="12"/>
      <c r="S969" s="12"/>
      <c r="T969" s="13" t="s">
        <v>1547</v>
      </c>
      <c r="U969" s="12" t="str">
        <f t="shared" si="64"/>
        <v>Not Started</v>
      </c>
      <c r="V969" s="12" t="str">
        <f t="shared" si="62"/>
        <v>KHAN Jahan</v>
      </c>
      <c r="W969" s="13" t="str">
        <f t="shared" si="63"/>
        <v/>
      </c>
    </row>
    <row r="970" spans="1:23" ht="14.4" customHeight="1" x14ac:dyDescent="0.3">
      <c r="A970" s="28">
        <v>44664</v>
      </c>
      <c r="B970" s="12" t="s">
        <v>3816</v>
      </c>
      <c r="C970" s="12" t="s">
        <v>1542</v>
      </c>
      <c r="D970" s="5"/>
      <c r="E970" s="12">
        <v>610</v>
      </c>
      <c r="F970" s="11" t="s">
        <v>3817</v>
      </c>
      <c r="G970" s="12" t="s">
        <v>7</v>
      </c>
      <c r="H970" s="12" t="s">
        <v>9</v>
      </c>
      <c r="I970" s="11" t="s">
        <v>4410</v>
      </c>
      <c r="J970" s="12" t="s">
        <v>1609</v>
      </c>
      <c r="K970" s="12" t="str">
        <f t="shared" si="61"/>
        <v>Open</v>
      </c>
      <c r="L970" s="13"/>
      <c r="M970" s="12"/>
      <c r="N970" s="12" t="s">
        <v>3216</v>
      </c>
      <c r="O970" s="12"/>
      <c r="P970" s="12" t="s">
        <v>3790</v>
      </c>
      <c r="Q970" s="12"/>
      <c r="R970" s="12" t="s">
        <v>3566</v>
      </c>
      <c r="S970" s="12" t="s">
        <v>19</v>
      </c>
      <c r="T970" s="13" t="s">
        <v>1547</v>
      </c>
      <c r="U970" s="12" t="str">
        <f t="shared" si="64"/>
        <v>CM Open</v>
      </c>
      <c r="V970" s="12" t="str">
        <f t="shared" si="62"/>
        <v>DAOUDI Mohamed</v>
      </c>
      <c r="W970" s="13" t="str">
        <f t="shared" si="63"/>
        <v/>
      </c>
    </row>
    <row r="971" spans="1:23" ht="14.4" customHeight="1" x14ac:dyDescent="0.3">
      <c r="A971" s="28">
        <v>44664</v>
      </c>
      <c r="B971" s="12" t="s">
        <v>3818</v>
      </c>
      <c r="C971" s="12" t="s">
        <v>1542</v>
      </c>
      <c r="D971" s="5"/>
      <c r="E971" s="12">
        <v>413</v>
      </c>
      <c r="F971" s="11" t="s">
        <v>3819</v>
      </c>
      <c r="G971" s="12" t="s">
        <v>7</v>
      </c>
      <c r="H971" s="12" t="s">
        <v>9</v>
      </c>
      <c r="I971" s="11" t="s">
        <v>3911</v>
      </c>
      <c r="J971" s="12" t="s">
        <v>1545</v>
      </c>
      <c r="K971" s="12" t="str">
        <f t="shared" si="61"/>
        <v>Closed</v>
      </c>
      <c r="L971" s="13">
        <v>44669</v>
      </c>
      <c r="M971" s="12"/>
      <c r="N971" s="12" t="s">
        <v>1652</v>
      </c>
      <c r="O971" s="12" t="s">
        <v>1675</v>
      </c>
      <c r="P971" s="12" t="s">
        <v>3790</v>
      </c>
      <c r="Q971" s="12"/>
      <c r="R971" s="12"/>
      <c r="S971" s="12"/>
      <c r="T971" s="13" t="s">
        <v>1547</v>
      </c>
      <c r="U971" s="12" t="str">
        <f t="shared" si="64"/>
        <v>Corrected</v>
      </c>
      <c r="V971" s="12" t="str">
        <f t="shared" si="62"/>
        <v>KHAN Jahan</v>
      </c>
      <c r="W971" s="13">
        <f t="shared" si="63"/>
        <v>44669</v>
      </c>
    </row>
    <row r="972" spans="1:23" ht="14.4" customHeight="1" x14ac:dyDescent="0.3">
      <c r="A972" s="28">
        <v>44664</v>
      </c>
      <c r="B972" s="12" t="s">
        <v>3828</v>
      </c>
      <c r="C972" s="12" t="s">
        <v>1690</v>
      </c>
      <c r="D972" s="5"/>
      <c r="E972" s="12">
        <v>405</v>
      </c>
      <c r="F972" s="11" t="s">
        <v>3829</v>
      </c>
      <c r="G972" s="12" t="s">
        <v>1</v>
      </c>
      <c r="H972" s="12" t="s">
        <v>14</v>
      </c>
      <c r="I972" s="11" t="s">
        <v>3912</v>
      </c>
      <c r="J972" s="12" t="s">
        <v>1574</v>
      </c>
      <c r="K972" s="12" t="str">
        <f t="shared" si="61"/>
        <v>Closed</v>
      </c>
      <c r="L972" s="13">
        <v>44669</v>
      </c>
      <c r="M972" s="12"/>
      <c r="N972" s="12"/>
      <c r="O972" s="12"/>
      <c r="P972" s="12" t="s">
        <v>3790</v>
      </c>
      <c r="Q972" s="12"/>
      <c r="R972" s="12"/>
      <c r="S972" s="12"/>
      <c r="T972" s="13" t="s">
        <v>1547</v>
      </c>
      <c r="U972" s="12" t="str">
        <f t="shared" si="64"/>
        <v>NFF</v>
      </c>
      <c r="V972" s="12" t="str">
        <f t="shared" si="62"/>
        <v>GUAN Jialin</v>
      </c>
      <c r="W972" s="13">
        <f t="shared" si="63"/>
        <v>44669</v>
      </c>
    </row>
    <row r="973" spans="1:23" ht="14.4" customHeight="1" x14ac:dyDescent="0.3">
      <c r="A973" s="28">
        <v>44664</v>
      </c>
      <c r="B973" s="12" t="s">
        <v>3830</v>
      </c>
      <c r="C973" s="12" t="s">
        <v>1690</v>
      </c>
      <c r="D973" s="5"/>
      <c r="E973" s="12">
        <v>407</v>
      </c>
      <c r="F973" s="11" t="s">
        <v>3831</v>
      </c>
      <c r="G973" s="12" t="s">
        <v>1</v>
      </c>
      <c r="H973" s="12" t="s">
        <v>14</v>
      </c>
      <c r="I973" s="11"/>
      <c r="J973" s="12" t="s">
        <v>1609</v>
      </c>
      <c r="K973" s="12" t="str">
        <f t="shared" si="61"/>
        <v>Open</v>
      </c>
      <c r="L973" s="13"/>
      <c r="M973" s="12"/>
      <c r="N973" s="12" t="s">
        <v>4428</v>
      </c>
      <c r="O973" s="12"/>
      <c r="P973" s="12" t="s">
        <v>3790</v>
      </c>
      <c r="Q973" s="12"/>
      <c r="R973" s="12" t="s">
        <v>3566</v>
      </c>
      <c r="S973" s="12" t="s">
        <v>3</v>
      </c>
      <c r="T973" s="13" t="s">
        <v>1547</v>
      </c>
      <c r="U973" s="12" t="str">
        <f t="shared" si="64"/>
        <v>CM Open</v>
      </c>
      <c r="V973" s="12" t="str">
        <f t="shared" si="62"/>
        <v>SUKIMAN Zamhuri</v>
      </c>
      <c r="W973" s="13" t="str">
        <f t="shared" si="63"/>
        <v/>
      </c>
    </row>
    <row r="974" spans="1:23" ht="14.4" customHeight="1" x14ac:dyDescent="0.3">
      <c r="A974" s="28">
        <v>44664</v>
      </c>
      <c r="B974" s="12" t="s">
        <v>3832</v>
      </c>
      <c r="C974" s="12" t="s">
        <v>1690</v>
      </c>
      <c r="D974" s="5"/>
      <c r="E974" s="12">
        <v>411</v>
      </c>
      <c r="F974" s="11" t="s">
        <v>3833</v>
      </c>
      <c r="G974" s="12" t="s">
        <v>7</v>
      </c>
      <c r="H974" s="12" t="s">
        <v>9</v>
      </c>
      <c r="I974" s="11"/>
      <c r="J974" s="12" t="s">
        <v>1545</v>
      </c>
      <c r="K974" s="12" t="str">
        <f t="shared" si="61"/>
        <v>Closed</v>
      </c>
      <c r="L974" s="13"/>
      <c r="M974" s="12"/>
      <c r="N974" s="12" t="s">
        <v>3465</v>
      </c>
      <c r="O974" s="12"/>
      <c r="P974" s="12" t="s">
        <v>3790</v>
      </c>
      <c r="Q974" s="12"/>
      <c r="R974" s="12"/>
      <c r="S974" s="12"/>
      <c r="T974" s="13" t="s">
        <v>1547</v>
      </c>
      <c r="U974" s="12" t="str">
        <f t="shared" si="64"/>
        <v>Corrected</v>
      </c>
      <c r="V974" s="12" t="str">
        <f t="shared" si="62"/>
        <v>KHAN Jahan</v>
      </c>
      <c r="W974" s="13"/>
    </row>
    <row r="975" spans="1:23" ht="14.4" customHeight="1" x14ac:dyDescent="0.3">
      <c r="A975" s="28">
        <v>44664</v>
      </c>
      <c r="B975" s="12" t="s">
        <v>3834</v>
      </c>
      <c r="C975" s="12" t="s">
        <v>1690</v>
      </c>
      <c r="D975" s="5"/>
      <c r="E975" s="12">
        <v>413</v>
      </c>
      <c r="F975" s="11" t="s">
        <v>3835</v>
      </c>
      <c r="G975" s="12" t="s">
        <v>4</v>
      </c>
      <c r="H975" s="12" t="s">
        <v>9</v>
      </c>
      <c r="I975" s="11" t="s">
        <v>3942</v>
      </c>
      <c r="J975" s="12" t="s">
        <v>1574</v>
      </c>
      <c r="K975" s="12" t="str">
        <f t="shared" si="61"/>
        <v>Closed</v>
      </c>
      <c r="L975" s="13">
        <v>44671</v>
      </c>
      <c r="M975" s="12"/>
      <c r="N975" s="12" t="s">
        <v>4428</v>
      </c>
      <c r="O975" s="12"/>
      <c r="P975" s="12" t="s">
        <v>2788</v>
      </c>
      <c r="Q975" s="12"/>
      <c r="R975" s="12"/>
      <c r="S975" s="12"/>
      <c r="T975" s="13" t="s">
        <v>1547</v>
      </c>
      <c r="U975" s="12" t="str">
        <f t="shared" si="64"/>
        <v>NFF</v>
      </c>
      <c r="V975" s="12" t="str">
        <f t="shared" si="62"/>
        <v>KHAN Jahan</v>
      </c>
      <c r="W975" s="13">
        <f t="shared" si="63"/>
        <v>44671</v>
      </c>
    </row>
    <row r="976" spans="1:23" ht="14.4" customHeight="1" x14ac:dyDescent="0.3">
      <c r="A976" s="28">
        <v>44664</v>
      </c>
      <c r="B976" s="12" t="s">
        <v>3836</v>
      </c>
      <c r="C976" s="12" t="s">
        <v>1690</v>
      </c>
      <c r="D976" s="5"/>
      <c r="E976" s="12">
        <v>409</v>
      </c>
      <c r="F976" s="11" t="s">
        <v>3837</v>
      </c>
      <c r="G976" s="12" t="s">
        <v>7</v>
      </c>
      <c r="H976" s="12" t="s">
        <v>9</v>
      </c>
      <c r="I976" s="11"/>
      <c r="J976" s="12" t="s">
        <v>1582</v>
      </c>
      <c r="K976" s="12" t="str">
        <f t="shared" si="61"/>
        <v>Open</v>
      </c>
      <c r="L976" s="13"/>
      <c r="M976" s="12"/>
      <c r="N976" s="12" t="s">
        <v>3465</v>
      </c>
      <c r="O976" s="12"/>
      <c r="P976" s="12" t="s">
        <v>3790</v>
      </c>
      <c r="Q976" s="12"/>
      <c r="R976" s="12"/>
      <c r="S976" s="12"/>
      <c r="T976" s="13" t="s">
        <v>1547</v>
      </c>
      <c r="U976" s="12" t="str">
        <f t="shared" si="64"/>
        <v>Not Started</v>
      </c>
      <c r="V976" s="12" t="str">
        <f t="shared" si="62"/>
        <v>KHAN Jahan</v>
      </c>
      <c r="W976" s="13" t="str">
        <f t="shared" si="63"/>
        <v/>
      </c>
    </row>
    <row r="977" spans="1:23" ht="14.4" customHeight="1" x14ac:dyDescent="0.3">
      <c r="A977" s="28">
        <v>44664</v>
      </c>
      <c r="B977" s="12" t="s">
        <v>3838</v>
      </c>
      <c r="C977" s="12" t="s">
        <v>1690</v>
      </c>
      <c r="D977" s="5"/>
      <c r="E977" s="12">
        <v>602</v>
      </c>
      <c r="F977" s="11" t="s">
        <v>3839</v>
      </c>
      <c r="G977" s="12" t="s">
        <v>7</v>
      </c>
      <c r="H977" s="12" t="s">
        <v>9</v>
      </c>
      <c r="I977" s="11" t="s">
        <v>3988</v>
      </c>
      <c r="J977" s="12" t="s">
        <v>1545</v>
      </c>
      <c r="K977" s="12" t="str">
        <f t="shared" si="61"/>
        <v>Closed</v>
      </c>
      <c r="L977" s="13">
        <v>44677</v>
      </c>
      <c r="M977" s="12"/>
      <c r="N977" s="12" t="s">
        <v>2517</v>
      </c>
      <c r="O977" s="12" t="s">
        <v>1675</v>
      </c>
      <c r="P977" s="12" t="s">
        <v>3790</v>
      </c>
      <c r="Q977" s="12"/>
      <c r="R977" s="12"/>
      <c r="S977" s="12"/>
      <c r="T977" s="13" t="s">
        <v>1547</v>
      </c>
      <c r="U977" s="12" t="str">
        <f t="shared" si="64"/>
        <v>Corrected</v>
      </c>
      <c r="V977" s="12" t="str">
        <f t="shared" si="62"/>
        <v>KHAN Jahan</v>
      </c>
      <c r="W977" s="13">
        <f t="shared" si="63"/>
        <v>44677</v>
      </c>
    </row>
    <row r="978" spans="1:23" ht="14.4" customHeight="1" x14ac:dyDescent="0.3">
      <c r="A978" s="28">
        <v>44664</v>
      </c>
      <c r="B978" s="12" t="s">
        <v>3840</v>
      </c>
      <c r="C978" s="12" t="s">
        <v>1542</v>
      </c>
      <c r="D978" s="5"/>
      <c r="E978" s="12">
        <v>624</v>
      </c>
      <c r="F978" s="11" t="s">
        <v>3841</v>
      </c>
      <c r="G978" s="12" t="s">
        <v>7</v>
      </c>
      <c r="H978" s="12" t="s">
        <v>9</v>
      </c>
      <c r="I978" s="11"/>
      <c r="J978" s="12" t="s">
        <v>1574</v>
      </c>
      <c r="K978" s="12" t="str">
        <f t="shared" si="61"/>
        <v>Closed</v>
      </c>
      <c r="L978" s="13">
        <v>44678</v>
      </c>
      <c r="M978" s="12"/>
      <c r="N978" s="12" t="s">
        <v>4428</v>
      </c>
      <c r="O978" s="12"/>
      <c r="P978" s="12" t="s">
        <v>3790</v>
      </c>
      <c r="Q978" s="12"/>
      <c r="R978" s="12"/>
      <c r="S978" s="12"/>
      <c r="T978" s="13" t="s">
        <v>1547</v>
      </c>
      <c r="U978" s="12" t="str">
        <f t="shared" si="64"/>
        <v>NFF</v>
      </c>
      <c r="V978" s="12" t="str">
        <f t="shared" si="62"/>
        <v>KHAN Jahan</v>
      </c>
      <c r="W978" s="13">
        <f t="shared" si="63"/>
        <v>44678</v>
      </c>
    </row>
    <row r="979" spans="1:23" ht="28.8" customHeight="1" x14ac:dyDescent="0.3">
      <c r="A979" s="28">
        <v>44665</v>
      </c>
      <c r="B979" s="12" t="s">
        <v>3845</v>
      </c>
      <c r="C979" s="12" t="s">
        <v>1542</v>
      </c>
      <c r="D979" s="5"/>
      <c r="E979" s="12">
        <v>412</v>
      </c>
      <c r="F979" s="11" t="s">
        <v>3846</v>
      </c>
      <c r="G979" s="12" t="s">
        <v>7</v>
      </c>
      <c r="H979" s="12" t="s">
        <v>11</v>
      </c>
      <c r="I979" s="11" t="s">
        <v>3943</v>
      </c>
      <c r="J979" s="12" t="s">
        <v>1609</v>
      </c>
      <c r="K979" s="12" t="str">
        <f t="shared" si="61"/>
        <v>Open</v>
      </c>
      <c r="L979" s="13"/>
      <c r="M979" s="12"/>
      <c r="N979" s="12" t="s">
        <v>2517</v>
      </c>
      <c r="O979" s="12"/>
      <c r="P979" s="12" t="s">
        <v>3790</v>
      </c>
      <c r="Q979" s="12"/>
      <c r="R979" s="12" t="s">
        <v>1545</v>
      </c>
      <c r="S979" s="12" t="s">
        <v>12</v>
      </c>
      <c r="T979" s="13">
        <v>44691</v>
      </c>
      <c r="U979" s="12" t="str">
        <f t="shared" si="64"/>
        <v>Corrected</v>
      </c>
      <c r="V979" s="12" t="str">
        <f t="shared" si="62"/>
        <v>ALOWAINI Shawqi</v>
      </c>
      <c r="W979" s="13">
        <f t="shared" si="63"/>
        <v>44691</v>
      </c>
    </row>
    <row r="980" spans="1:23" ht="14.4" customHeight="1" x14ac:dyDescent="0.3">
      <c r="A980" s="28">
        <v>44665</v>
      </c>
      <c r="B980" s="12" t="s">
        <v>3847</v>
      </c>
      <c r="C980" s="12" t="s">
        <v>1687</v>
      </c>
      <c r="D980" s="5"/>
      <c r="E980" s="12">
        <v>421</v>
      </c>
      <c r="F980" s="11" t="s">
        <v>3848</v>
      </c>
      <c r="G980" s="12" t="s">
        <v>7</v>
      </c>
      <c r="H980" s="12" t="s">
        <v>9</v>
      </c>
      <c r="I980" s="11"/>
      <c r="J980" s="12" t="s">
        <v>1582</v>
      </c>
      <c r="K980" s="12" t="str">
        <f t="shared" si="61"/>
        <v>Open</v>
      </c>
      <c r="L980" s="13"/>
      <c r="M980" s="12"/>
      <c r="N980" s="12" t="s">
        <v>2482</v>
      </c>
      <c r="O980" s="12"/>
      <c r="P980" s="12" t="s">
        <v>3790</v>
      </c>
      <c r="Q980" s="12"/>
      <c r="R980" s="12"/>
      <c r="S980" s="12"/>
      <c r="T980" s="13" t="s">
        <v>1547</v>
      </c>
      <c r="U980" s="12" t="str">
        <f t="shared" si="64"/>
        <v>Not Started</v>
      </c>
      <c r="V980" s="12" t="str">
        <f t="shared" si="62"/>
        <v>KHAN Jahan</v>
      </c>
      <c r="W980" s="13" t="str">
        <f t="shared" si="63"/>
        <v/>
      </c>
    </row>
    <row r="981" spans="1:23" ht="14.4" customHeight="1" x14ac:dyDescent="0.3">
      <c r="A981" s="28">
        <v>44665</v>
      </c>
      <c r="B981" s="12" t="s">
        <v>3849</v>
      </c>
      <c r="C981" s="12" t="s">
        <v>1687</v>
      </c>
      <c r="D981" s="5"/>
      <c r="E981" s="12">
        <v>608</v>
      </c>
      <c r="F981" s="14" t="s">
        <v>4334</v>
      </c>
      <c r="G981" s="12" t="s">
        <v>7</v>
      </c>
      <c r="H981" s="12" t="s">
        <v>9</v>
      </c>
      <c r="I981" s="36" t="s">
        <v>4010</v>
      </c>
      <c r="J981" s="12" t="s">
        <v>1545</v>
      </c>
      <c r="K981" s="12" t="str">
        <f t="shared" si="61"/>
        <v>Closed</v>
      </c>
      <c r="L981" s="13">
        <v>44704</v>
      </c>
      <c r="M981" s="12"/>
      <c r="N981" s="12" t="s">
        <v>2482</v>
      </c>
      <c r="O981" s="12"/>
      <c r="P981" s="12" t="s">
        <v>3790</v>
      </c>
      <c r="Q981" s="12"/>
      <c r="R981" s="12"/>
      <c r="S981" s="12"/>
      <c r="T981" s="13" t="s">
        <v>1547</v>
      </c>
      <c r="U981" s="12" t="str">
        <f t="shared" si="64"/>
        <v>Corrected</v>
      </c>
      <c r="V981" s="12" t="str">
        <f t="shared" si="62"/>
        <v>KHAN Jahan</v>
      </c>
      <c r="W981" s="13">
        <f t="shared" si="63"/>
        <v>44704</v>
      </c>
    </row>
    <row r="982" spans="1:23" ht="14.4" customHeight="1" x14ac:dyDescent="0.3">
      <c r="A982" s="28">
        <v>44665</v>
      </c>
      <c r="B982" s="12" t="s">
        <v>3850</v>
      </c>
      <c r="C982" s="12" t="s">
        <v>1687</v>
      </c>
      <c r="D982" s="5"/>
      <c r="E982" s="12">
        <v>609</v>
      </c>
      <c r="F982" s="14" t="s">
        <v>4335</v>
      </c>
      <c r="G982" s="12" t="s">
        <v>7</v>
      </c>
      <c r="H982" s="12" t="s">
        <v>9</v>
      </c>
      <c r="I982" s="11"/>
      <c r="J982" s="12" t="s">
        <v>1545</v>
      </c>
      <c r="K982" s="12" t="str">
        <f t="shared" si="61"/>
        <v>Closed</v>
      </c>
      <c r="L982" s="13">
        <v>44678</v>
      </c>
      <c r="M982" s="12"/>
      <c r="N982" s="12" t="s">
        <v>2482</v>
      </c>
      <c r="O982" s="12" t="s">
        <v>4021</v>
      </c>
      <c r="P982" s="12" t="s">
        <v>3790</v>
      </c>
      <c r="Q982" s="12"/>
      <c r="R982" s="12"/>
      <c r="S982" s="12"/>
      <c r="T982" s="13" t="s">
        <v>1547</v>
      </c>
      <c r="U982" s="12" t="str">
        <f t="shared" si="64"/>
        <v>Corrected</v>
      </c>
      <c r="V982" s="12" t="str">
        <f t="shared" si="62"/>
        <v>KHAN Jahan</v>
      </c>
      <c r="W982" s="13">
        <f t="shared" si="63"/>
        <v>44678</v>
      </c>
    </row>
    <row r="983" spans="1:23" ht="14.4" customHeight="1" x14ac:dyDescent="0.3">
      <c r="A983" s="28">
        <v>44665</v>
      </c>
      <c r="B983" s="12" t="s">
        <v>3851</v>
      </c>
      <c r="C983" s="12" t="s">
        <v>1687</v>
      </c>
      <c r="D983" s="5"/>
      <c r="E983" s="12">
        <v>611</v>
      </c>
      <c r="F983" s="14" t="s">
        <v>4336</v>
      </c>
      <c r="G983" s="12" t="s">
        <v>7</v>
      </c>
      <c r="H983" s="12" t="s">
        <v>9</v>
      </c>
      <c r="I983" s="11" t="s">
        <v>4508</v>
      </c>
      <c r="J983" s="12" t="s">
        <v>1545</v>
      </c>
      <c r="K983" s="12" t="str">
        <f t="shared" si="61"/>
        <v>Closed</v>
      </c>
      <c r="L983" s="13">
        <v>44705</v>
      </c>
      <c r="M983" s="12"/>
      <c r="N983" s="12" t="s">
        <v>2482</v>
      </c>
      <c r="O983" s="12"/>
      <c r="P983" s="12" t="s">
        <v>3790</v>
      </c>
      <c r="Q983" s="12"/>
      <c r="R983" s="12"/>
      <c r="S983" s="12"/>
      <c r="T983" s="13" t="s">
        <v>1547</v>
      </c>
      <c r="U983" s="12" t="str">
        <f t="shared" si="64"/>
        <v>Corrected</v>
      </c>
      <c r="V983" s="12" t="str">
        <f t="shared" si="62"/>
        <v>KHAN Jahan</v>
      </c>
      <c r="W983" s="13">
        <f t="shared" si="63"/>
        <v>44705</v>
      </c>
    </row>
    <row r="984" spans="1:23" ht="14.4" customHeight="1" x14ac:dyDescent="0.3">
      <c r="A984" s="28">
        <v>44665</v>
      </c>
      <c r="B984" s="12" t="s">
        <v>3852</v>
      </c>
      <c r="C984" s="12" t="s">
        <v>1687</v>
      </c>
      <c r="D984" s="5"/>
      <c r="E984" s="12">
        <v>613</v>
      </c>
      <c r="F984" s="11" t="s">
        <v>4026</v>
      </c>
      <c r="G984" s="12" t="s">
        <v>7</v>
      </c>
      <c r="H984" s="12" t="s">
        <v>9</v>
      </c>
      <c r="I984" s="11" t="s">
        <v>4010</v>
      </c>
      <c r="J984" s="12" t="s">
        <v>1545</v>
      </c>
      <c r="K984" s="12" t="str">
        <f t="shared" si="61"/>
        <v>Closed</v>
      </c>
      <c r="L984" s="13">
        <v>44679</v>
      </c>
      <c r="M984" s="12"/>
      <c r="N984" s="12" t="s">
        <v>2482</v>
      </c>
      <c r="O984" s="12" t="s">
        <v>4021</v>
      </c>
      <c r="P984" s="12" t="s">
        <v>3790</v>
      </c>
      <c r="Q984" s="12"/>
      <c r="R984" s="12"/>
      <c r="S984" s="12"/>
      <c r="T984" s="13" t="s">
        <v>1547</v>
      </c>
      <c r="U984" s="12" t="str">
        <f t="shared" si="64"/>
        <v>Corrected</v>
      </c>
      <c r="V984" s="12" t="str">
        <f t="shared" si="62"/>
        <v>KHAN Jahan</v>
      </c>
      <c r="W984" s="13">
        <f t="shared" si="63"/>
        <v>44679</v>
      </c>
    </row>
    <row r="985" spans="1:23" ht="14.4" customHeight="1" x14ac:dyDescent="0.3">
      <c r="A985" s="28">
        <v>44665</v>
      </c>
      <c r="B985" s="12" t="s">
        <v>3853</v>
      </c>
      <c r="C985" s="12" t="s">
        <v>1687</v>
      </c>
      <c r="D985" s="5"/>
      <c r="E985" s="12">
        <v>616</v>
      </c>
      <c r="F985" s="11" t="s">
        <v>3854</v>
      </c>
      <c r="G985" s="12" t="s">
        <v>7</v>
      </c>
      <c r="H985" s="12" t="s">
        <v>9</v>
      </c>
      <c r="I985" s="11" t="s">
        <v>4010</v>
      </c>
      <c r="J985" s="12" t="s">
        <v>1545</v>
      </c>
      <c r="K985" s="12" t="str">
        <f t="shared" si="61"/>
        <v>Closed</v>
      </c>
      <c r="L985" s="13">
        <v>44704</v>
      </c>
      <c r="M985" s="12"/>
      <c r="N985" s="12" t="s">
        <v>2482</v>
      </c>
      <c r="O985" s="12"/>
      <c r="P985" s="12" t="s">
        <v>3790</v>
      </c>
      <c r="Q985" s="12"/>
      <c r="R985" s="12"/>
      <c r="S985" s="12"/>
      <c r="T985" s="13" t="s">
        <v>1547</v>
      </c>
      <c r="U985" s="12" t="str">
        <f t="shared" si="64"/>
        <v>Corrected</v>
      </c>
      <c r="V985" s="12" t="str">
        <f t="shared" si="62"/>
        <v>KHAN Jahan</v>
      </c>
      <c r="W985" s="13">
        <f t="shared" si="63"/>
        <v>44704</v>
      </c>
    </row>
    <row r="986" spans="1:23" ht="14.4" customHeight="1" x14ac:dyDescent="0.3">
      <c r="A986" s="28">
        <v>44665</v>
      </c>
      <c r="B986" s="12" t="s">
        <v>3855</v>
      </c>
      <c r="C986" s="12" t="s">
        <v>1687</v>
      </c>
      <c r="D986" s="5"/>
      <c r="E986" s="12">
        <v>617</v>
      </c>
      <c r="F986" s="11" t="s">
        <v>3856</v>
      </c>
      <c r="G986" s="12" t="s">
        <v>7</v>
      </c>
      <c r="H986" s="12" t="s">
        <v>9</v>
      </c>
      <c r="I986" s="11" t="s">
        <v>4027</v>
      </c>
      <c r="J986" s="12" t="s">
        <v>1545</v>
      </c>
      <c r="K986" s="12" t="str">
        <f t="shared" si="61"/>
        <v>Closed</v>
      </c>
      <c r="L986" s="13">
        <v>44690</v>
      </c>
      <c r="M986" s="12"/>
      <c r="N986" s="12" t="s">
        <v>2482</v>
      </c>
      <c r="O986" s="12"/>
      <c r="P986" s="12" t="s">
        <v>3790</v>
      </c>
      <c r="Q986" s="12"/>
      <c r="R986" s="12"/>
      <c r="S986" s="12"/>
      <c r="T986" s="13" t="s">
        <v>1547</v>
      </c>
      <c r="U986" s="12" t="str">
        <f t="shared" si="64"/>
        <v>Corrected</v>
      </c>
      <c r="V986" s="12" t="str">
        <f t="shared" si="62"/>
        <v>KHAN Jahan</v>
      </c>
      <c r="W986" s="13">
        <f t="shared" si="63"/>
        <v>44690</v>
      </c>
    </row>
    <row r="987" spans="1:23" ht="14.4" customHeight="1" x14ac:dyDescent="0.3">
      <c r="A987" s="28">
        <v>44665</v>
      </c>
      <c r="B987" s="12" t="s">
        <v>3857</v>
      </c>
      <c r="C987" s="12" t="s">
        <v>1687</v>
      </c>
      <c r="D987" s="5"/>
      <c r="E987" s="12">
        <v>618</v>
      </c>
      <c r="F987" s="11" t="s">
        <v>3858</v>
      </c>
      <c r="G987" s="12" t="s">
        <v>7</v>
      </c>
      <c r="H987" s="12" t="s">
        <v>9</v>
      </c>
      <c r="I987" s="11" t="s">
        <v>4411</v>
      </c>
      <c r="J987" s="12" t="s">
        <v>1609</v>
      </c>
      <c r="K987" s="12" t="str">
        <f t="shared" si="61"/>
        <v>Open</v>
      </c>
      <c r="L987" s="13"/>
      <c r="M987" s="12"/>
      <c r="N987" s="12" t="s">
        <v>2482</v>
      </c>
      <c r="O987" s="12"/>
      <c r="P987" s="12" t="s">
        <v>3790</v>
      </c>
      <c r="Q987" s="12"/>
      <c r="R987" s="12" t="s">
        <v>3566</v>
      </c>
      <c r="S987" s="12" t="s">
        <v>19</v>
      </c>
      <c r="T987" s="13" t="s">
        <v>1547</v>
      </c>
      <c r="U987" s="12" t="str">
        <f t="shared" si="64"/>
        <v>CM Open</v>
      </c>
      <c r="V987" s="12" t="str">
        <f t="shared" si="62"/>
        <v>DAOUDI Mohamed</v>
      </c>
      <c r="W987" s="13" t="str">
        <f t="shared" si="63"/>
        <v/>
      </c>
    </row>
    <row r="988" spans="1:23" ht="14.4" customHeight="1" x14ac:dyDescent="0.3">
      <c r="A988" s="28">
        <v>44665</v>
      </c>
      <c r="B988" s="12" t="s">
        <v>3859</v>
      </c>
      <c r="C988" s="12" t="s">
        <v>1687</v>
      </c>
      <c r="D988" s="5"/>
      <c r="E988" s="12">
        <v>620</v>
      </c>
      <c r="F988" s="14" t="s">
        <v>4337</v>
      </c>
      <c r="G988" s="12" t="s">
        <v>7</v>
      </c>
      <c r="H988" s="12" t="s">
        <v>9</v>
      </c>
      <c r="I988" s="11" t="s">
        <v>4010</v>
      </c>
      <c r="J988" s="12" t="s">
        <v>1545</v>
      </c>
      <c r="K988" s="12" t="str">
        <f t="shared" si="61"/>
        <v>Closed</v>
      </c>
      <c r="L988" s="13">
        <v>44704</v>
      </c>
      <c r="M988" s="12"/>
      <c r="N988" s="12" t="s">
        <v>2482</v>
      </c>
      <c r="O988" s="12"/>
      <c r="P988" s="12" t="s">
        <v>3790</v>
      </c>
      <c r="Q988" s="12"/>
      <c r="R988" s="12"/>
      <c r="S988" s="12"/>
      <c r="T988" s="13" t="s">
        <v>1547</v>
      </c>
      <c r="U988" s="12" t="str">
        <f t="shared" si="64"/>
        <v>Corrected</v>
      </c>
      <c r="V988" s="12" t="str">
        <f t="shared" si="62"/>
        <v>KHAN Jahan</v>
      </c>
      <c r="W988" s="13">
        <f t="shared" si="63"/>
        <v>44704</v>
      </c>
    </row>
    <row r="989" spans="1:23" ht="14.4" customHeight="1" x14ac:dyDescent="0.3">
      <c r="A989" s="28">
        <v>44665</v>
      </c>
      <c r="B989" s="12" t="s">
        <v>3860</v>
      </c>
      <c r="C989" s="12" t="s">
        <v>1687</v>
      </c>
      <c r="D989" s="5"/>
      <c r="E989" s="12">
        <v>623</v>
      </c>
      <c r="F989" s="11" t="s">
        <v>3861</v>
      </c>
      <c r="G989" s="12" t="s">
        <v>7</v>
      </c>
      <c r="H989" s="12" t="s">
        <v>9</v>
      </c>
      <c r="I989" s="36" t="s">
        <v>4010</v>
      </c>
      <c r="J989" s="12" t="s">
        <v>1545</v>
      </c>
      <c r="K989" s="12" t="str">
        <f t="shared" si="61"/>
        <v>Closed</v>
      </c>
      <c r="L989" s="13">
        <v>44704</v>
      </c>
      <c r="M989" s="12"/>
      <c r="N989" s="12" t="s">
        <v>2482</v>
      </c>
      <c r="O989" s="12"/>
      <c r="P989" s="12" t="s">
        <v>3790</v>
      </c>
      <c r="Q989" s="12"/>
      <c r="R989" s="12"/>
      <c r="S989" s="12"/>
      <c r="T989" s="13" t="s">
        <v>1547</v>
      </c>
      <c r="U989" s="12" t="str">
        <f t="shared" si="64"/>
        <v>Corrected</v>
      </c>
      <c r="V989" s="12" t="str">
        <f t="shared" si="62"/>
        <v>KHAN Jahan</v>
      </c>
      <c r="W989" s="13">
        <f t="shared" si="63"/>
        <v>44704</v>
      </c>
    </row>
    <row r="990" spans="1:23" ht="14.4" customHeight="1" x14ac:dyDescent="0.3">
      <c r="A990" s="28">
        <v>44665</v>
      </c>
      <c r="B990" s="12" t="s">
        <v>3862</v>
      </c>
      <c r="C990" s="12" t="s">
        <v>1687</v>
      </c>
      <c r="D990" s="5"/>
      <c r="E990" s="12">
        <v>626</v>
      </c>
      <c r="F990" s="14" t="s">
        <v>4338</v>
      </c>
      <c r="G990" s="12" t="s">
        <v>7</v>
      </c>
      <c r="H990" s="12" t="s">
        <v>9</v>
      </c>
      <c r="I990" s="36" t="s">
        <v>4010</v>
      </c>
      <c r="J990" s="12" t="s">
        <v>1545</v>
      </c>
      <c r="K990" s="12" t="str">
        <f t="shared" si="61"/>
        <v>Closed</v>
      </c>
      <c r="L990" s="13">
        <v>44704</v>
      </c>
      <c r="M990" s="12"/>
      <c r="N990" s="12" t="s">
        <v>2482</v>
      </c>
      <c r="O990" s="12"/>
      <c r="P990" s="12" t="s">
        <v>3790</v>
      </c>
      <c r="Q990" s="12"/>
      <c r="R990" s="12"/>
      <c r="S990" s="12"/>
      <c r="T990" s="13" t="s">
        <v>1547</v>
      </c>
      <c r="U990" s="12" t="str">
        <f t="shared" si="64"/>
        <v>Corrected</v>
      </c>
      <c r="V990" s="12" t="str">
        <f t="shared" si="62"/>
        <v>KHAN Jahan</v>
      </c>
      <c r="W990" s="13">
        <f t="shared" si="63"/>
        <v>44704</v>
      </c>
    </row>
    <row r="991" spans="1:23" ht="14.4" customHeight="1" x14ac:dyDescent="0.3">
      <c r="A991" s="28">
        <v>44665</v>
      </c>
      <c r="B991" s="12" t="s">
        <v>3863</v>
      </c>
      <c r="C991" s="12" t="s">
        <v>1687</v>
      </c>
      <c r="D991" s="5"/>
      <c r="E991" s="12">
        <v>402</v>
      </c>
      <c r="F991" s="11" t="s">
        <v>3864</v>
      </c>
      <c r="G991" s="12" t="s">
        <v>7</v>
      </c>
      <c r="H991" s="12" t="s">
        <v>9</v>
      </c>
      <c r="I991" s="11" t="s">
        <v>3989</v>
      </c>
      <c r="J991" s="12" t="s">
        <v>1545</v>
      </c>
      <c r="K991" s="12" t="str">
        <f t="shared" si="61"/>
        <v>Closed</v>
      </c>
      <c r="L991" s="13">
        <v>44677</v>
      </c>
      <c r="M991" s="12"/>
      <c r="N991" s="12" t="s">
        <v>2482</v>
      </c>
      <c r="O991" s="12" t="s">
        <v>4021</v>
      </c>
      <c r="P991" s="12" t="s">
        <v>3790</v>
      </c>
      <c r="Q991" s="12"/>
      <c r="R991" s="12"/>
      <c r="S991" s="12"/>
      <c r="T991" s="13" t="s">
        <v>1547</v>
      </c>
      <c r="U991" s="12" t="str">
        <f t="shared" si="64"/>
        <v>Corrected</v>
      </c>
      <c r="V991" s="12" t="str">
        <f t="shared" si="62"/>
        <v>KHAN Jahan</v>
      </c>
      <c r="W991" s="13">
        <f t="shared" si="63"/>
        <v>44677</v>
      </c>
    </row>
    <row r="992" spans="1:23" ht="14.4" customHeight="1" x14ac:dyDescent="0.3">
      <c r="A992" s="28">
        <v>44665</v>
      </c>
      <c r="B992" s="12" t="s">
        <v>3865</v>
      </c>
      <c r="C992" s="12" t="s">
        <v>1687</v>
      </c>
      <c r="D992" s="5"/>
      <c r="E992" s="12">
        <v>403</v>
      </c>
      <c r="F992" s="11" t="s">
        <v>3866</v>
      </c>
      <c r="G992" s="12" t="s">
        <v>7</v>
      </c>
      <c r="H992" s="12" t="s">
        <v>9</v>
      </c>
      <c r="I992" s="11"/>
      <c r="J992" s="12" t="s">
        <v>1545</v>
      </c>
      <c r="K992" s="12" t="str">
        <f t="shared" si="61"/>
        <v>Closed</v>
      </c>
      <c r="L992" s="13"/>
      <c r="M992" s="12"/>
      <c r="N992" s="12" t="s">
        <v>2482</v>
      </c>
      <c r="O992" s="12"/>
      <c r="P992" s="12" t="s">
        <v>3790</v>
      </c>
      <c r="Q992" s="12"/>
      <c r="R992" s="12"/>
      <c r="S992" s="12"/>
      <c r="T992" s="13" t="s">
        <v>1547</v>
      </c>
      <c r="U992" s="12" t="str">
        <f t="shared" si="64"/>
        <v>Corrected</v>
      </c>
      <c r="V992" s="12" t="str">
        <f t="shared" si="62"/>
        <v>KHAN Jahan</v>
      </c>
      <c r="W992" s="13"/>
    </row>
    <row r="993" spans="1:23" ht="28.8" customHeight="1" x14ac:dyDescent="0.3">
      <c r="A993" s="28">
        <v>44665</v>
      </c>
      <c r="B993" s="12" t="s">
        <v>3867</v>
      </c>
      <c r="C993" s="12" t="s">
        <v>1687</v>
      </c>
      <c r="D993" s="5"/>
      <c r="E993" s="12">
        <v>404</v>
      </c>
      <c r="F993" s="11" t="s">
        <v>3868</v>
      </c>
      <c r="G993" s="12" t="s">
        <v>7</v>
      </c>
      <c r="H993" s="12" t="s">
        <v>9</v>
      </c>
      <c r="I993" s="11"/>
      <c r="J993" s="12" t="s">
        <v>1545</v>
      </c>
      <c r="K993" s="12" t="str">
        <f t="shared" si="61"/>
        <v>Closed</v>
      </c>
      <c r="L993" s="13">
        <v>44678</v>
      </c>
      <c r="M993" s="12"/>
      <c r="N993" s="12" t="s">
        <v>2482</v>
      </c>
      <c r="O993" s="12" t="s">
        <v>4021</v>
      </c>
      <c r="P993" s="12" t="s">
        <v>3790</v>
      </c>
      <c r="Q993" s="12"/>
      <c r="R993" s="12"/>
      <c r="S993" s="12"/>
      <c r="T993" s="13" t="s">
        <v>1547</v>
      </c>
      <c r="U993" s="12" t="str">
        <f t="shared" si="64"/>
        <v>Corrected</v>
      </c>
      <c r="V993" s="12" t="str">
        <f t="shared" si="62"/>
        <v>KHAN Jahan</v>
      </c>
      <c r="W993" s="13">
        <f t="shared" si="63"/>
        <v>44678</v>
      </c>
    </row>
    <row r="994" spans="1:23" ht="14.4" customHeight="1" x14ac:dyDescent="0.3">
      <c r="A994" s="28">
        <v>44665</v>
      </c>
      <c r="B994" s="12" t="s">
        <v>3869</v>
      </c>
      <c r="C994" s="12" t="s">
        <v>1687</v>
      </c>
      <c r="D994" s="5"/>
      <c r="E994" s="12">
        <v>405</v>
      </c>
      <c r="F994" s="11" t="s">
        <v>3870</v>
      </c>
      <c r="G994" s="12" t="s">
        <v>7</v>
      </c>
      <c r="H994" s="12" t="s">
        <v>9</v>
      </c>
      <c r="I994" s="11"/>
      <c r="J994" s="12" t="s">
        <v>1582</v>
      </c>
      <c r="K994" s="12" t="str">
        <f t="shared" si="61"/>
        <v>Open</v>
      </c>
      <c r="L994" s="13"/>
      <c r="M994" s="12"/>
      <c r="N994" s="12" t="s">
        <v>2482</v>
      </c>
      <c r="O994" s="12"/>
      <c r="P994" s="12" t="s">
        <v>3790</v>
      </c>
      <c r="Q994" s="12"/>
      <c r="R994" s="12"/>
      <c r="S994" s="12"/>
      <c r="T994" s="13" t="s">
        <v>1547</v>
      </c>
      <c r="U994" s="12" t="str">
        <f t="shared" si="64"/>
        <v>Not Started</v>
      </c>
      <c r="V994" s="12" t="str">
        <f t="shared" si="62"/>
        <v>KHAN Jahan</v>
      </c>
      <c r="W994" s="13" t="str">
        <f t="shared" si="63"/>
        <v/>
      </c>
    </row>
    <row r="995" spans="1:23" ht="14.4" customHeight="1" x14ac:dyDescent="0.3">
      <c r="A995" s="28">
        <v>44665</v>
      </c>
      <c r="B995" s="12" t="s">
        <v>3871</v>
      </c>
      <c r="C995" s="12" t="s">
        <v>1687</v>
      </c>
      <c r="D995" s="5"/>
      <c r="E995" s="12">
        <v>406</v>
      </c>
      <c r="F995" s="11" t="s">
        <v>3872</v>
      </c>
      <c r="G995" s="12" t="s">
        <v>7</v>
      </c>
      <c r="H995" s="12" t="s">
        <v>9</v>
      </c>
      <c r="I995" s="11" t="s">
        <v>4010</v>
      </c>
      <c r="J995" s="12" t="s">
        <v>1545</v>
      </c>
      <c r="K995" s="12" t="str">
        <f t="shared" ref="K995:K1000" si="65">IF(J995="Corrected","Closed",IF(J995="NFF","Closed","Open"))</f>
        <v>Closed</v>
      </c>
      <c r="L995" s="13">
        <v>44704</v>
      </c>
      <c r="M995" s="12"/>
      <c r="N995" s="12" t="s">
        <v>2482</v>
      </c>
      <c r="O995" s="12"/>
      <c r="P995" s="12" t="s">
        <v>3790</v>
      </c>
      <c r="Q995" s="12"/>
      <c r="R995" s="12"/>
      <c r="S995" s="12"/>
      <c r="T995" s="13" t="s">
        <v>1547</v>
      </c>
      <c r="U995" s="12" t="str">
        <f t="shared" si="64"/>
        <v>Corrected</v>
      </c>
      <c r="V995" s="12" t="str">
        <f t="shared" si="62"/>
        <v>KHAN Jahan</v>
      </c>
      <c r="W995" s="13">
        <f t="shared" si="63"/>
        <v>44704</v>
      </c>
    </row>
    <row r="996" spans="1:23" ht="28.8" customHeight="1" x14ac:dyDescent="0.3">
      <c r="A996" s="28">
        <v>44665</v>
      </c>
      <c r="B996" s="12" t="s">
        <v>3873</v>
      </c>
      <c r="C996" s="12" t="s">
        <v>1687</v>
      </c>
      <c r="D996" s="5"/>
      <c r="E996" s="12">
        <v>407</v>
      </c>
      <c r="F996" s="11" t="s">
        <v>3874</v>
      </c>
      <c r="G996" s="12" t="s">
        <v>7</v>
      </c>
      <c r="H996" s="12" t="s">
        <v>9</v>
      </c>
      <c r="I996" s="11" t="s">
        <v>4027</v>
      </c>
      <c r="J996" s="12" t="s">
        <v>1545</v>
      </c>
      <c r="K996" s="12" t="str">
        <f t="shared" si="65"/>
        <v>Closed</v>
      </c>
      <c r="L996" s="13">
        <v>44690</v>
      </c>
      <c r="M996" s="12"/>
      <c r="N996" s="12" t="s">
        <v>2482</v>
      </c>
      <c r="O996" s="12"/>
      <c r="P996" s="12" t="s">
        <v>3790</v>
      </c>
      <c r="Q996" s="12"/>
      <c r="R996" s="12"/>
      <c r="S996" s="12"/>
      <c r="T996" s="13" t="s">
        <v>1547</v>
      </c>
      <c r="U996" s="12" t="str">
        <f t="shared" si="64"/>
        <v>Corrected</v>
      </c>
      <c r="V996" s="12" t="str">
        <f t="shared" si="62"/>
        <v>KHAN Jahan</v>
      </c>
      <c r="W996" s="13">
        <f t="shared" si="63"/>
        <v>44690</v>
      </c>
    </row>
    <row r="997" spans="1:23" ht="14.4" customHeight="1" x14ac:dyDescent="0.3">
      <c r="A997" s="28">
        <v>44665</v>
      </c>
      <c r="B997" s="12" t="s">
        <v>3875</v>
      </c>
      <c r="C997" s="12" t="s">
        <v>1687</v>
      </c>
      <c r="D997" s="5"/>
      <c r="E997" s="12">
        <v>408</v>
      </c>
      <c r="F997" s="11" t="s">
        <v>3876</v>
      </c>
      <c r="G997" s="12" t="s">
        <v>7</v>
      </c>
      <c r="H997" s="12" t="s">
        <v>9</v>
      </c>
      <c r="I997" s="11" t="s">
        <v>4067</v>
      </c>
      <c r="J997" s="12" t="s">
        <v>1545</v>
      </c>
      <c r="K997" s="12" t="str">
        <f t="shared" si="65"/>
        <v>Closed</v>
      </c>
      <c r="L997" s="13">
        <v>44690</v>
      </c>
      <c r="M997" s="12"/>
      <c r="N997" s="12" t="s">
        <v>2482</v>
      </c>
      <c r="O997" s="12"/>
      <c r="P997" s="12" t="s">
        <v>3790</v>
      </c>
      <c r="Q997" s="12"/>
      <c r="R997" s="12"/>
      <c r="S997" s="12"/>
      <c r="T997" s="13" t="s">
        <v>1547</v>
      </c>
      <c r="U997" s="12" t="str">
        <f t="shared" si="64"/>
        <v>Corrected</v>
      </c>
      <c r="V997" s="12" t="str">
        <f t="shared" si="62"/>
        <v>KHAN Jahan</v>
      </c>
      <c r="W997" s="13">
        <f t="shared" si="63"/>
        <v>44690</v>
      </c>
    </row>
    <row r="998" spans="1:23" ht="14.4" customHeight="1" x14ac:dyDescent="0.3">
      <c r="A998" s="28">
        <v>44665</v>
      </c>
      <c r="B998" s="12" t="s">
        <v>3877</v>
      </c>
      <c r="C998" s="12" t="s">
        <v>1687</v>
      </c>
      <c r="D998" s="5"/>
      <c r="E998" s="12">
        <v>415</v>
      </c>
      <c r="F998" s="11" t="s">
        <v>3878</v>
      </c>
      <c r="G998" s="12" t="s">
        <v>7</v>
      </c>
      <c r="H998" s="12" t="s">
        <v>9</v>
      </c>
      <c r="I998" s="11" t="s">
        <v>4067</v>
      </c>
      <c r="J998" s="12" t="s">
        <v>1545</v>
      </c>
      <c r="K998" s="12" t="str">
        <f t="shared" si="65"/>
        <v>Closed</v>
      </c>
      <c r="L998" s="13">
        <v>44690</v>
      </c>
      <c r="M998" s="12"/>
      <c r="N998" s="12" t="s">
        <v>2482</v>
      </c>
      <c r="O998" s="12"/>
      <c r="P998" s="12" t="s">
        <v>3790</v>
      </c>
      <c r="Q998" s="12"/>
      <c r="R998" s="12"/>
      <c r="S998" s="12"/>
      <c r="T998" s="13" t="s">
        <v>1547</v>
      </c>
      <c r="U998" s="12" t="str">
        <f t="shared" si="64"/>
        <v>Corrected</v>
      </c>
      <c r="V998" s="12" t="str">
        <f t="shared" si="62"/>
        <v>KHAN Jahan</v>
      </c>
      <c r="W998" s="13">
        <f t="shared" si="63"/>
        <v>44690</v>
      </c>
    </row>
    <row r="999" spans="1:23" ht="14.4" customHeight="1" x14ac:dyDescent="0.3">
      <c r="A999" s="28">
        <v>44665</v>
      </c>
      <c r="B999" s="12" t="s">
        <v>3879</v>
      </c>
      <c r="C999" s="12" t="s">
        <v>1687</v>
      </c>
      <c r="D999" s="5"/>
      <c r="E999" s="12">
        <v>416</v>
      </c>
      <c r="F999" s="11" t="s">
        <v>3880</v>
      </c>
      <c r="G999" s="12" t="s">
        <v>7</v>
      </c>
      <c r="H999" s="12" t="s">
        <v>9</v>
      </c>
      <c r="I999" s="11" t="s">
        <v>4067</v>
      </c>
      <c r="J999" s="12" t="s">
        <v>1545</v>
      </c>
      <c r="K999" s="12" t="str">
        <f t="shared" si="65"/>
        <v>Closed</v>
      </c>
      <c r="L999" s="13">
        <v>44690</v>
      </c>
      <c r="M999" s="12"/>
      <c r="N999" s="12" t="s">
        <v>2482</v>
      </c>
      <c r="O999" s="12"/>
      <c r="P999" s="12" t="s">
        <v>3790</v>
      </c>
      <c r="Q999" s="12"/>
      <c r="R999" s="12"/>
      <c r="S999" s="12"/>
      <c r="T999" s="13" t="s">
        <v>1547</v>
      </c>
      <c r="U999" s="12" t="str">
        <f t="shared" si="64"/>
        <v>Corrected</v>
      </c>
      <c r="V999" s="12" t="str">
        <f t="shared" si="62"/>
        <v>KHAN Jahan</v>
      </c>
      <c r="W999" s="13">
        <f t="shared" si="63"/>
        <v>44690</v>
      </c>
    </row>
    <row r="1000" spans="1:23" ht="14.4" customHeight="1" x14ac:dyDescent="0.3">
      <c r="A1000" s="28">
        <v>44665</v>
      </c>
      <c r="B1000" s="12" t="s">
        <v>3883</v>
      </c>
      <c r="C1000" s="12" t="s">
        <v>1542</v>
      </c>
      <c r="D1000" s="5"/>
      <c r="E1000" s="12">
        <v>415</v>
      </c>
      <c r="F1000" s="11" t="s">
        <v>3887</v>
      </c>
      <c r="G1000" s="12" t="s">
        <v>7</v>
      </c>
      <c r="H1000" s="12" t="s">
        <v>9</v>
      </c>
      <c r="I1000" s="11"/>
      <c r="J1000" s="12" t="s">
        <v>1582</v>
      </c>
      <c r="K1000" s="12" t="str">
        <f t="shared" si="65"/>
        <v>Open</v>
      </c>
      <c r="L1000" s="13"/>
      <c r="M1000" s="12"/>
      <c r="N1000" s="12" t="s">
        <v>2448</v>
      </c>
      <c r="O1000" s="12"/>
      <c r="P1000" s="12" t="s">
        <v>3790</v>
      </c>
      <c r="Q1000" s="12"/>
      <c r="R1000" s="12"/>
      <c r="S1000" s="12"/>
      <c r="T1000" s="13" t="s">
        <v>1547</v>
      </c>
      <c r="U1000" s="12" t="str">
        <f t="shared" si="64"/>
        <v>Not Started</v>
      </c>
      <c r="V1000" s="12" t="str">
        <f t="shared" si="62"/>
        <v>KHAN Jahan</v>
      </c>
      <c r="W1000" s="13" t="str">
        <f t="shared" si="63"/>
        <v/>
      </c>
    </row>
    <row r="1001" spans="1:23" ht="14.4" customHeight="1" x14ac:dyDescent="0.3">
      <c r="A1001" s="28">
        <v>44665</v>
      </c>
      <c r="B1001" s="12" t="s">
        <v>3885</v>
      </c>
      <c r="C1001" s="12" t="s">
        <v>1542</v>
      </c>
      <c r="D1001" s="5"/>
      <c r="E1001" s="12"/>
      <c r="F1001" s="11" t="s">
        <v>3882</v>
      </c>
      <c r="G1001" s="12"/>
      <c r="H1001" s="12"/>
      <c r="I1001" s="11"/>
      <c r="J1001" s="12" t="s">
        <v>1582</v>
      </c>
      <c r="K1001" s="12" t="str">
        <f>IF(J1001="Corrected","Closed",IF(J1001="NFF","Closed","Open"))</f>
        <v>Open</v>
      </c>
      <c r="L1001" s="13"/>
      <c r="M1001" s="12"/>
      <c r="N1001" s="12"/>
      <c r="O1001" s="12"/>
      <c r="P1001" s="12" t="s">
        <v>3790</v>
      </c>
      <c r="Q1001" s="12"/>
      <c r="R1001" s="12"/>
      <c r="S1001" s="12"/>
      <c r="T1001" s="13" t="s">
        <v>1547</v>
      </c>
      <c r="U1001" s="12" t="str">
        <f t="shared" si="64"/>
        <v>Not Started</v>
      </c>
      <c r="V1001" s="12">
        <f t="shared" si="62"/>
        <v>0</v>
      </c>
      <c r="W1001" s="13" t="str">
        <f t="shared" si="63"/>
        <v/>
      </c>
    </row>
    <row r="1002" spans="1:23" x14ac:dyDescent="0.3">
      <c r="A1002" s="28">
        <v>44665</v>
      </c>
      <c r="B1002" s="12" t="s">
        <v>3889</v>
      </c>
      <c r="C1002" s="12" t="s">
        <v>1542</v>
      </c>
      <c r="D1002" s="5"/>
      <c r="E1002" s="12">
        <v>404</v>
      </c>
      <c r="F1002" s="11" t="s">
        <v>3890</v>
      </c>
      <c r="G1002" s="12" t="s">
        <v>7</v>
      </c>
      <c r="H1002" s="12" t="s">
        <v>9</v>
      </c>
      <c r="I1002" s="11"/>
      <c r="J1002" s="12" t="s">
        <v>1574</v>
      </c>
      <c r="K1002" s="12" t="str">
        <f>IF(J1002="Corrected","Closed",IF(J1002="NFF","Closed","Open"))</f>
        <v>Closed</v>
      </c>
      <c r="L1002" s="13">
        <v>44678</v>
      </c>
      <c r="M1002" s="12"/>
      <c r="N1002" s="12" t="s">
        <v>4428</v>
      </c>
      <c r="O1002" s="12"/>
      <c r="P1002" s="12" t="s">
        <v>3790</v>
      </c>
      <c r="Q1002" s="12"/>
      <c r="R1002" s="12"/>
      <c r="S1002" s="12"/>
      <c r="T1002" s="13" t="s">
        <v>1547</v>
      </c>
      <c r="U1002" s="12" t="str">
        <f t="shared" si="64"/>
        <v>NFF</v>
      </c>
      <c r="V1002" s="12" t="str">
        <f t="shared" si="62"/>
        <v>KHAN Jahan</v>
      </c>
      <c r="W1002" s="13">
        <f t="shared" si="63"/>
        <v>44678</v>
      </c>
    </row>
    <row r="1003" spans="1:23" x14ac:dyDescent="0.3">
      <c r="A1003" s="28">
        <v>44665</v>
      </c>
      <c r="B1003" s="12" t="s">
        <v>3891</v>
      </c>
      <c r="C1003" s="12" t="s">
        <v>1542</v>
      </c>
      <c r="D1003" s="5"/>
      <c r="E1003" s="12">
        <v>622</v>
      </c>
      <c r="F1003" s="11" t="s">
        <v>3690</v>
      </c>
      <c r="G1003" s="12" t="s">
        <v>7</v>
      </c>
      <c r="H1003" s="12" t="s">
        <v>11</v>
      </c>
      <c r="I1003" s="11" t="s">
        <v>3913</v>
      </c>
      <c r="J1003" s="12" t="s">
        <v>1574</v>
      </c>
      <c r="K1003" s="12" t="str">
        <f t="shared" ref="K1003:K1066" si="66">IF(J1003="Corrected","Closed",IF(J1003="NFF","Closed","Open"))</f>
        <v>Closed</v>
      </c>
      <c r="L1003" s="13">
        <v>44669</v>
      </c>
      <c r="M1003" s="12"/>
      <c r="N1003" s="12" t="s">
        <v>4429</v>
      </c>
      <c r="O1003" s="12"/>
      <c r="P1003" s="12" t="s">
        <v>3790</v>
      </c>
      <c r="Q1003" s="12"/>
      <c r="R1003" s="12"/>
      <c r="S1003" s="12"/>
      <c r="T1003" s="13" t="s">
        <v>1547</v>
      </c>
      <c r="U1003" s="12" t="str">
        <f t="shared" si="64"/>
        <v>NFF</v>
      </c>
      <c r="V1003" s="12" t="str">
        <f t="shared" si="62"/>
        <v>FIRDUS Ahmad</v>
      </c>
      <c r="W1003" s="13">
        <f t="shared" si="63"/>
        <v>44669</v>
      </c>
    </row>
    <row r="1004" spans="1:23" ht="28.8" customHeight="1" x14ac:dyDescent="0.3">
      <c r="A1004" s="28">
        <v>44668</v>
      </c>
      <c r="B1004" s="12" t="s">
        <v>3900</v>
      </c>
      <c r="C1004" s="12" t="s">
        <v>1690</v>
      </c>
      <c r="D1004" s="5"/>
      <c r="E1004" s="12">
        <v>612</v>
      </c>
      <c r="F1004" s="11" t="s">
        <v>3901</v>
      </c>
      <c r="G1004" s="12" t="s">
        <v>1</v>
      </c>
      <c r="H1004" s="12" t="s">
        <v>14</v>
      </c>
      <c r="I1004" s="11" t="s">
        <v>3930</v>
      </c>
      <c r="J1004" s="12" t="s">
        <v>1574</v>
      </c>
      <c r="K1004" s="12" t="str">
        <f t="shared" si="66"/>
        <v>Closed</v>
      </c>
      <c r="L1004" s="13">
        <v>44670</v>
      </c>
      <c r="M1004" s="12"/>
      <c r="N1004" s="12" t="s">
        <v>4427</v>
      </c>
      <c r="O1004" s="12"/>
      <c r="P1004" s="12" t="s">
        <v>3790</v>
      </c>
      <c r="Q1004" s="12"/>
      <c r="R1004" s="12"/>
      <c r="S1004" s="12"/>
      <c r="T1004" s="13" t="s">
        <v>1547</v>
      </c>
      <c r="U1004" s="12" t="str">
        <f t="shared" si="64"/>
        <v>NFF</v>
      </c>
      <c r="V1004" s="12" t="str">
        <f t="shared" si="62"/>
        <v>GUAN Jialin</v>
      </c>
      <c r="W1004" s="13">
        <f t="shared" si="63"/>
        <v>44670</v>
      </c>
    </row>
    <row r="1005" spans="1:23" ht="28.8" customHeight="1" x14ac:dyDescent="0.3">
      <c r="A1005" s="28">
        <v>44668</v>
      </c>
      <c r="B1005" s="12" t="s">
        <v>3902</v>
      </c>
      <c r="C1005" s="12" t="s">
        <v>1690</v>
      </c>
      <c r="D1005" s="5"/>
      <c r="E1005" s="12">
        <v>405</v>
      </c>
      <c r="F1005" s="11" t="s">
        <v>3903</v>
      </c>
      <c r="G1005" s="12" t="s">
        <v>1</v>
      </c>
      <c r="H1005" s="12" t="s">
        <v>11</v>
      </c>
      <c r="I1005" s="11" t="s">
        <v>3904</v>
      </c>
      <c r="J1005" s="12" t="s">
        <v>1545</v>
      </c>
      <c r="K1005" s="12" t="str">
        <f t="shared" si="66"/>
        <v>Closed</v>
      </c>
      <c r="L1005" s="13">
        <v>44668</v>
      </c>
      <c r="M1005" s="12"/>
      <c r="N1005" s="12" t="s">
        <v>4429</v>
      </c>
      <c r="O1005" s="12" t="s">
        <v>1675</v>
      </c>
      <c r="P1005" s="12" t="s">
        <v>3790</v>
      </c>
      <c r="Q1005" s="12"/>
      <c r="R1005" s="12"/>
      <c r="S1005" s="12"/>
      <c r="T1005" s="13" t="s">
        <v>1547</v>
      </c>
      <c r="U1005" s="12" t="str">
        <f t="shared" si="64"/>
        <v>Corrected</v>
      </c>
      <c r="V1005" s="12" t="str">
        <f t="shared" si="62"/>
        <v>FIRDUS Ahmad</v>
      </c>
      <c r="W1005" s="13">
        <f t="shared" si="63"/>
        <v>44668</v>
      </c>
    </row>
    <row r="1006" spans="1:23" ht="14.4" customHeight="1" x14ac:dyDescent="0.3">
      <c r="A1006" s="28">
        <v>44668</v>
      </c>
      <c r="B1006" s="12" t="s">
        <v>3914</v>
      </c>
      <c r="C1006" s="12" t="s">
        <v>1542</v>
      </c>
      <c r="D1006" s="5"/>
      <c r="E1006" s="12">
        <v>613</v>
      </c>
      <c r="F1006" s="11" t="s">
        <v>3908</v>
      </c>
      <c r="G1006" s="12" t="s">
        <v>7</v>
      </c>
      <c r="H1006" s="12" t="s">
        <v>19</v>
      </c>
      <c r="I1006" s="11"/>
      <c r="J1006" s="12" t="s">
        <v>1582</v>
      </c>
      <c r="K1006" s="12" t="str">
        <f t="shared" si="66"/>
        <v>Open</v>
      </c>
      <c r="L1006" s="13"/>
      <c r="M1006" s="12"/>
      <c r="N1006" s="12" t="s">
        <v>1652</v>
      </c>
      <c r="O1006" s="12"/>
      <c r="P1006" s="12" t="s">
        <v>3790</v>
      </c>
      <c r="Q1006" s="12"/>
      <c r="R1006" s="12"/>
      <c r="S1006" s="12"/>
      <c r="T1006" s="13" t="s">
        <v>1547</v>
      </c>
      <c r="U1006" s="12" t="str">
        <f t="shared" si="64"/>
        <v>Not Started</v>
      </c>
      <c r="V1006" s="12" t="str">
        <f t="shared" si="62"/>
        <v>DAOUDI Mohamed</v>
      </c>
      <c r="W1006" s="13" t="str">
        <f t="shared" si="63"/>
        <v/>
      </c>
    </row>
    <row r="1007" spans="1:23" ht="14.4" customHeight="1" x14ac:dyDescent="0.3">
      <c r="A1007" s="28">
        <v>44669</v>
      </c>
      <c r="B1007" s="12" t="s">
        <v>3916</v>
      </c>
      <c r="C1007" s="12" t="s">
        <v>1690</v>
      </c>
      <c r="D1007" s="5"/>
      <c r="E1007" s="12">
        <v>418</v>
      </c>
      <c r="F1007" s="11" t="s">
        <v>3917</v>
      </c>
      <c r="G1007" s="12" t="s">
        <v>1</v>
      </c>
      <c r="H1007" s="12" t="s">
        <v>11</v>
      </c>
      <c r="I1007" s="11" t="s">
        <v>3918</v>
      </c>
      <c r="J1007" s="12" t="s">
        <v>1574</v>
      </c>
      <c r="K1007" s="12" t="str">
        <f t="shared" si="66"/>
        <v>Closed</v>
      </c>
      <c r="L1007" s="13">
        <v>44669</v>
      </c>
      <c r="M1007" s="12"/>
      <c r="N1007" s="12" t="s">
        <v>2603</v>
      </c>
      <c r="O1007" s="12"/>
      <c r="P1007" s="12" t="s">
        <v>3790</v>
      </c>
      <c r="Q1007" s="12"/>
      <c r="R1007" s="12"/>
      <c r="S1007" s="12"/>
      <c r="T1007" s="13" t="s">
        <v>1547</v>
      </c>
      <c r="U1007" s="12" t="str">
        <f t="shared" si="64"/>
        <v>NFF</v>
      </c>
      <c r="V1007" s="12" t="str">
        <f t="shared" si="62"/>
        <v>FIRDUS Ahmad</v>
      </c>
      <c r="W1007" s="13">
        <f t="shared" si="63"/>
        <v>44669</v>
      </c>
    </row>
    <row r="1008" spans="1:23" ht="14.4" customHeight="1" x14ac:dyDescent="0.3">
      <c r="A1008" s="28">
        <v>44669</v>
      </c>
      <c r="B1008" s="12" t="s">
        <v>3919</v>
      </c>
      <c r="C1008" s="12" t="s">
        <v>1690</v>
      </c>
      <c r="D1008" s="5"/>
      <c r="E1008" s="12">
        <v>614</v>
      </c>
      <c r="F1008" s="11" t="s">
        <v>3917</v>
      </c>
      <c r="G1008" s="12" t="s">
        <v>1</v>
      </c>
      <c r="H1008" s="12" t="s">
        <v>11</v>
      </c>
      <c r="I1008" s="11" t="s">
        <v>3918</v>
      </c>
      <c r="J1008" s="12" t="s">
        <v>1574</v>
      </c>
      <c r="K1008" s="12" t="str">
        <f t="shared" si="66"/>
        <v>Closed</v>
      </c>
      <c r="L1008" s="13">
        <v>44669</v>
      </c>
      <c r="M1008" s="12"/>
      <c r="N1008" s="12" t="s">
        <v>2603</v>
      </c>
      <c r="O1008" s="12"/>
      <c r="P1008" s="12" t="s">
        <v>3790</v>
      </c>
      <c r="Q1008" s="12"/>
      <c r="R1008" s="12"/>
      <c r="S1008" s="12"/>
      <c r="T1008" s="13" t="s">
        <v>1547</v>
      </c>
      <c r="U1008" s="12" t="str">
        <f t="shared" si="64"/>
        <v>NFF</v>
      </c>
      <c r="V1008" s="12" t="str">
        <f t="shared" si="62"/>
        <v>FIRDUS Ahmad</v>
      </c>
      <c r="W1008" s="13">
        <f t="shared" si="63"/>
        <v>44669</v>
      </c>
    </row>
    <row r="1009" spans="1:23" ht="14.4" customHeight="1" x14ac:dyDescent="0.3">
      <c r="A1009" s="28">
        <v>44669</v>
      </c>
      <c r="B1009" s="12" t="s">
        <v>3920</v>
      </c>
      <c r="C1009" s="12" t="s">
        <v>1542</v>
      </c>
      <c r="D1009" s="5"/>
      <c r="E1009" s="12">
        <v>622</v>
      </c>
      <c r="F1009" s="11" t="s">
        <v>3921</v>
      </c>
      <c r="G1009" s="12" t="s">
        <v>7</v>
      </c>
      <c r="H1009" s="12" t="s">
        <v>19</v>
      </c>
      <c r="I1009" s="11"/>
      <c r="J1009" s="12" t="s">
        <v>1582</v>
      </c>
      <c r="K1009" s="12" t="str">
        <f t="shared" si="66"/>
        <v>Open</v>
      </c>
      <c r="L1009" s="13"/>
      <c r="M1009" s="12"/>
      <c r="N1009" s="12" t="s">
        <v>1652</v>
      </c>
      <c r="O1009" s="12"/>
      <c r="P1009" s="12" t="s">
        <v>3790</v>
      </c>
      <c r="Q1009" s="12"/>
      <c r="R1009" s="12"/>
      <c r="S1009" s="12"/>
      <c r="T1009" s="13" t="s">
        <v>1547</v>
      </c>
      <c r="U1009" s="12" t="str">
        <f t="shared" si="64"/>
        <v>Not Started</v>
      </c>
      <c r="V1009" s="12" t="str">
        <f t="shared" si="62"/>
        <v>DAOUDI Mohamed</v>
      </c>
      <c r="W1009" s="13" t="str">
        <f t="shared" si="63"/>
        <v/>
      </c>
    </row>
    <row r="1010" spans="1:23" ht="14.4" customHeight="1" x14ac:dyDescent="0.3">
      <c r="A1010" s="28">
        <v>44669</v>
      </c>
      <c r="B1010" s="12" t="s">
        <v>3922</v>
      </c>
      <c r="C1010" s="12" t="s">
        <v>1542</v>
      </c>
      <c r="D1010" s="5"/>
      <c r="E1010" s="12">
        <v>614</v>
      </c>
      <c r="F1010" s="11" t="s">
        <v>3923</v>
      </c>
      <c r="G1010" s="12" t="s">
        <v>7</v>
      </c>
      <c r="H1010" s="12" t="s">
        <v>9</v>
      </c>
      <c r="I1010" s="11"/>
      <c r="J1010" s="12" t="s">
        <v>1574</v>
      </c>
      <c r="K1010" s="12" t="str">
        <f t="shared" si="66"/>
        <v>Closed</v>
      </c>
      <c r="L1010" s="13">
        <v>44675</v>
      </c>
      <c r="M1010" s="12"/>
      <c r="N1010" s="12" t="s">
        <v>3216</v>
      </c>
      <c r="O1010" s="12"/>
      <c r="P1010" s="12" t="s">
        <v>3790</v>
      </c>
      <c r="Q1010" s="12"/>
      <c r="R1010" s="12"/>
      <c r="S1010" s="12"/>
      <c r="T1010" s="13" t="s">
        <v>1547</v>
      </c>
      <c r="U1010" s="12" t="str">
        <f t="shared" si="64"/>
        <v>NFF</v>
      </c>
      <c r="V1010" s="12" t="str">
        <f t="shared" si="62"/>
        <v>KHAN Jahan</v>
      </c>
      <c r="W1010" s="13">
        <f t="shared" si="63"/>
        <v>44675</v>
      </c>
    </row>
    <row r="1011" spans="1:23" ht="14.4" customHeight="1" x14ac:dyDescent="0.3">
      <c r="A1011" s="28">
        <v>44669</v>
      </c>
      <c r="B1011" s="12" t="s">
        <v>3924</v>
      </c>
      <c r="C1011" s="12" t="s">
        <v>1542</v>
      </c>
      <c r="D1011" s="5"/>
      <c r="E1011" s="12">
        <v>408</v>
      </c>
      <c r="F1011" s="11" t="s">
        <v>3925</v>
      </c>
      <c r="G1011" s="12" t="s">
        <v>7</v>
      </c>
      <c r="H1011" s="12" t="s">
        <v>14</v>
      </c>
      <c r="I1011" s="11" t="s">
        <v>4097</v>
      </c>
      <c r="J1011" s="12" t="s">
        <v>1574</v>
      </c>
      <c r="K1011" s="12" t="str">
        <f t="shared" si="66"/>
        <v>Closed</v>
      </c>
      <c r="L1011" s="13">
        <v>44691</v>
      </c>
      <c r="M1011" s="12"/>
      <c r="N1011" s="12" t="s">
        <v>4427</v>
      </c>
      <c r="O1011" s="12"/>
      <c r="P1011" s="12" t="s">
        <v>3790</v>
      </c>
      <c r="Q1011" s="12"/>
      <c r="R1011" s="12"/>
      <c r="S1011" s="12"/>
      <c r="T1011" s="13" t="s">
        <v>1547</v>
      </c>
      <c r="U1011" s="12" t="str">
        <f t="shared" si="64"/>
        <v>NFF</v>
      </c>
      <c r="V1011" s="12" t="str">
        <f t="shared" si="62"/>
        <v>GUAN Jialin</v>
      </c>
      <c r="W1011" s="13">
        <f t="shared" si="63"/>
        <v>44691</v>
      </c>
    </row>
    <row r="1012" spans="1:23" ht="14.4" customHeight="1" x14ac:dyDescent="0.3">
      <c r="A1012" s="28">
        <v>44669</v>
      </c>
      <c r="B1012" s="12" t="s">
        <v>3926</v>
      </c>
      <c r="C1012" s="12" t="s">
        <v>1542</v>
      </c>
      <c r="D1012" s="5"/>
      <c r="E1012" s="12">
        <v>408</v>
      </c>
      <c r="F1012" s="11" t="s">
        <v>3927</v>
      </c>
      <c r="G1012" s="12" t="s">
        <v>7</v>
      </c>
      <c r="H1012" s="12" t="s">
        <v>9</v>
      </c>
      <c r="I1012" s="11" t="s">
        <v>4068</v>
      </c>
      <c r="J1012" s="12" t="s">
        <v>1545</v>
      </c>
      <c r="K1012" s="12" t="str">
        <f t="shared" si="66"/>
        <v>Closed</v>
      </c>
      <c r="L1012" s="13">
        <v>44690</v>
      </c>
      <c r="M1012" s="12"/>
      <c r="N1012" s="12" t="s">
        <v>3216</v>
      </c>
      <c r="O1012" s="12"/>
      <c r="P1012" s="12" t="s">
        <v>3790</v>
      </c>
      <c r="Q1012" s="12"/>
      <c r="R1012" s="12"/>
      <c r="S1012" s="12"/>
      <c r="T1012" s="13" t="s">
        <v>1547</v>
      </c>
      <c r="U1012" s="12" t="str">
        <f t="shared" si="64"/>
        <v>Corrected</v>
      </c>
      <c r="V1012" s="12" t="str">
        <f t="shared" si="62"/>
        <v>KHAN Jahan</v>
      </c>
      <c r="W1012" s="13">
        <f t="shared" si="63"/>
        <v>44690</v>
      </c>
    </row>
    <row r="1013" spans="1:23" ht="28.8" customHeight="1" x14ac:dyDescent="0.3">
      <c r="A1013" s="28">
        <v>44669</v>
      </c>
      <c r="B1013" s="12" t="s">
        <v>3928</v>
      </c>
      <c r="C1013" s="12" t="s">
        <v>1542</v>
      </c>
      <c r="D1013" s="5"/>
      <c r="E1013" s="12">
        <v>601</v>
      </c>
      <c r="F1013" s="11" t="s">
        <v>3929</v>
      </c>
      <c r="G1013" s="12" t="s">
        <v>7</v>
      </c>
      <c r="H1013" s="12" t="s">
        <v>19</v>
      </c>
      <c r="I1013" s="11"/>
      <c r="J1013" s="12" t="s">
        <v>1582</v>
      </c>
      <c r="K1013" s="12" t="str">
        <f t="shared" si="66"/>
        <v>Open</v>
      </c>
      <c r="L1013" s="13"/>
      <c r="M1013" s="12"/>
      <c r="N1013" s="12" t="s">
        <v>1652</v>
      </c>
      <c r="O1013" s="12"/>
      <c r="P1013" s="12" t="s">
        <v>3790</v>
      </c>
      <c r="Q1013" s="12"/>
      <c r="R1013" s="12"/>
      <c r="S1013" s="12"/>
      <c r="T1013" s="13" t="s">
        <v>1547</v>
      </c>
      <c r="U1013" s="12" t="str">
        <f t="shared" si="64"/>
        <v>Not Started</v>
      </c>
      <c r="V1013" s="12" t="str">
        <f t="shared" si="62"/>
        <v>DAOUDI Mohamed</v>
      </c>
      <c r="W1013" s="13" t="str">
        <f t="shared" si="63"/>
        <v/>
      </c>
    </row>
    <row r="1014" spans="1:23" ht="14.4" customHeight="1" x14ac:dyDescent="0.3">
      <c r="A1014" s="28">
        <v>44669</v>
      </c>
      <c r="B1014" s="12" t="s">
        <v>3931</v>
      </c>
      <c r="C1014" s="12" t="s">
        <v>1703</v>
      </c>
      <c r="D1014" s="5"/>
      <c r="E1014" s="12">
        <v>626</v>
      </c>
      <c r="F1014" s="11" t="s">
        <v>3932</v>
      </c>
      <c r="G1014" s="12" t="s">
        <v>1</v>
      </c>
      <c r="H1014" s="12" t="s">
        <v>11</v>
      </c>
      <c r="I1014" s="11" t="s">
        <v>3933</v>
      </c>
      <c r="J1014" s="12" t="s">
        <v>1545</v>
      </c>
      <c r="K1014" s="12" t="str">
        <f t="shared" si="66"/>
        <v>Closed</v>
      </c>
      <c r="L1014" s="13">
        <v>44670</v>
      </c>
      <c r="M1014" s="12"/>
      <c r="N1014" s="12" t="s">
        <v>2683</v>
      </c>
      <c r="O1014" s="12" t="s">
        <v>4028</v>
      </c>
      <c r="P1014" s="12" t="s">
        <v>3790</v>
      </c>
      <c r="Q1014" s="12"/>
      <c r="R1014" s="12"/>
      <c r="S1014" s="12"/>
      <c r="T1014" s="13" t="s">
        <v>1547</v>
      </c>
      <c r="U1014" s="12" t="str">
        <f t="shared" si="64"/>
        <v>Corrected</v>
      </c>
      <c r="V1014" s="12" t="str">
        <f t="shared" si="62"/>
        <v>FIRDUS Ahmad</v>
      </c>
      <c r="W1014" s="13">
        <f t="shared" si="63"/>
        <v>44670</v>
      </c>
    </row>
    <row r="1015" spans="1:23" ht="28.8" customHeight="1" x14ac:dyDescent="0.3">
      <c r="A1015" s="28">
        <v>44670</v>
      </c>
      <c r="B1015" s="12" t="s">
        <v>3934</v>
      </c>
      <c r="C1015" s="12" t="s">
        <v>1687</v>
      </c>
      <c r="D1015" s="5"/>
      <c r="E1015" s="12">
        <v>617</v>
      </c>
      <c r="F1015" s="11" t="s">
        <v>3932</v>
      </c>
      <c r="G1015" s="12" t="s">
        <v>1</v>
      </c>
      <c r="H1015" s="12" t="s">
        <v>11</v>
      </c>
      <c r="I1015" s="11" t="s">
        <v>3935</v>
      </c>
      <c r="J1015" s="12" t="s">
        <v>1609</v>
      </c>
      <c r="K1015" s="12" t="str">
        <f t="shared" si="66"/>
        <v>Open</v>
      </c>
      <c r="L1015" s="13"/>
      <c r="M1015" s="12"/>
      <c r="N1015" s="12" t="s">
        <v>2683</v>
      </c>
      <c r="O1015" s="12" t="s">
        <v>4028</v>
      </c>
      <c r="P1015" s="12" t="s">
        <v>3790</v>
      </c>
      <c r="Q1015" s="12"/>
      <c r="R1015" s="12" t="s">
        <v>1545</v>
      </c>
      <c r="S1015" s="12" t="s">
        <v>15</v>
      </c>
      <c r="T1015" s="13">
        <v>44676</v>
      </c>
      <c r="U1015" s="12" t="str">
        <f t="shared" si="64"/>
        <v>Corrected</v>
      </c>
      <c r="V1015" s="12" t="str">
        <f t="shared" si="62"/>
        <v>Imran Rasheed</v>
      </c>
      <c r="W1015" s="13">
        <v>44676</v>
      </c>
    </row>
    <row r="1016" spans="1:23" ht="14.4" customHeight="1" x14ac:dyDescent="0.3">
      <c r="A1016" s="28">
        <v>44670</v>
      </c>
      <c r="B1016" s="12" t="s">
        <v>3936</v>
      </c>
      <c r="C1016" s="12" t="s">
        <v>1542</v>
      </c>
      <c r="D1016" s="5"/>
      <c r="E1016" s="12">
        <v>424</v>
      </c>
      <c r="F1016" s="11" t="s">
        <v>3927</v>
      </c>
      <c r="G1016" s="12" t="s">
        <v>7</v>
      </c>
      <c r="H1016" s="12" t="s">
        <v>9</v>
      </c>
      <c r="I1016" s="11" t="s">
        <v>4068</v>
      </c>
      <c r="J1016" s="12" t="s">
        <v>1545</v>
      </c>
      <c r="K1016" s="12" t="str">
        <f t="shared" si="66"/>
        <v>Closed</v>
      </c>
      <c r="L1016" s="13">
        <v>44690</v>
      </c>
      <c r="M1016" s="12"/>
      <c r="N1016" s="12" t="s">
        <v>3216</v>
      </c>
      <c r="O1016" s="12"/>
      <c r="P1016" s="12" t="s">
        <v>3790</v>
      </c>
      <c r="Q1016" s="12"/>
      <c r="R1016" s="12"/>
      <c r="S1016" s="12"/>
      <c r="T1016" s="13" t="s">
        <v>1547</v>
      </c>
      <c r="U1016" s="12" t="str">
        <f t="shared" si="64"/>
        <v>Corrected</v>
      </c>
      <c r="V1016" s="12" t="str">
        <f t="shared" si="62"/>
        <v>KHAN Jahan</v>
      </c>
      <c r="W1016" s="13">
        <f t="shared" si="63"/>
        <v>44690</v>
      </c>
    </row>
    <row r="1017" spans="1:23" ht="14.4" customHeight="1" x14ac:dyDescent="0.3">
      <c r="A1017" s="28">
        <v>44670</v>
      </c>
      <c r="B1017" s="12" t="s">
        <v>3937</v>
      </c>
      <c r="C1017" s="12" t="s">
        <v>1542</v>
      </c>
      <c r="D1017" s="5"/>
      <c r="E1017" s="12">
        <v>424</v>
      </c>
      <c r="F1017" s="11" t="s">
        <v>4509</v>
      </c>
      <c r="G1017" s="12" t="s">
        <v>7</v>
      </c>
      <c r="H1017" s="12" t="s">
        <v>18</v>
      </c>
      <c r="I1017" s="11"/>
      <c r="J1017" s="12" t="s">
        <v>1582</v>
      </c>
      <c r="K1017" s="12" t="str">
        <f t="shared" si="66"/>
        <v>Open</v>
      </c>
      <c r="L1017" s="13"/>
      <c r="M1017" s="12"/>
      <c r="N1017" s="12" t="s">
        <v>2448</v>
      </c>
      <c r="O1017" s="12"/>
      <c r="P1017" s="12" t="s">
        <v>3790</v>
      </c>
      <c r="Q1017" s="12"/>
      <c r="R1017" s="12"/>
      <c r="S1017" s="12"/>
      <c r="T1017" s="13" t="s">
        <v>1547</v>
      </c>
      <c r="U1017" s="12" t="str">
        <f t="shared" si="64"/>
        <v>Not Started</v>
      </c>
      <c r="V1017" s="12" t="str">
        <f t="shared" si="62"/>
        <v>BENAYED Elie</v>
      </c>
      <c r="W1017" s="13" t="str">
        <f t="shared" si="63"/>
        <v/>
      </c>
    </row>
    <row r="1018" spans="1:23" ht="14.4" customHeight="1" x14ac:dyDescent="0.3">
      <c r="A1018" s="28">
        <v>44670</v>
      </c>
      <c r="B1018" s="12" t="s">
        <v>3938</v>
      </c>
      <c r="C1018" s="12" t="s">
        <v>1542</v>
      </c>
      <c r="D1018" s="5"/>
      <c r="E1018" s="12">
        <v>424</v>
      </c>
      <c r="F1018" s="11" t="s">
        <v>3939</v>
      </c>
      <c r="G1018" s="12" t="s">
        <v>7</v>
      </c>
      <c r="H1018" s="12" t="s">
        <v>9</v>
      </c>
      <c r="I1018" s="11" t="s">
        <v>4069</v>
      </c>
      <c r="J1018" s="12" t="s">
        <v>1574</v>
      </c>
      <c r="K1018" s="12" t="str">
        <f t="shared" si="66"/>
        <v>Closed</v>
      </c>
      <c r="L1018" s="13">
        <v>44690</v>
      </c>
      <c r="M1018" s="12"/>
      <c r="N1018" s="12" t="s">
        <v>2492</v>
      </c>
      <c r="O1018" s="12"/>
      <c r="P1018" s="12" t="s">
        <v>3790</v>
      </c>
      <c r="Q1018" s="12"/>
      <c r="R1018" s="12"/>
      <c r="S1018" s="12"/>
      <c r="T1018" s="13" t="s">
        <v>1547</v>
      </c>
      <c r="U1018" s="12" t="str">
        <f t="shared" si="64"/>
        <v>NFF</v>
      </c>
      <c r="V1018" s="12" t="str">
        <f t="shared" si="62"/>
        <v>KHAN Jahan</v>
      </c>
      <c r="W1018" s="13">
        <f t="shared" si="63"/>
        <v>44690</v>
      </c>
    </row>
    <row r="1019" spans="1:23" x14ac:dyDescent="0.3">
      <c r="A1019" s="28">
        <v>44670</v>
      </c>
      <c r="B1019" s="12" t="s">
        <v>3944</v>
      </c>
      <c r="C1019" s="12" t="s">
        <v>1542</v>
      </c>
      <c r="D1019" s="5"/>
      <c r="E1019" s="12">
        <v>406</v>
      </c>
      <c r="F1019" s="11" t="s">
        <v>3945</v>
      </c>
      <c r="G1019" s="12" t="s">
        <v>7</v>
      </c>
      <c r="H1019" s="12" t="s">
        <v>19</v>
      </c>
      <c r="I1019" s="11"/>
      <c r="J1019" s="12" t="s">
        <v>1582</v>
      </c>
      <c r="K1019" s="12" t="str">
        <f t="shared" si="66"/>
        <v>Open</v>
      </c>
      <c r="L1019" s="13"/>
      <c r="M1019" s="12"/>
      <c r="N1019" s="12" t="s">
        <v>2683</v>
      </c>
      <c r="O1019" s="12"/>
      <c r="P1019" s="12" t="s">
        <v>3790</v>
      </c>
      <c r="Q1019" s="12"/>
      <c r="R1019" s="12"/>
      <c r="S1019" s="12"/>
      <c r="T1019" s="13" t="s">
        <v>1547</v>
      </c>
      <c r="U1019" s="12" t="str">
        <f t="shared" si="64"/>
        <v>Not Started</v>
      </c>
      <c r="V1019" s="12" t="str">
        <f t="shared" si="62"/>
        <v>DAOUDI Mohamed</v>
      </c>
      <c r="W1019" s="13" t="str">
        <f t="shared" si="63"/>
        <v/>
      </c>
    </row>
    <row r="1020" spans="1:23" ht="28.8" customHeight="1" x14ac:dyDescent="0.3">
      <c r="A1020" s="28">
        <v>44670</v>
      </c>
      <c r="B1020" s="12" t="s">
        <v>3946</v>
      </c>
      <c r="C1020" s="12" t="s">
        <v>1542</v>
      </c>
      <c r="D1020" s="5"/>
      <c r="E1020" s="12">
        <v>626</v>
      </c>
      <c r="F1020" s="11" t="s">
        <v>2253</v>
      </c>
      <c r="G1020" s="12" t="s">
        <v>7</v>
      </c>
      <c r="H1020" s="12" t="s">
        <v>11</v>
      </c>
      <c r="I1020" s="11" t="s">
        <v>3947</v>
      </c>
      <c r="J1020" s="12" t="s">
        <v>1545</v>
      </c>
      <c r="K1020" s="12" t="str">
        <f t="shared" si="66"/>
        <v>Closed</v>
      </c>
      <c r="L1020" s="13">
        <v>44670</v>
      </c>
      <c r="M1020" s="12"/>
      <c r="N1020" s="12" t="s">
        <v>2683</v>
      </c>
      <c r="O1020" s="12" t="s">
        <v>1675</v>
      </c>
      <c r="P1020" s="12" t="s">
        <v>3790</v>
      </c>
      <c r="Q1020" s="12"/>
      <c r="R1020" s="12"/>
      <c r="S1020" s="12"/>
      <c r="T1020" s="13" t="s">
        <v>1547</v>
      </c>
      <c r="U1020" s="12" t="str">
        <f t="shared" si="64"/>
        <v>Corrected</v>
      </c>
      <c r="V1020" s="12" t="str">
        <f t="shared" si="62"/>
        <v>FIRDUS Ahmad</v>
      </c>
      <c r="W1020" s="13">
        <f t="shared" si="63"/>
        <v>44670</v>
      </c>
    </row>
    <row r="1021" spans="1:23" ht="28.8" customHeight="1" x14ac:dyDescent="0.3">
      <c r="A1021" s="28">
        <v>44671</v>
      </c>
      <c r="B1021" s="12" t="s">
        <v>3950</v>
      </c>
      <c r="C1021" s="12" t="s">
        <v>1542</v>
      </c>
      <c r="D1021" s="5"/>
      <c r="E1021" s="12">
        <v>614</v>
      </c>
      <c r="F1021" s="11" t="s">
        <v>4339</v>
      </c>
      <c r="G1021" s="12" t="s">
        <v>7</v>
      </c>
      <c r="H1021" s="12" t="s">
        <v>9</v>
      </c>
      <c r="I1021" s="11" t="s">
        <v>3952</v>
      </c>
      <c r="J1021" s="12" t="s">
        <v>1609</v>
      </c>
      <c r="K1021" s="12" t="str">
        <f t="shared" si="66"/>
        <v>Open</v>
      </c>
      <c r="L1021" s="13"/>
      <c r="M1021" s="12"/>
      <c r="N1021" s="12" t="s">
        <v>2448</v>
      </c>
      <c r="O1021" s="12" t="s">
        <v>1675</v>
      </c>
      <c r="P1021" s="12" t="s">
        <v>3790</v>
      </c>
      <c r="Q1021" s="12"/>
      <c r="R1021" s="12" t="s">
        <v>1545</v>
      </c>
      <c r="S1021" s="12" t="s">
        <v>15</v>
      </c>
      <c r="T1021" s="13">
        <v>44677</v>
      </c>
      <c r="U1021" s="12" t="str">
        <f t="shared" si="64"/>
        <v>Corrected</v>
      </c>
      <c r="V1021" s="12" t="str">
        <f t="shared" si="62"/>
        <v>Imran Rasheed</v>
      </c>
      <c r="W1021" s="13">
        <f t="shared" si="63"/>
        <v>44677</v>
      </c>
    </row>
    <row r="1022" spans="1:23" ht="14.4" customHeight="1" x14ac:dyDescent="0.3">
      <c r="A1022" s="28">
        <v>44672</v>
      </c>
      <c r="B1022" s="12" t="s">
        <v>3957</v>
      </c>
      <c r="C1022" s="12" t="s">
        <v>1703</v>
      </c>
      <c r="D1022" s="5"/>
      <c r="E1022" s="12">
        <v>614</v>
      </c>
      <c r="F1022" s="11" t="s">
        <v>4029</v>
      </c>
      <c r="G1022" s="12" t="s">
        <v>7</v>
      </c>
      <c r="H1022" s="12" t="s">
        <v>11</v>
      </c>
      <c r="I1022" s="11" t="s">
        <v>3943</v>
      </c>
      <c r="J1022" s="12" t="s">
        <v>1609</v>
      </c>
      <c r="K1022" s="12" t="str">
        <f t="shared" si="66"/>
        <v>Open</v>
      </c>
      <c r="L1022" s="13"/>
      <c r="M1022" s="12"/>
      <c r="N1022" s="12" t="s">
        <v>2517</v>
      </c>
      <c r="O1022" s="12"/>
      <c r="P1022" s="12" t="s">
        <v>3790</v>
      </c>
      <c r="Q1022" s="12"/>
      <c r="R1022" s="12" t="s">
        <v>1545</v>
      </c>
      <c r="S1022" s="12" t="s">
        <v>12</v>
      </c>
      <c r="T1022" s="13">
        <v>44690</v>
      </c>
      <c r="U1022" s="12" t="str">
        <f t="shared" si="64"/>
        <v>Corrected</v>
      </c>
      <c r="V1022" s="12" t="str">
        <f t="shared" si="62"/>
        <v>ALOWAINI Shawqi</v>
      </c>
      <c r="W1022" s="13">
        <f t="shared" si="63"/>
        <v>44690</v>
      </c>
    </row>
    <row r="1023" spans="1:23" x14ac:dyDescent="0.3">
      <c r="A1023" s="28">
        <v>44672</v>
      </c>
      <c r="B1023" s="12" t="s">
        <v>3958</v>
      </c>
      <c r="C1023" s="12" t="s">
        <v>1687</v>
      </c>
      <c r="D1023" s="5"/>
      <c r="E1023" s="12">
        <v>417</v>
      </c>
      <c r="F1023" s="11" t="s">
        <v>3959</v>
      </c>
      <c r="G1023" s="12" t="s">
        <v>1</v>
      </c>
      <c r="H1023" s="12" t="s">
        <v>9</v>
      </c>
      <c r="I1023" s="11" t="s">
        <v>3973</v>
      </c>
      <c r="J1023" s="12" t="s">
        <v>1545</v>
      </c>
      <c r="K1023" s="12" t="str">
        <f t="shared" si="66"/>
        <v>Closed</v>
      </c>
      <c r="L1023" s="13">
        <v>44675</v>
      </c>
      <c r="M1023" s="12"/>
      <c r="N1023" s="12" t="s">
        <v>1652</v>
      </c>
      <c r="O1023" s="12" t="s">
        <v>1675</v>
      </c>
      <c r="P1023" s="12" t="s">
        <v>3790</v>
      </c>
      <c r="Q1023" s="12"/>
      <c r="R1023" s="12"/>
      <c r="S1023" s="12"/>
      <c r="T1023" s="13" t="s">
        <v>1547</v>
      </c>
      <c r="U1023" s="12" t="str">
        <f t="shared" si="64"/>
        <v>Corrected</v>
      </c>
      <c r="V1023" s="12" t="str">
        <f t="shared" ref="V1023:V1086" si="67">IF(AND(J1023="Corrective Action Required",R1023="Corrected"),S1023, IF(AND(J1023="Corrective Action Required",R1023&lt;&gt;"Corrected"),S1023,H1023))</f>
        <v>KHAN Jahan</v>
      </c>
      <c r="W1023" s="13">
        <f t="shared" ref="W1023:W1086" si="68">IF(OR(J1023="Corrected",J1023="NFF"),L1023, IF(AND(J1023="Corrective Action Required",R1023="Corrected"),T1023,""))</f>
        <v>44675</v>
      </c>
    </row>
    <row r="1024" spans="1:23" ht="14.4" customHeight="1" x14ac:dyDescent="0.3">
      <c r="A1024" s="28">
        <v>44672</v>
      </c>
      <c r="B1024" s="12" t="s">
        <v>3960</v>
      </c>
      <c r="C1024" s="12" t="s">
        <v>1542</v>
      </c>
      <c r="D1024" s="5"/>
      <c r="E1024" s="12">
        <v>614</v>
      </c>
      <c r="F1024" s="11" t="s">
        <v>4340</v>
      </c>
      <c r="G1024" s="12" t="s">
        <v>7</v>
      </c>
      <c r="H1024" s="12" t="s">
        <v>14</v>
      </c>
      <c r="I1024" s="11" t="s">
        <v>3974</v>
      </c>
      <c r="J1024" s="12" t="s">
        <v>1545</v>
      </c>
      <c r="K1024" s="12" t="str">
        <f t="shared" si="66"/>
        <v>Closed</v>
      </c>
      <c r="L1024" s="13">
        <v>44675</v>
      </c>
      <c r="M1024" s="12"/>
      <c r="N1024" s="12" t="s">
        <v>4427</v>
      </c>
      <c r="O1024" s="12" t="s">
        <v>2445</v>
      </c>
      <c r="P1024" s="12" t="s">
        <v>3790</v>
      </c>
      <c r="Q1024" s="12"/>
      <c r="R1024" s="12"/>
      <c r="S1024" s="12"/>
      <c r="T1024" s="13" t="s">
        <v>1547</v>
      </c>
      <c r="U1024" s="12" t="str">
        <f t="shared" si="64"/>
        <v>Corrected</v>
      </c>
      <c r="V1024" s="12" t="str">
        <f t="shared" si="67"/>
        <v>GUAN Jialin</v>
      </c>
      <c r="W1024" s="13">
        <f t="shared" si="68"/>
        <v>44675</v>
      </c>
    </row>
    <row r="1025" spans="1:23" ht="14.4" customHeight="1" x14ac:dyDescent="0.3">
      <c r="A1025" s="28">
        <v>44675</v>
      </c>
      <c r="B1025" s="12" t="s">
        <v>3969</v>
      </c>
      <c r="C1025" s="12" t="s">
        <v>1690</v>
      </c>
      <c r="D1025" s="5"/>
      <c r="E1025" s="12">
        <v>625</v>
      </c>
      <c r="F1025" s="11" t="s">
        <v>3970</v>
      </c>
      <c r="G1025" s="12" t="s">
        <v>7</v>
      </c>
      <c r="H1025" s="12" t="s">
        <v>11</v>
      </c>
      <c r="I1025" s="11" t="s">
        <v>3990</v>
      </c>
      <c r="J1025" s="12" t="s">
        <v>1609</v>
      </c>
      <c r="K1025" s="12" t="str">
        <f t="shared" si="66"/>
        <v>Open</v>
      </c>
      <c r="L1025" s="13"/>
      <c r="M1025" s="12"/>
      <c r="N1025" s="12" t="s">
        <v>2517</v>
      </c>
      <c r="O1025" s="12"/>
      <c r="P1025" s="12" t="s">
        <v>3790</v>
      </c>
      <c r="Q1025" s="12"/>
      <c r="R1025" s="12" t="s">
        <v>1545</v>
      </c>
      <c r="S1025" s="12" t="s">
        <v>3</v>
      </c>
      <c r="T1025" s="13">
        <v>44692</v>
      </c>
      <c r="U1025" s="12" t="str">
        <f t="shared" si="64"/>
        <v>Corrected</v>
      </c>
      <c r="V1025" s="12" t="str">
        <f t="shared" si="67"/>
        <v>SUKIMAN Zamhuri</v>
      </c>
      <c r="W1025" s="13">
        <f t="shared" si="68"/>
        <v>44692</v>
      </c>
    </row>
    <row r="1026" spans="1:23" ht="28.8" customHeight="1" x14ac:dyDescent="0.3">
      <c r="A1026" s="28">
        <v>44675</v>
      </c>
      <c r="B1026" s="12" t="s">
        <v>3975</v>
      </c>
      <c r="C1026" s="12" t="s">
        <v>1542</v>
      </c>
      <c r="D1026" s="5"/>
      <c r="E1026" s="12">
        <v>412</v>
      </c>
      <c r="F1026" s="11" t="s">
        <v>3359</v>
      </c>
      <c r="G1026" s="12" t="s">
        <v>7</v>
      </c>
      <c r="H1026" s="12" t="s">
        <v>14</v>
      </c>
      <c r="I1026" s="11"/>
      <c r="J1026" s="12" t="s">
        <v>1574</v>
      </c>
      <c r="K1026" s="12" t="str">
        <f t="shared" si="66"/>
        <v>Closed</v>
      </c>
      <c r="L1026" s="13">
        <v>44690</v>
      </c>
      <c r="M1026" s="12"/>
      <c r="N1026" s="12" t="s">
        <v>4427</v>
      </c>
      <c r="O1026" s="12"/>
      <c r="P1026" s="12" t="s">
        <v>3790</v>
      </c>
      <c r="Q1026" s="12"/>
      <c r="R1026" s="12"/>
      <c r="S1026" s="12"/>
      <c r="T1026" s="13" t="s">
        <v>1547</v>
      </c>
      <c r="U1026" s="12" t="str">
        <f t="shared" si="64"/>
        <v>NFF</v>
      </c>
      <c r="V1026" s="12" t="str">
        <f t="shared" si="67"/>
        <v>GUAN Jialin</v>
      </c>
      <c r="W1026" s="13">
        <f t="shared" si="68"/>
        <v>44690</v>
      </c>
    </row>
    <row r="1027" spans="1:23" ht="14.4" customHeight="1" x14ac:dyDescent="0.3">
      <c r="A1027" s="28">
        <v>44676</v>
      </c>
      <c r="B1027" s="12" t="s">
        <v>3976</v>
      </c>
      <c r="C1027" s="12" t="s">
        <v>1542</v>
      </c>
      <c r="D1027" s="5"/>
      <c r="E1027" s="12">
        <v>615</v>
      </c>
      <c r="F1027" s="11" t="s">
        <v>3977</v>
      </c>
      <c r="G1027" s="12" t="s">
        <v>7</v>
      </c>
      <c r="H1027" s="12" t="s">
        <v>11</v>
      </c>
      <c r="I1027" s="11" t="s">
        <v>4030</v>
      </c>
      <c r="J1027" s="12" t="s">
        <v>1609</v>
      </c>
      <c r="K1027" s="12" t="str">
        <f t="shared" si="66"/>
        <v>Open</v>
      </c>
      <c r="L1027" s="13"/>
      <c r="M1027" s="12" t="s">
        <v>1148</v>
      </c>
      <c r="N1027" s="12" t="s">
        <v>4428</v>
      </c>
      <c r="O1027" s="12"/>
      <c r="P1027" s="12" t="s">
        <v>3790</v>
      </c>
      <c r="Q1027" s="12"/>
      <c r="R1027" s="12" t="s">
        <v>1545</v>
      </c>
      <c r="S1027" s="12" t="s">
        <v>15</v>
      </c>
      <c r="T1027" s="13">
        <v>44690</v>
      </c>
      <c r="U1027" s="12" t="str">
        <f>IF(AND(J1027="Corrective Action Required",R1027="Corrected"),"Corrected", IF(AND(J1027="Corrective Action Required",R1027&lt;&gt;"Corrected"),R1027,J1027))</f>
        <v>Corrected</v>
      </c>
      <c r="V1027" s="12" t="str">
        <f t="shared" si="67"/>
        <v>Imran Rasheed</v>
      </c>
      <c r="W1027" s="13">
        <f t="shared" si="68"/>
        <v>44690</v>
      </c>
    </row>
    <row r="1028" spans="1:23" ht="28.8" x14ac:dyDescent="0.3">
      <c r="A1028" s="28">
        <v>44676</v>
      </c>
      <c r="B1028" s="12" t="s">
        <v>3978</v>
      </c>
      <c r="C1028" s="12" t="s">
        <v>1690</v>
      </c>
      <c r="D1028" s="5"/>
      <c r="E1028" s="12">
        <v>404</v>
      </c>
      <c r="F1028" s="14" t="s">
        <v>4341</v>
      </c>
      <c r="G1028" s="12" t="s">
        <v>4</v>
      </c>
      <c r="H1028" s="12" t="s">
        <v>14</v>
      </c>
      <c r="I1028" s="11" t="s">
        <v>3979</v>
      </c>
      <c r="J1028" s="12" t="s">
        <v>1609</v>
      </c>
      <c r="K1028" s="12" t="str">
        <f t="shared" si="66"/>
        <v>Open</v>
      </c>
      <c r="L1028" s="13"/>
      <c r="M1028" s="12"/>
      <c r="N1028" s="12"/>
      <c r="O1028" s="12"/>
      <c r="P1028" s="12"/>
      <c r="Q1028" s="12"/>
      <c r="R1028" s="12" t="s">
        <v>1545</v>
      </c>
      <c r="S1028" s="12" t="s">
        <v>12</v>
      </c>
      <c r="T1028" s="13">
        <v>44689</v>
      </c>
      <c r="U1028" s="12" t="str">
        <f t="shared" ref="U1028:U1091" si="69">IF(AND(J1028="Corrective Action Required",R1028="Corrected"),"Corrected", IF(AND(J1028="Corrective Action Required",R1028&lt;&gt;"Corrected"),R1028,J1028))</f>
        <v>Corrected</v>
      </c>
      <c r="V1028" s="12" t="str">
        <f t="shared" si="67"/>
        <v>ALOWAINI Shawqi</v>
      </c>
      <c r="W1028" s="13">
        <v>44689</v>
      </c>
    </row>
    <row r="1029" spans="1:23" ht="14.4" customHeight="1" x14ac:dyDescent="0.3">
      <c r="A1029" s="28">
        <v>44676</v>
      </c>
      <c r="B1029" s="12" t="s">
        <v>3980</v>
      </c>
      <c r="C1029" s="12" t="s">
        <v>1690</v>
      </c>
      <c r="D1029" s="5"/>
      <c r="E1029" s="12">
        <v>615</v>
      </c>
      <c r="F1029" s="11" t="s">
        <v>3981</v>
      </c>
      <c r="G1029" s="12" t="s">
        <v>1</v>
      </c>
      <c r="H1029" s="12" t="s">
        <v>9</v>
      </c>
      <c r="I1029" s="11" t="s">
        <v>4031</v>
      </c>
      <c r="J1029" s="12" t="s">
        <v>1609</v>
      </c>
      <c r="K1029" s="12" t="str">
        <f t="shared" si="66"/>
        <v>Open</v>
      </c>
      <c r="L1029" s="13"/>
      <c r="M1029" s="12" t="s">
        <v>1148</v>
      </c>
      <c r="N1029" s="12" t="s">
        <v>4428</v>
      </c>
      <c r="O1029" s="12"/>
      <c r="P1029" s="12" t="s">
        <v>2788</v>
      </c>
      <c r="Q1029" s="12"/>
      <c r="R1029" s="12" t="s">
        <v>1545</v>
      </c>
      <c r="S1029" s="12" t="s">
        <v>15</v>
      </c>
      <c r="T1029" s="13">
        <v>44690</v>
      </c>
      <c r="U1029" s="12" t="str">
        <f t="shared" si="69"/>
        <v>Corrected</v>
      </c>
      <c r="V1029" s="12" t="str">
        <f>IF(AND(J1029="Corrective Action Required",R1029="Corrected"),S1029, IF(AND(J1029="Corrective Action Required",R1029&lt;&gt;"Corrected"),S1029,H1029))</f>
        <v>Imran Rasheed</v>
      </c>
      <c r="W1029" s="13">
        <f t="shared" si="68"/>
        <v>44690</v>
      </c>
    </row>
    <row r="1030" spans="1:23" ht="14.4" customHeight="1" x14ac:dyDescent="0.3">
      <c r="A1030" s="28">
        <v>44676</v>
      </c>
      <c r="B1030" s="12" t="s">
        <v>3982</v>
      </c>
      <c r="C1030" s="12" t="s">
        <v>1690</v>
      </c>
      <c r="D1030" s="5"/>
      <c r="E1030" s="12">
        <v>605</v>
      </c>
      <c r="F1030" s="14" t="s">
        <v>4342</v>
      </c>
      <c r="G1030" s="12" t="s">
        <v>1</v>
      </c>
      <c r="H1030" s="12" t="s">
        <v>11</v>
      </c>
      <c r="I1030" s="11" t="s">
        <v>3983</v>
      </c>
      <c r="J1030" s="12" t="s">
        <v>1545</v>
      </c>
      <c r="K1030" s="12" t="str">
        <f t="shared" si="66"/>
        <v>Closed</v>
      </c>
      <c r="L1030" s="13">
        <v>44676</v>
      </c>
      <c r="M1030" s="12"/>
      <c r="N1030" s="12"/>
      <c r="O1030" s="12" t="s">
        <v>1675</v>
      </c>
      <c r="P1030" s="12" t="s">
        <v>3790</v>
      </c>
      <c r="Q1030" s="12"/>
      <c r="R1030" s="12"/>
      <c r="S1030" s="12"/>
      <c r="T1030" s="13" t="s">
        <v>1547</v>
      </c>
      <c r="U1030" s="12" t="str">
        <f t="shared" si="69"/>
        <v>Corrected</v>
      </c>
      <c r="V1030" s="12" t="str">
        <f t="shared" si="67"/>
        <v>FIRDUS Ahmad</v>
      </c>
      <c r="W1030" s="13">
        <f t="shared" si="68"/>
        <v>44676</v>
      </c>
    </row>
    <row r="1031" spans="1:23" ht="28.8" customHeight="1" x14ac:dyDescent="0.3">
      <c r="A1031" s="28">
        <v>44676</v>
      </c>
      <c r="B1031" s="12" t="s">
        <v>3984</v>
      </c>
      <c r="C1031" s="12" t="s">
        <v>1690</v>
      </c>
      <c r="D1031" s="5"/>
      <c r="E1031" s="12">
        <v>603</v>
      </c>
      <c r="F1031" s="14" t="s">
        <v>4343</v>
      </c>
      <c r="G1031" s="12" t="s">
        <v>1</v>
      </c>
      <c r="H1031" s="12" t="s">
        <v>11</v>
      </c>
      <c r="I1031" s="11" t="s">
        <v>3985</v>
      </c>
      <c r="J1031" s="12" t="s">
        <v>1545</v>
      </c>
      <c r="K1031" s="12" t="str">
        <f t="shared" si="66"/>
        <v>Closed</v>
      </c>
      <c r="L1031" s="13">
        <v>44676</v>
      </c>
      <c r="M1031" s="12"/>
      <c r="N1031" s="12"/>
      <c r="O1031" s="12" t="s">
        <v>1675</v>
      </c>
      <c r="P1031" s="12" t="s">
        <v>3790</v>
      </c>
      <c r="Q1031" s="12"/>
      <c r="R1031" s="12"/>
      <c r="S1031" s="12"/>
      <c r="T1031" s="13" t="s">
        <v>1547</v>
      </c>
      <c r="U1031" s="12" t="str">
        <f t="shared" si="69"/>
        <v>Corrected</v>
      </c>
      <c r="V1031" s="12" t="str">
        <f t="shared" si="67"/>
        <v>FIRDUS Ahmad</v>
      </c>
      <c r="W1031" s="13">
        <f t="shared" si="68"/>
        <v>44676</v>
      </c>
    </row>
    <row r="1032" spans="1:23" ht="14.4" customHeight="1" x14ac:dyDescent="0.3">
      <c r="A1032" s="28">
        <v>44676</v>
      </c>
      <c r="B1032" s="12" t="s">
        <v>3986</v>
      </c>
      <c r="C1032" s="12" t="s">
        <v>1690</v>
      </c>
      <c r="D1032" s="5"/>
      <c r="E1032" s="12">
        <v>402</v>
      </c>
      <c r="F1032" s="11" t="s">
        <v>3987</v>
      </c>
      <c r="G1032" s="12" t="s">
        <v>7</v>
      </c>
      <c r="H1032" s="12" t="s">
        <v>9</v>
      </c>
      <c r="I1032" s="11"/>
      <c r="J1032" s="12" t="s">
        <v>1574</v>
      </c>
      <c r="K1032" s="12" t="str">
        <f t="shared" si="66"/>
        <v>Closed</v>
      </c>
      <c r="L1032" s="13"/>
      <c r="M1032" s="12"/>
      <c r="N1032" s="12" t="s">
        <v>3216</v>
      </c>
      <c r="O1032" s="12"/>
      <c r="P1032" s="12" t="s">
        <v>3790</v>
      </c>
      <c r="Q1032" s="12"/>
      <c r="R1032" s="12"/>
      <c r="S1032" s="12"/>
      <c r="T1032" s="13" t="s">
        <v>1547</v>
      </c>
      <c r="U1032" s="12" t="str">
        <f t="shared" si="69"/>
        <v>NFF</v>
      </c>
      <c r="V1032" s="12" t="str">
        <f t="shared" si="67"/>
        <v>KHAN Jahan</v>
      </c>
      <c r="W1032" s="13"/>
    </row>
    <row r="1033" spans="1:23" ht="14.4" customHeight="1" x14ac:dyDescent="0.3">
      <c r="A1033" s="28">
        <v>44676</v>
      </c>
      <c r="B1033" s="12" t="s">
        <v>3991</v>
      </c>
      <c r="C1033" s="12" t="s">
        <v>1542</v>
      </c>
      <c r="D1033" s="5"/>
      <c r="E1033" s="12">
        <v>401</v>
      </c>
      <c r="F1033" s="11" t="s">
        <v>3992</v>
      </c>
      <c r="G1033" s="12" t="s">
        <v>7</v>
      </c>
      <c r="H1033" s="12" t="s">
        <v>9</v>
      </c>
      <c r="I1033" s="11" t="s">
        <v>4412</v>
      </c>
      <c r="J1033" s="12" t="s">
        <v>1574</v>
      </c>
      <c r="K1033" s="12" t="str">
        <f t="shared" si="66"/>
        <v>Closed</v>
      </c>
      <c r="L1033" s="13">
        <v>44699</v>
      </c>
      <c r="M1033" s="12"/>
      <c r="N1033" s="12" t="s">
        <v>1652</v>
      </c>
      <c r="O1033" s="12"/>
      <c r="P1033" s="12" t="s">
        <v>3790</v>
      </c>
      <c r="Q1033" s="12"/>
      <c r="R1033" s="12"/>
      <c r="S1033" s="12"/>
      <c r="T1033" s="13" t="s">
        <v>1547</v>
      </c>
      <c r="U1033" s="12" t="str">
        <f t="shared" si="69"/>
        <v>NFF</v>
      </c>
      <c r="V1033" s="12" t="str">
        <f t="shared" si="67"/>
        <v>KHAN Jahan</v>
      </c>
      <c r="W1033" s="13">
        <f t="shared" si="68"/>
        <v>44699</v>
      </c>
    </row>
    <row r="1034" spans="1:23" x14ac:dyDescent="0.3">
      <c r="A1034" s="28">
        <v>44676</v>
      </c>
      <c r="B1034" s="12" t="s">
        <v>3993</v>
      </c>
      <c r="C1034" s="12" t="s">
        <v>1542</v>
      </c>
      <c r="D1034" s="5"/>
      <c r="E1034" s="12">
        <v>608</v>
      </c>
      <c r="F1034" s="11" t="s">
        <v>3994</v>
      </c>
      <c r="G1034" s="12" t="s">
        <v>7</v>
      </c>
      <c r="H1034" s="12" t="s">
        <v>14</v>
      </c>
      <c r="I1034" s="11" t="s">
        <v>3998</v>
      </c>
      <c r="J1034" s="12" t="s">
        <v>1545</v>
      </c>
      <c r="K1034" s="12" t="str">
        <f t="shared" si="66"/>
        <v>Closed</v>
      </c>
      <c r="L1034" s="13">
        <v>44678</v>
      </c>
      <c r="M1034" s="12"/>
      <c r="N1034" s="12" t="s">
        <v>4427</v>
      </c>
      <c r="O1034" s="12" t="s">
        <v>3411</v>
      </c>
      <c r="P1034" s="12" t="s">
        <v>3790</v>
      </c>
      <c r="Q1034" s="12"/>
      <c r="R1034" s="12"/>
      <c r="S1034" s="12"/>
      <c r="T1034" s="13" t="s">
        <v>1547</v>
      </c>
      <c r="U1034" s="12" t="str">
        <f t="shared" si="69"/>
        <v>Corrected</v>
      </c>
      <c r="V1034" s="12" t="str">
        <f t="shared" si="67"/>
        <v>GUAN Jialin</v>
      </c>
      <c r="W1034" s="13">
        <f t="shared" si="68"/>
        <v>44678</v>
      </c>
    </row>
    <row r="1035" spans="1:23" ht="14.4" customHeight="1" x14ac:dyDescent="0.3">
      <c r="A1035" s="28">
        <v>44677</v>
      </c>
      <c r="B1035" s="12" t="s">
        <v>3995</v>
      </c>
      <c r="C1035" s="12" t="s">
        <v>1687</v>
      </c>
      <c r="D1035" s="5"/>
      <c r="E1035" s="12">
        <v>614</v>
      </c>
      <c r="F1035" s="11" t="s">
        <v>3996</v>
      </c>
      <c r="G1035" s="12" t="s">
        <v>1</v>
      </c>
      <c r="H1035" s="12" t="s">
        <v>17</v>
      </c>
      <c r="I1035" s="11"/>
      <c r="J1035" s="12" t="s">
        <v>1574</v>
      </c>
      <c r="K1035" s="12" t="str">
        <f t="shared" si="66"/>
        <v>Closed</v>
      </c>
      <c r="L1035" s="13">
        <v>44679</v>
      </c>
      <c r="M1035" s="12"/>
      <c r="N1035" s="12"/>
      <c r="O1035" s="12"/>
      <c r="P1035" s="12"/>
      <c r="Q1035" s="12"/>
      <c r="R1035" s="12"/>
      <c r="S1035" s="12"/>
      <c r="T1035" s="13" t="s">
        <v>1547</v>
      </c>
      <c r="U1035" s="12" t="str">
        <f t="shared" si="69"/>
        <v>NFF</v>
      </c>
      <c r="V1035" s="12" t="str">
        <f t="shared" si="67"/>
        <v>FATHI Charafeddine</v>
      </c>
      <c r="W1035" s="13">
        <f t="shared" si="68"/>
        <v>44679</v>
      </c>
    </row>
    <row r="1036" spans="1:23" ht="14.4" customHeight="1" x14ac:dyDescent="0.3">
      <c r="A1036" s="28">
        <v>44677</v>
      </c>
      <c r="B1036" s="12" t="s">
        <v>3997</v>
      </c>
      <c r="C1036" s="12" t="s">
        <v>1690</v>
      </c>
      <c r="D1036" s="5"/>
      <c r="E1036" s="12">
        <v>420</v>
      </c>
      <c r="F1036" s="14" t="s">
        <v>4344</v>
      </c>
      <c r="G1036" s="12" t="s">
        <v>1</v>
      </c>
      <c r="H1036" s="12" t="s">
        <v>14</v>
      </c>
      <c r="I1036" s="14" t="s">
        <v>4345</v>
      </c>
      <c r="J1036" s="12" t="s">
        <v>1574</v>
      </c>
      <c r="K1036" s="12" t="str">
        <f t="shared" si="66"/>
        <v>Closed</v>
      </c>
      <c r="L1036" s="13">
        <v>44678</v>
      </c>
      <c r="M1036" s="12"/>
      <c r="N1036" s="12" t="s">
        <v>4427</v>
      </c>
      <c r="O1036" s="12"/>
      <c r="P1036" s="12"/>
      <c r="Q1036" s="12"/>
      <c r="R1036" s="12"/>
      <c r="S1036" s="12"/>
      <c r="T1036" s="13" t="s">
        <v>1547</v>
      </c>
      <c r="U1036" s="12" t="str">
        <f t="shared" si="69"/>
        <v>NFF</v>
      </c>
      <c r="V1036" s="12" t="str">
        <f t="shared" si="67"/>
        <v>GUAN Jialin</v>
      </c>
      <c r="W1036" s="13">
        <f t="shared" si="68"/>
        <v>44678</v>
      </c>
    </row>
    <row r="1037" spans="1:23" ht="43.2" customHeight="1" x14ac:dyDescent="0.3">
      <c r="A1037" s="28">
        <v>44677</v>
      </c>
      <c r="B1037" s="12" t="s">
        <v>3999</v>
      </c>
      <c r="C1037" s="12" t="s">
        <v>1542</v>
      </c>
      <c r="D1037" s="5"/>
      <c r="E1037" s="12">
        <v>604</v>
      </c>
      <c r="F1037" s="11" t="s">
        <v>4000</v>
      </c>
      <c r="G1037" s="12" t="s">
        <v>7</v>
      </c>
      <c r="H1037" s="12" t="s">
        <v>14</v>
      </c>
      <c r="I1037" s="11" t="s">
        <v>4070</v>
      </c>
      <c r="J1037" s="12" t="s">
        <v>1574</v>
      </c>
      <c r="K1037" s="12" t="str">
        <f t="shared" si="66"/>
        <v>Closed</v>
      </c>
      <c r="L1037" s="13">
        <v>44690</v>
      </c>
      <c r="M1037" s="12"/>
      <c r="N1037" s="12" t="s">
        <v>4427</v>
      </c>
      <c r="O1037" s="12"/>
      <c r="P1037" s="12" t="s">
        <v>3790</v>
      </c>
      <c r="Q1037" s="12"/>
      <c r="R1037" s="12"/>
      <c r="S1037" s="12"/>
      <c r="T1037" s="13" t="s">
        <v>1547</v>
      </c>
      <c r="U1037" s="12" t="str">
        <f t="shared" si="69"/>
        <v>NFF</v>
      </c>
      <c r="V1037" s="12" t="str">
        <f t="shared" si="67"/>
        <v>GUAN Jialin</v>
      </c>
      <c r="W1037" s="13">
        <f t="shared" si="68"/>
        <v>44690</v>
      </c>
    </row>
    <row r="1038" spans="1:23" ht="14.4" customHeight="1" x14ac:dyDescent="0.3">
      <c r="A1038" s="28">
        <v>44677</v>
      </c>
      <c r="B1038" s="12" t="s">
        <v>4001</v>
      </c>
      <c r="C1038" s="12" t="s">
        <v>1542</v>
      </c>
      <c r="D1038" s="5"/>
      <c r="E1038" s="12">
        <v>604</v>
      </c>
      <c r="F1038" s="11" t="s">
        <v>4002</v>
      </c>
      <c r="G1038" s="12" t="s">
        <v>7</v>
      </c>
      <c r="H1038" s="12" t="s">
        <v>9</v>
      </c>
      <c r="I1038" s="11"/>
      <c r="J1038" s="12" t="s">
        <v>1582</v>
      </c>
      <c r="K1038" s="12" t="str">
        <f t="shared" si="66"/>
        <v>Open</v>
      </c>
      <c r="L1038" s="13"/>
      <c r="M1038" s="12"/>
      <c r="N1038" s="12" t="s">
        <v>2683</v>
      </c>
      <c r="O1038" s="12"/>
      <c r="P1038" s="12" t="s">
        <v>3790</v>
      </c>
      <c r="Q1038" s="12"/>
      <c r="R1038" s="12"/>
      <c r="S1038" s="12"/>
      <c r="T1038" s="13" t="s">
        <v>1547</v>
      </c>
      <c r="U1038" s="12" t="str">
        <f t="shared" si="69"/>
        <v>Not Started</v>
      </c>
      <c r="V1038" s="12" t="str">
        <f t="shared" si="67"/>
        <v>KHAN Jahan</v>
      </c>
      <c r="W1038" s="13" t="str">
        <f t="shared" si="68"/>
        <v/>
      </c>
    </row>
    <row r="1039" spans="1:23" ht="14.4" customHeight="1" x14ac:dyDescent="0.3">
      <c r="A1039" s="28">
        <v>44677</v>
      </c>
      <c r="B1039" s="12" t="s">
        <v>4003</v>
      </c>
      <c r="C1039" s="12" t="s">
        <v>1542</v>
      </c>
      <c r="D1039" s="5"/>
      <c r="E1039" s="12">
        <v>604</v>
      </c>
      <c r="F1039" s="11" t="s">
        <v>4004</v>
      </c>
      <c r="G1039" s="12" t="s">
        <v>7</v>
      </c>
      <c r="H1039" s="12" t="s">
        <v>19</v>
      </c>
      <c r="I1039" s="11"/>
      <c r="J1039" s="12" t="s">
        <v>1582</v>
      </c>
      <c r="K1039" s="12" t="str">
        <f t="shared" si="66"/>
        <v>Open</v>
      </c>
      <c r="L1039" s="13"/>
      <c r="M1039" s="12"/>
      <c r="N1039" s="12" t="s">
        <v>1652</v>
      </c>
      <c r="O1039" s="12"/>
      <c r="P1039" s="12" t="s">
        <v>3790</v>
      </c>
      <c r="Q1039" s="12"/>
      <c r="R1039" s="12"/>
      <c r="S1039" s="12"/>
      <c r="T1039" s="13" t="s">
        <v>1547</v>
      </c>
      <c r="U1039" s="12" t="str">
        <f t="shared" si="69"/>
        <v>Not Started</v>
      </c>
      <c r="V1039" s="12" t="str">
        <f t="shared" si="67"/>
        <v>DAOUDI Mohamed</v>
      </c>
      <c r="W1039" s="13" t="str">
        <f t="shared" si="68"/>
        <v/>
      </c>
    </row>
    <row r="1040" spans="1:23" ht="28.8" customHeight="1" x14ac:dyDescent="0.3">
      <c r="A1040" s="28">
        <v>44677</v>
      </c>
      <c r="B1040" s="12" t="s">
        <v>4005</v>
      </c>
      <c r="C1040" s="12" t="s">
        <v>1542</v>
      </c>
      <c r="D1040" s="5"/>
      <c r="E1040" s="12">
        <v>606</v>
      </c>
      <c r="F1040" s="11" t="s">
        <v>1360</v>
      </c>
      <c r="G1040" s="12" t="s">
        <v>7</v>
      </c>
      <c r="H1040" s="12" t="s">
        <v>14</v>
      </c>
      <c r="I1040" s="11"/>
      <c r="J1040" s="12" t="s">
        <v>1574</v>
      </c>
      <c r="K1040" s="12" t="str">
        <f t="shared" si="66"/>
        <v>Closed</v>
      </c>
      <c r="L1040" s="13">
        <v>44690</v>
      </c>
      <c r="M1040" s="12"/>
      <c r="N1040" s="12" t="s">
        <v>4427</v>
      </c>
      <c r="O1040" s="12"/>
      <c r="P1040" s="12" t="s">
        <v>3790</v>
      </c>
      <c r="Q1040" s="12"/>
      <c r="R1040" s="12"/>
      <c r="S1040" s="12"/>
      <c r="T1040" s="13" t="s">
        <v>1547</v>
      </c>
      <c r="U1040" s="12" t="str">
        <f t="shared" si="69"/>
        <v>NFF</v>
      </c>
      <c r="V1040" s="12" t="str">
        <f t="shared" si="67"/>
        <v>GUAN Jialin</v>
      </c>
      <c r="W1040" s="13">
        <f t="shared" si="68"/>
        <v>44690</v>
      </c>
    </row>
    <row r="1041" spans="1:23" ht="14.4" customHeight="1" x14ac:dyDescent="0.3">
      <c r="A1041" s="28">
        <v>44678</v>
      </c>
      <c r="B1041" s="12" t="s">
        <v>4011</v>
      </c>
      <c r="C1041" s="12" t="s">
        <v>1542</v>
      </c>
      <c r="D1041" s="5"/>
      <c r="E1041" s="12">
        <v>402</v>
      </c>
      <c r="F1041" s="11" t="s">
        <v>4012</v>
      </c>
      <c r="G1041" s="12" t="s">
        <v>7</v>
      </c>
      <c r="H1041" s="12" t="s">
        <v>14</v>
      </c>
      <c r="I1041" s="11"/>
      <c r="J1041" s="12" t="s">
        <v>1574</v>
      </c>
      <c r="K1041" s="12" t="str">
        <f t="shared" si="66"/>
        <v>Closed</v>
      </c>
      <c r="L1041" s="13">
        <v>44690</v>
      </c>
      <c r="M1041" s="12"/>
      <c r="N1041" s="12" t="s">
        <v>4427</v>
      </c>
      <c r="O1041" s="12"/>
      <c r="P1041" s="12" t="s">
        <v>3790</v>
      </c>
      <c r="Q1041" s="12"/>
      <c r="R1041" s="12"/>
      <c r="S1041" s="12"/>
      <c r="T1041" s="13" t="s">
        <v>1547</v>
      </c>
      <c r="U1041" s="12" t="str">
        <f t="shared" si="69"/>
        <v>NFF</v>
      </c>
      <c r="V1041" s="12" t="str">
        <f t="shared" si="67"/>
        <v>GUAN Jialin</v>
      </c>
      <c r="W1041" s="13">
        <f t="shared" si="68"/>
        <v>44690</v>
      </c>
    </row>
    <row r="1042" spans="1:23" ht="43.2" customHeight="1" x14ac:dyDescent="0.3">
      <c r="A1042" s="28">
        <v>44678</v>
      </c>
      <c r="B1042" s="12" t="s">
        <v>4013</v>
      </c>
      <c r="C1042" s="12" t="s">
        <v>1542</v>
      </c>
      <c r="D1042" s="5"/>
      <c r="E1042" s="12">
        <v>621</v>
      </c>
      <c r="F1042" s="11" t="s">
        <v>4014</v>
      </c>
      <c r="G1042" s="12" t="s">
        <v>7</v>
      </c>
      <c r="H1042" s="12" t="s">
        <v>9</v>
      </c>
      <c r="I1042" s="11"/>
      <c r="J1042" s="12" t="s">
        <v>1582</v>
      </c>
      <c r="K1042" s="12" t="str">
        <f t="shared" si="66"/>
        <v>Open</v>
      </c>
      <c r="L1042" s="13"/>
      <c r="M1042" s="12"/>
      <c r="N1042" s="12" t="s">
        <v>2638</v>
      </c>
      <c r="O1042" s="12"/>
      <c r="P1042" s="12" t="s">
        <v>3790</v>
      </c>
      <c r="Q1042" s="12"/>
      <c r="R1042" s="12"/>
      <c r="S1042" s="12"/>
      <c r="T1042" s="13" t="s">
        <v>1547</v>
      </c>
      <c r="U1042" s="12" t="str">
        <f t="shared" si="69"/>
        <v>Not Started</v>
      </c>
      <c r="V1042" s="12" t="str">
        <f t="shared" si="67"/>
        <v>KHAN Jahan</v>
      </c>
      <c r="W1042" s="13" t="str">
        <f t="shared" si="68"/>
        <v/>
      </c>
    </row>
    <row r="1043" spans="1:23" ht="14.4" customHeight="1" x14ac:dyDescent="0.3">
      <c r="A1043" s="28">
        <v>44679</v>
      </c>
      <c r="B1043" s="12" t="s">
        <v>4015</v>
      </c>
      <c r="C1043" s="12" t="s">
        <v>1542</v>
      </c>
      <c r="D1043" s="5"/>
      <c r="E1043" s="12">
        <v>417</v>
      </c>
      <c r="F1043" s="11" t="s">
        <v>4016</v>
      </c>
      <c r="G1043" s="12" t="s">
        <v>7</v>
      </c>
      <c r="H1043" s="12" t="s">
        <v>17</v>
      </c>
      <c r="I1043" s="14" t="s">
        <v>4346</v>
      </c>
      <c r="J1043" s="12" t="s">
        <v>1574</v>
      </c>
      <c r="K1043" s="12" t="str">
        <f t="shared" si="66"/>
        <v>Closed</v>
      </c>
      <c r="L1043" s="13"/>
      <c r="M1043" s="12"/>
      <c r="N1043" s="12"/>
      <c r="O1043" s="12"/>
      <c r="P1043" s="12"/>
      <c r="Q1043" s="12"/>
      <c r="R1043" s="12"/>
      <c r="S1043" s="12"/>
      <c r="T1043" s="13" t="s">
        <v>1547</v>
      </c>
      <c r="U1043" s="12" t="str">
        <f t="shared" si="69"/>
        <v>NFF</v>
      </c>
      <c r="V1043" s="12" t="str">
        <f t="shared" si="67"/>
        <v>FATHI Charafeddine</v>
      </c>
      <c r="W1043" s="13"/>
    </row>
    <row r="1044" spans="1:23" ht="14.4" customHeight="1" x14ac:dyDescent="0.3">
      <c r="A1044" s="28">
        <v>44679</v>
      </c>
      <c r="B1044" s="12" t="s">
        <v>4017</v>
      </c>
      <c r="C1044" s="12" t="s">
        <v>1542</v>
      </c>
      <c r="D1044" s="5"/>
      <c r="E1044" s="12">
        <v>624</v>
      </c>
      <c r="F1044" s="11" t="s">
        <v>4018</v>
      </c>
      <c r="G1044" s="12" t="s">
        <v>7</v>
      </c>
      <c r="H1044" s="12" t="s">
        <v>14</v>
      </c>
      <c r="I1044" s="11" t="s">
        <v>4019</v>
      </c>
      <c r="J1044" s="12" t="s">
        <v>1545</v>
      </c>
      <c r="K1044" s="12" t="str">
        <f t="shared" si="66"/>
        <v>Closed</v>
      </c>
      <c r="L1044" s="13">
        <v>44679</v>
      </c>
      <c r="M1044" s="12"/>
      <c r="N1044" s="12" t="s">
        <v>2683</v>
      </c>
      <c r="O1044" s="12" t="s">
        <v>1675</v>
      </c>
      <c r="P1044" s="12" t="s">
        <v>3790</v>
      </c>
      <c r="Q1044" s="12"/>
      <c r="R1044" s="12"/>
      <c r="S1044" s="12"/>
      <c r="T1044" s="13" t="s">
        <v>1547</v>
      </c>
      <c r="U1044" s="12" t="str">
        <f t="shared" si="69"/>
        <v>Corrected</v>
      </c>
      <c r="V1044" s="12" t="str">
        <f t="shared" si="67"/>
        <v>GUAN Jialin</v>
      </c>
      <c r="W1044" s="13">
        <f t="shared" si="68"/>
        <v>44679</v>
      </c>
    </row>
    <row r="1045" spans="1:23" ht="57.6" x14ac:dyDescent="0.3">
      <c r="A1045" s="28">
        <v>44679</v>
      </c>
      <c r="B1045" s="12" t="s">
        <v>4032</v>
      </c>
      <c r="C1045" s="12" t="s">
        <v>1687</v>
      </c>
      <c r="D1045" s="5"/>
      <c r="E1045" s="12">
        <v>423</v>
      </c>
      <c r="F1045" s="14" t="s">
        <v>4347</v>
      </c>
      <c r="G1045" s="12" t="s">
        <v>7</v>
      </c>
      <c r="H1045" s="12" t="s">
        <v>14</v>
      </c>
      <c r="I1045" s="11" t="s">
        <v>4033</v>
      </c>
      <c r="J1045" s="12" t="s">
        <v>1574</v>
      </c>
      <c r="K1045" s="12" t="str">
        <f t="shared" si="66"/>
        <v>Closed</v>
      </c>
      <c r="L1045" s="13">
        <v>44690</v>
      </c>
      <c r="M1045" s="12"/>
      <c r="N1045" s="12" t="s">
        <v>4427</v>
      </c>
      <c r="O1045" s="12"/>
      <c r="P1045" s="12" t="s">
        <v>3790</v>
      </c>
      <c r="Q1045" s="12"/>
      <c r="R1045" s="12"/>
      <c r="S1045" s="12"/>
      <c r="T1045" s="13" t="s">
        <v>1547</v>
      </c>
      <c r="U1045" s="12" t="str">
        <f t="shared" si="69"/>
        <v>NFF</v>
      </c>
      <c r="V1045" s="12" t="str">
        <f t="shared" si="67"/>
        <v>GUAN Jialin</v>
      </c>
      <c r="W1045" s="13">
        <f t="shared" si="68"/>
        <v>44690</v>
      </c>
    </row>
    <row r="1046" spans="1:23" ht="14.4" customHeight="1" x14ac:dyDescent="0.3">
      <c r="A1046" s="28">
        <v>44679</v>
      </c>
      <c r="B1046" s="12" t="s">
        <v>4034</v>
      </c>
      <c r="C1046" s="12" t="s">
        <v>1690</v>
      </c>
      <c r="D1046" s="5"/>
      <c r="E1046" s="12">
        <v>603</v>
      </c>
      <c r="F1046" s="11" t="s">
        <v>4035</v>
      </c>
      <c r="G1046" s="12" t="s">
        <v>7</v>
      </c>
      <c r="H1046" s="12" t="s">
        <v>14</v>
      </c>
      <c r="I1046" s="11" t="s">
        <v>4036</v>
      </c>
      <c r="J1046" s="12" t="s">
        <v>1574</v>
      </c>
      <c r="K1046" s="12" t="str">
        <f t="shared" si="66"/>
        <v>Closed</v>
      </c>
      <c r="L1046" s="13">
        <v>44690</v>
      </c>
      <c r="M1046" s="12"/>
      <c r="N1046" s="12" t="s">
        <v>4427</v>
      </c>
      <c r="O1046" s="12"/>
      <c r="P1046" s="12" t="s">
        <v>3790</v>
      </c>
      <c r="Q1046" s="12"/>
      <c r="R1046" s="12"/>
      <c r="S1046" s="12"/>
      <c r="T1046" s="13" t="s">
        <v>1547</v>
      </c>
      <c r="U1046" s="12" t="str">
        <f t="shared" si="69"/>
        <v>NFF</v>
      </c>
      <c r="V1046" s="12" t="str">
        <f t="shared" si="67"/>
        <v>GUAN Jialin</v>
      </c>
      <c r="W1046" s="13">
        <f t="shared" si="68"/>
        <v>44690</v>
      </c>
    </row>
    <row r="1047" spans="1:23" ht="14.4" customHeight="1" x14ac:dyDescent="0.3">
      <c r="A1047" s="28">
        <v>44679</v>
      </c>
      <c r="B1047" s="12" t="s">
        <v>4037</v>
      </c>
      <c r="C1047" s="12" t="s">
        <v>1690</v>
      </c>
      <c r="D1047" s="5"/>
      <c r="E1047" s="12">
        <v>603</v>
      </c>
      <c r="F1047" s="11" t="s">
        <v>4038</v>
      </c>
      <c r="G1047" s="12" t="s">
        <v>7</v>
      </c>
      <c r="H1047" s="12" t="s">
        <v>9</v>
      </c>
      <c r="I1047" s="11"/>
      <c r="J1047" s="12" t="s">
        <v>1582</v>
      </c>
      <c r="K1047" s="12" t="str">
        <f t="shared" si="66"/>
        <v>Open</v>
      </c>
      <c r="L1047" s="13"/>
      <c r="M1047" s="12"/>
      <c r="N1047" s="12" t="s">
        <v>4427</v>
      </c>
      <c r="O1047" s="12"/>
      <c r="P1047" s="12" t="s">
        <v>3790</v>
      </c>
      <c r="Q1047" s="12"/>
      <c r="R1047" s="12"/>
      <c r="S1047" s="12"/>
      <c r="T1047" s="13" t="s">
        <v>1547</v>
      </c>
      <c r="U1047" s="12" t="str">
        <f t="shared" si="69"/>
        <v>Not Started</v>
      </c>
      <c r="V1047" s="12" t="str">
        <f t="shared" si="67"/>
        <v>KHAN Jahan</v>
      </c>
      <c r="W1047" s="13" t="str">
        <f t="shared" si="68"/>
        <v/>
      </c>
    </row>
    <row r="1048" spans="1:23" ht="14.4" customHeight="1" x14ac:dyDescent="0.3">
      <c r="A1048" s="28">
        <v>44679</v>
      </c>
      <c r="B1048" s="12" t="s">
        <v>4039</v>
      </c>
      <c r="C1048" s="12" t="s">
        <v>1690</v>
      </c>
      <c r="D1048" s="5"/>
      <c r="E1048" s="12">
        <v>406</v>
      </c>
      <c r="F1048" s="11" t="s">
        <v>4040</v>
      </c>
      <c r="G1048" s="12" t="s">
        <v>7</v>
      </c>
      <c r="H1048" s="12" t="s">
        <v>14</v>
      </c>
      <c r="I1048" s="11" t="s">
        <v>4041</v>
      </c>
      <c r="J1048" s="12" t="s">
        <v>1574</v>
      </c>
      <c r="K1048" s="12" t="str">
        <f t="shared" si="66"/>
        <v>Closed</v>
      </c>
      <c r="L1048" s="13">
        <v>44690</v>
      </c>
      <c r="M1048" s="12"/>
      <c r="N1048" s="12" t="s">
        <v>4427</v>
      </c>
      <c r="O1048" s="12"/>
      <c r="P1048" s="12" t="s">
        <v>3790</v>
      </c>
      <c r="Q1048" s="12"/>
      <c r="R1048" s="12"/>
      <c r="S1048" s="12"/>
      <c r="T1048" s="13" t="s">
        <v>1547</v>
      </c>
      <c r="U1048" s="12" t="str">
        <f t="shared" si="69"/>
        <v>NFF</v>
      </c>
      <c r="V1048" s="12" t="str">
        <f t="shared" si="67"/>
        <v>GUAN Jialin</v>
      </c>
      <c r="W1048" s="13">
        <f t="shared" si="68"/>
        <v>44690</v>
      </c>
    </row>
    <row r="1049" spans="1:23" ht="14.4" customHeight="1" x14ac:dyDescent="0.3">
      <c r="A1049" s="28">
        <v>44679</v>
      </c>
      <c r="B1049" s="12" t="s">
        <v>4042</v>
      </c>
      <c r="C1049" s="12" t="s">
        <v>1542</v>
      </c>
      <c r="D1049" s="5"/>
      <c r="E1049" s="12">
        <v>612</v>
      </c>
      <c r="F1049" s="11" t="s">
        <v>4043</v>
      </c>
      <c r="G1049" s="12" t="s">
        <v>7</v>
      </c>
      <c r="H1049" s="12" t="s">
        <v>14</v>
      </c>
      <c r="I1049" s="11" t="s">
        <v>2125</v>
      </c>
      <c r="J1049" s="12" t="s">
        <v>1574</v>
      </c>
      <c r="K1049" s="12" t="str">
        <f t="shared" si="66"/>
        <v>Closed</v>
      </c>
      <c r="L1049" s="13">
        <v>44690</v>
      </c>
      <c r="M1049" s="12"/>
      <c r="N1049" s="12" t="s">
        <v>4427</v>
      </c>
      <c r="O1049" s="12"/>
      <c r="P1049" s="12" t="s">
        <v>3790</v>
      </c>
      <c r="Q1049" s="12"/>
      <c r="R1049" s="12"/>
      <c r="S1049" s="12"/>
      <c r="T1049" s="13" t="s">
        <v>1547</v>
      </c>
      <c r="U1049" s="12" t="str">
        <f t="shared" si="69"/>
        <v>NFF</v>
      </c>
      <c r="V1049" s="12" t="str">
        <f t="shared" si="67"/>
        <v>GUAN Jialin</v>
      </c>
      <c r="W1049" s="13">
        <f t="shared" si="68"/>
        <v>44690</v>
      </c>
    </row>
    <row r="1050" spans="1:23" ht="14.4" customHeight="1" x14ac:dyDescent="0.3">
      <c r="A1050" s="28">
        <v>44689</v>
      </c>
      <c r="B1050" s="12" t="s">
        <v>4045</v>
      </c>
      <c r="C1050" s="12" t="s">
        <v>1542</v>
      </c>
      <c r="D1050" s="5"/>
      <c r="E1050" s="12">
        <v>408</v>
      </c>
      <c r="F1050" s="11" t="s">
        <v>4046</v>
      </c>
      <c r="G1050" s="12" t="s">
        <v>7</v>
      </c>
      <c r="H1050" s="12" t="s">
        <v>14</v>
      </c>
      <c r="I1050" s="11" t="s">
        <v>4098</v>
      </c>
      <c r="J1050" s="12" t="s">
        <v>1609</v>
      </c>
      <c r="K1050" s="12" t="str">
        <f t="shared" si="66"/>
        <v>Open</v>
      </c>
      <c r="L1050" s="13"/>
      <c r="M1050" s="12"/>
      <c r="N1050" s="12" t="s">
        <v>4427</v>
      </c>
      <c r="O1050" s="12"/>
      <c r="P1050" s="12" t="s">
        <v>3790</v>
      </c>
      <c r="Q1050" s="12"/>
      <c r="R1050" s="12" t="s">
        <v>3566</v>
      </c>
      <c r="S1050" s="12" t="s">
        <v>19</v>
      </c>
      <c r="T1050" s="13" t="s">
        <v>1547</v>
      </c>
      <c r="U1050" s="12" t="str">
        <f t="shared" si="69"/>
        <v>CM Open</v>
      </c>
      <c r="V1050" s="12" t="str">
        <f t="shared" si="67"/>
        <v>DAOUDI Mohamed</v>
      </c>
      <c r="W1050" s="13" t="str">
        <f t="shared" si="68"/>
        <v/>
      </c>
    </row>
    <row r="1051" spans="1:23" ht="14.4" customHeight="1" x14ac:dyDescent="0.3">
      <c r="A1051" s="28">
        <v>44689</v>
      </c>
      <c r="B1051" s="12" t="s">
        <v>4049</v>
      </c>
      <c r="C1051" s="12" t="s">
        <v>1542</v>
      </c>
      <c r="D1051" s="5"/>
      <c r="E1051" s="12">
        <v>601</v>
      </c>
      <c r="F1051" s="11" t="s">
        <v>4050</v>
      </c>
      <c r="G1051" s="12" t="s">
        <v>7</v>
      </c>
      <c r="H1051" s="12" t="s">
        <v>14</v>
      </c>
      <c r="I1051" s="11" t="s">
        <v>4510</v>
      </c>
      <c r="J1051" s="12" t="s">
        <v>1545</v>
      </c>
      <c r="K1051" s="12" t="str">
        <f t="shared" si="66"/>
        <v>Closed</v>
      </c>
      <c r="L1051" s="13">
        <v>44705</v>
      </c>
      <c r="M1051" s="12"/>
      <c r="N1051" s="12" t="s">
        <v>4427</v>
      </c>
      <c r="O1051" s="12"/>
      <c r="P1051" s="12" t="s">
        <v>3790</v>
      </c>
      <c r="Q1051" s="12"/>
      <c r="R1051" s="12"/>
      <c r="S1051" s="12"/>
      <c r="T1051" s="13" t="s">
        <v>1547</v>
      </c>
      <c r="U1051" s="12" t="str">
        <f t="shared" si="69"/>
        <v>Corrected</v>
      </c>
      <c r="V1051" s="12" t="str">
        <f t="shared" si="67"/>
        <v>GUAN Jialin</v>
      </c>
      <c r="W1051" s="13">
        <f t="shared" si="68"/>
        <v>44705</v>
      </c>
    </row>
    <row r="1052" spans="1:23" x14ac:dyDescent="0.3">
      <c r="A1052" s="28">
        <v>44689</v>
      </c>
      <c r="B1052" s="12" t="s">
        <v>4051</v>
      </c>
      <c r="C1052" s="12" t="s">
        <v>1542</v>
      </c>
      <c r="D1052" s="5"/>
      <c r="E1052" s="12">
        <v>601</v>
      </c>
      <c r="F1052" s="11" t="s">
        <v>4052</v>
      </c>
      <c r="G1052" s="12" t="s">
        <v>7</v>
      </c>
      <c r="H1052" s="12" t="s">
        <v>9</v>
      </c>
      <c r="I1052" s="11"/>
      <c r="J1052" s="12" t="s">
        <v>1582</v>
      </c>
      <c r="K1052" s="12" t="str">
        <f t="shared" si="66"/>
        <v>Open</v>
      </c>
      <c r="L1052" s="13"/>
      <c r="M1052" s="12"/>
      <c r="N1052" s="12" t="s">
        <v>1652</v>
      </c>
      <c r="O1052" s="12"/>
      <c r="P1052" s="12" t="s">
        <v>3790</v>
      </c>
      <c r="Q1052" s="12"/>
      <c r="R1052" s="12"/>
      <c r="S1052" s="12"/>
      <c r="T1052" s="13" t="s">
        <v>1547</v>
      </c>
      <c r="U1052" s="12" t="str">
        <f t="shared" si="69"/>
        <v>Not Started</v>
      </c>
      <c r="V1052" s="12" t="str">
        <f t="shared" si="67"/>
        <v>KHAN Jahan</v>
      </c>
      <c r="W1052" s="13" t="str">
        <f t="shared" si="68"/>
        <v/>
      </c>
    </row>
    <row r="1053" spans="1:23" ht="14.4" customHeight="1" x14ac:dyDescent="0.3">
      <c r="A1053" s="28">
        <v>44689</v>
      </c>
      <c r="B1053" s="12" t="s">
        <v>4053</v>
      </c>
      <c r="C1053" s="12" t="s">
        <v>1687</v>
      </c>
      <c r="D1053" s="5"/>
      <c r="E1053" s="12">
        <v>606</v>
      </c>
      <c r="F1053" s="11" t="s">
        <v>4054</v>
      </c>
      <c r="G1053" s="12" t="s">
        <v>7</v>
      </c>
      <c r="H1053" s="12" t="s">
        <v>17</v>
      </c>
      <c r="I1053" s="11" t="s">
        <v>4474</v>
      </c>
      <c r="J1053" s="12" t="s">
        <v>1574</v>
      </c>
      <c r="K1053" s="12" t="str">
        <f t="shared" si="66"/>
        <v>Closed</v>
      </c>
      <c r="L1053" s="13">
        <v>44704</v>
      </c>
      <c r="M1053" s="12"/>
      <c r="N1053" s="12" t="s">
        <v>2492</v>
      </c>
      <c r="O1053" s="12"/>
      <c r="P1053" s="12" t="s">
        <v>3790</v>
      </c>
      <c r="Q1053" s="12"/>
      <c r="R1053" s="12"/>
      <c r="S1053" s="12"/>
      <c r="T1053" s="13" t="s">
        <v>1547</v>
      </c>
      <c r="U1053" s="12" t="str">
        <f t="shared" si="69"/>
        <v>NFF</v>
      </c>
      <c r="V1053" s="12" t="str">
        <f t="shared" si="67"/>
        <v>FATHI Charafeddine</v>
      </c>
      <c r="W1053" s="13">
        <f t="shared" si="68"/>
        <v>44704</v>
      </c>
    </row>
    <row r="1054" spans="1:23" ht="28.8" customHeight="1" x14ac:dyDescent="0.3">
      <c r="A1054" s="28">
        <v>44690</v>
      </c>
      <c r="B1054" s="12" t="s">
        <v>4055</v>
      </c>
      <c r="C1054" s="12" t="s">
        <v>1687</v>
      </c>
      <c r="D1054" s="5"/>
      <c r="E1054" s="12">
        <v>413</v>
      </c>
      <c r="F1054" s="11" t="s">
        <v>4056</v>
      </c>
      <c r="G1054" s="12" t="s">
        <v>7</v>
      </c>
      <c r="H1054" s="12" t="s">
        <v>14</v>
      </c>
      <c r="I1054" s="11"/>
      <c r="J1054" s="12" t="s">
        <v>1574</v>
      </c>
      <c r="K1054" s="12" t="str">
        <f t="shared" si="66"/>
        <v>Closed</v>
      </c>
      <c r="L1054" s="13">
        <v>44706</v>
      </c>
      <c r="M1054" s="12"/>
      <c r="N1054" s="12" t="s">
        <v>4427</v>
      </c>
      <c r="O1054" s="12"/>
      <c r="P1054" s="12" t="s">
        <v>3790</v>
      </c>
      <c r="Q1054" s="12"/>
      <c r="R1054" s="12"/>
      <c r="S1054" s="12"/>
      <c r="T1054" s="13" t="s">
        <v>1547</v>
      </c>
      <c r="U1054" s="12" t="str">
        <f t="shared" si="69"/>
        <v>NFF</v>
      </c>
      <c r="V1054" s="12" t="str">
        <f t="shared" si="67"/>
        <v>GUAN Jialin</v>
      </c>
      <c r="W1054" s="13">
        <f t="shared" si="68"/>
        <v>44706</v>
      </c>
    </row>
    <row r="1055" spans="1:23" ht="14.4" customHeight="1" x14ac:dyDescent="0.3">
      <c r="A1055" s="28">
        <v>44690</v>
      </c>
      <c r="B1055" s="12" t="s">
        <v>4057</v>
      </c>
      <c r="C1055" s="12" t="s">
        <v>1687</v>
      </c>
      <c r="D1055" s="5"/>
      <c r="E1055" s="12">
        <v>613</v>
      </c>
      <c r="F1055" s="11" t="s">
        <v>4058</v>
      </c>
      <c r="G1055" s="12" t="s">
        <v>7</v>
      </c>
      <c r="H1055" s="12" t="s">
        <v>14</v>
      </c>
      <c r="I1055" s="11"/>
      <c r="J1055" s="12" t="s">
        <v>1545</v>
      </c>
      <c r="K1055" s="12" t="str">
        <f t="shared" si="66"/>
        <v>Closed</v>
      </c>
      <c r="L1055" s="13">
        <v>44703</v>
      </c>
      <c r="M1055" s="12"/>
      <c r="N1055" s="12" t="s">
        <v>4427</v>
      </c>
      <c r="O1055" s="12" t="s">
        <v>2546</v>
      </c>
      <c r="P1055" s="12" t="s">
        <v>3790</v>
      </c>
      <c r="Q1055" s="12"/>
      <c r="R1055" s="12"/>
      <c r="S1055" s="12"/>
      <c r="T1055" s="13" t="s">
        <v>1547</v>
      </c>
      <c r="U1055" s="12" t="str">
        <f t="shared" si="69"/>
        <v>Corrected</v>
      </c>
      <c r="V1055" s="12" t="str">
        <f t="shared" si="67"/>
        <v>GUAN Jialin</v>
      </c>
      <c r="W1055" s="13">
        <f t="shared" si="68"/>
        <v>44703</v>
      </c>
    </row>
    <row r="1056" spans="1:23" ht="14.4" customHeight="1" x14ac:dyDescent="0.3">
      <c r="A1056" s="28">
        <v>44690</v>
      </c>
      <c r="B1056" s="12" t="s">
        <v>4059</v>
      </c>
      <c r="C1056" s="12" t="s">
        <v>1687</v>
      </c>
      <c r="D1056" s="5"/>
      <c r="E1056" s="12">
        <v>619</v>
      </c>
      <c r="F1056" s="11" t="s">
        <v>4060</v>
      </c>
      <c r="G1056" s="12" t="s">
        <v>7</v>
      </c>
      <c r="H1056" s="12" t="s">
        <v>14</v>
      </c>
      <c r="I1056" s="11"/>
      <c r="J1056" s="12" t="s">
        <v>1574</v>
      </c>
      <c r="K1056" s="12" t="str">
        <f t="shared" si="66"/>
        <v>Closed</v>
      </c>
      <c r="L1056" s="13">
        <v>44693</v>
      </c>
      <c r="M1056" s="12"/>
      <c r="N1056" s="12" t="s">
        <v>4427</v>
      </c>
      <c r="O1056" s="12"/>
      <c r="P1056" s="12" t="s">
        <v>3790</v>
      </c>
      <c r="Q1056" s="12"/>
      <c r="R1056" s="12"/>
      <c r="S1056" s="12"/>
      <c r="T1056" s="13" t="s">
        <v>1547</v>
      </c>
      <c r="U1056" s="12" t="str">
        <f t="shared" si="69"/>
        <v>NFF</v>
      </c>
      <c r="V1056" s="12" t="str">
        <f t="shared" si="67"/>
        <v>GUAN Jialin</v>
      </c>
      <c r="W1056" s="13">
        <f t="shared" si="68"/>
        <v>44693</v>
      </c>
    </row>
    <row r="1057" spans="1:23" ht="14.4" customHeight="1" x14ac:dyDescent="0.3">
      <c r="A1057" s="28">
        <v>44690</v>
      </c>
      <c r="B1057" s="12" t="s">
        <v>4061</v>
      </c>
      <c r="C1057" s="12" t="s">
        <v>1687</v>
      </c>
      <c r="D1057" s="5"/>
      <c r="E1057" s="12">
        <v>408</v>
      </c>
      <c r="F1057" s="11" t="s">
        <v>4062</v>
      </c>
      <c r="G1057" s="12" t="s">
        <v>7</v>
      </c>
      <c r="H1057" s="12" t="s">
        <v>14</v>
      </c>
      <c r="I1057" s="11"/>
      <c r="J1057" s="12" t="s">
        <v>1545</v>
      </c>
      <c r="K1057" s="12" t="str">
        <f t="shared" si="66"/>
        <v>Closed</v>
      </c>
      <c r="L1057" s="13">
        <v>44705</v>
      </c>
      <c r="M1057" s="12"/>
      <c r="N1057" s="12" t="s">
        <v>4427</v>
      </c>
      <c r="O1057" s="12"/>
      <c r="P1057" s="12" t="s">
        <v>3790</v>
      </c>
      <c r="Q1057" s="12"/>
      <c r="R1057" s="12"/>
      <c r="S1057" s="12"/>
      <c r="T1057" s="13" t="s">
        <v>1547</v>
      </c>
      <c r="U1057" s="12" t="str">
        <f t="shared" si="69"/>
        <v>Corrected</v>
      </c>
      <c r="V1057" s="12" t="str">
        <f t="shared" si="67"/>
        <v>GUAN Jialin</v>
      </c>
      <c r="W1057" s="13">
        <f t="shared" si="68"/>
        <v>44705</v>
      </c>
    </row>
    <row r="1058" spans="1:23" x14ac:dyDescent="0.3">
      <c r="A1058" s="28">
        <v>44690</v>
      </c>
      <c r="B1058" s="12" t="s">
        <v>4063</v>
      </c>
      <c r="C1058" s="12" t="s">
        <v>1687</v>
      </c>
      <c r="D1058" s="5"/>
      <c r="E1058" s="12">
        <v>622</v>
      </c>
      <c r="F1058" s="11" t="s">
        <v>4064</v>
      </c>
      <c r="G1058" s="12" t="s">
        <v>7</v>
      </c>
      <c r="H1058" s="12" t="s">
        <v>14</v>
      </c>
      <c r="I1058" s="11"/>
      <c r="J1058" s="12" t="s">
        <v>1574</v>
      </c>
      <c r="K1058" s="12" t="str">
        <f t="shared" si="66"/>
        <v>Closed</v>
      </c>
      <c r="L1058" s="13">
        <v>44705</v>
      </c>
      <c r="M1058" s="12"/>
      <c r="N1058" s="12" t="s">
        <v>4427</v>
      </c>
      <c r="O1058" s="12"/>
      <c r="P1058" s="12" t="s">
        <v>3790</v>
      </c>
      <c r="Q1058" s="12"/>
      <c r="R1058" s="12"/>
      <c r="S1058" s="12"/>
      <c r="T1058" s="13" t="s">
        <v>1547</v>
      </c>
      <c r="U1058" s="12" t="str">
        <f t="shared" si="69"/>
        <v>NFF</v>
      </c>
      <c r="V1058" s="12" t="str">
        <f t="shared" si="67"/>
        <v>GUAN Jialin</v>
      </c>
      <c r="W1058" s="13">
        <f t="shared" si="68"/>
        <v>44705</v>
      </c>
    </row>
    <row r="1059" spans="1:23" ht="14.4" customHeight="1" x14ac:dyDescent="0.3">
      <c r="A1059" s="28">
        <v>44691</v>
      </c>
      <c r="B1059" s="12" t="s">
        <v>4077</v>
      </c>
      <c r="C1059" s="12" t="s">
        <v>1687</v>
      </c>
      <c r="D1059" s="5"/>
      <c r="E1059" s="12">
        <v>422</v>
      </c>
      <c r="F1059" s="11" t="s">
        <v>4078</v>
      </c>
      <c r="G1059" s="12" t="s">
        <v>7</v>
      </c>
      <c r="H1059" s="12" t="s">
        <v>14</v>
      </c>
      <c r="I1059" s="11" t="s">
        <v>3668</v>
      </c>
      <c r="J1059" s="12" t="s">
        <v>1574</v>
      </c>
      <c r="K1059" s="12" t="str">
        <f t="shared" si="66"/>
        <v>Closed</v>
      </c>
      <c r="L1059" s="13">
        <v>44693</v>
      </c>
      <c r="M1059" s="12"/>
      <c r="N1059" s="12" t="s">
        <v>4427</v>
      </c>
      <c r="O1059" s="12"/>
      <c r="P1059" s="12" t="s">
        <v>3790</v>
      </c>
      <c r="Q1059" s="12"/>
      <c r="R1059" s="12"/>
      <c r="S1059" s="12"/>
      <c r="T1059" s="13" t="s">
        <v>1547</v>
      </c>
      <c r="U1059" s="12" t="str">
        <f t="shared" si="69"/>
        <v>NFF</v>
      </c>
      <c r="V1059" s="12" t="str">
        <f t="shared" si="67"/>
        <v>GUAN Jialin</v>
      </c>
      <c r="W1059" s="13">
        <f t="shared" si="68"/>
        <v>44693</v>
      </c>
    </row>
    <row r="1060" spans="1:23" ht="14.4" customHeight="1" x14ac:dyDescent="0.3">
      <c r="A1060" s="28">
        <v>44691</v>
      </c>
      <c r="B1060" s="12" t="s">
        <v>4079</v>
      </c>
      <c r="C1060" s="12" t="s">
        <v>1687</v>
      </c>
      <c r="D1060" s="5"/>
      <c r="E1060" s="12">
        <v>621</v>
      </c>
      <c r="F1060" s="11" t="s">
        <v>4080</v>
      </c>
      <c r="G1060" s="12" t="s">
        <v>7</v>
      </c>
      <c r="H1060" s="12" t="s">
        <v>14</v>
      </c>
      <c r="I1060" s="11" t="s">
        <v>4094</v>
      </c>
      <c r="J1060" s="12" t="s">
        <v>1574</v>
      </c>
      <c r="K1060" s="12" t="str">
        <f t="shared" si="66"/>
        <v>Closed</v>
      </c>
      <c r="L1060" s="13">
        <v>44693</v>
      </c>
      <c r="M1060" s="12"/>
      <c r="N1060" s="12" t="s">
        <v>4427</v>
      </c>
      <c r="O1060" s="12"/>
      <c r="P1060" s="12" t="s">
        <v>3790</v>
      </c>
      <c r="Q1060" s="12"/>
      <c r="R1060" s="12"/>
      <c r="S1060" s="12"/>
      <c r="T1060" s="13" t="s">
        <v>1547</v>
      </c>
      <c r="U1060" s="12" t="str">
        <f t="shared" si="69"/>
        <v>NFF</v>
      </c>
      <c r="V1060" s="12" t="str">
        <f t="shared" si="67"/>
        <v>GUAN Jialin</v>
      </c>
      <c r="W1060" s="13">
        <f t="shared" si="68"/>
        <v>44693</v>
      </c>
    </row>
    <row r="1061" spans="1:23" ht="14.4" customHeight="1" x14ac:dyDescent="0.3">
      <c r="A1061" s="28">
        <v>44691</v>
      </c>
      <c r="B1061" s="12" t="s">
        <v>4081</v>
      </c>
      <c r="C1061" s="12" t="s">
        <v>1687</v>
      </c>
      <c r="D1061" s="5"/>
      <c r="E1061" s="12">
        <v>405</v>
      </c>
      <c r="F1061" s="11" t="s">
        <v>4082</v>
      </c>
      <c r="G1061" s="12" t="s">
        <v>7</v>
      </c>
      <c r="H1061" s="12" t="s">
        <v>14</v>
      </c>
      <c r="I1061" s="11"/>
      <c r="J1061" s="12" t="s">
        <v>1582</v>
      </c>
      <c r="K1061" s="12" t="str">
        <f t="shared" si="66"/>
        <v>Open</v>
      </c>
      <c r="L1061" s="13"/>
      <c r="M1061" s="12"/>
      <c r="N1061" s="12" t="s">
        <v>4427</v>
      </c>
      <c r="O1061" s="12"/>
      <c r="P1061" s="12" t="s">
        <v>3790</v>
      </c>
      <c r="Q1061" s="12"/>
      <c r="R1061" s="12"/>
      <c r="S1061" s="12"/>
      <c r="T1061" s="13" t="s">
        <v>1547</v>
      </c>
      <c r="U1061" s="12" t="str">
        <f t="shared" si="69"/>
        <v>Not Started</v>
      </c>
      <c r="V1061" s="12" t="str">
        <f t="shared" si="67"/>
        <v>GUAN Jialin</v>
      </c>
      <c r="W1061" s="13" t="str">
        <f t="shared" si="68"/>
        <v/>
      </c>
    </row>
    <row r="1062" spans="1:23" x14ac:dyDescent="0.3">
      <c r="A1062" s="28">
        <v>44691</v>
      </c>
      <c r="B1062" s="12" t="s">
        <v>4083</v>
      </c>
      <c r="C1062" s="12" t="s">
        <v>1687</v>
      </c>
      <c r="D1062" s="5"/>
      <c r="E1062" s="12">
        <v>403</v>
      </c>
      <c r="F1062" s="11" t="s">
        <v>4084</v>
      </c>
      <c r="G1062" s="12" t="s">
        <v>7</v>
      </c>
      <c r="H1062" s="12" t="s">
        <v>14</v>
      </c>
      <c r="I1062" s="11"/>
      <c r="J1062" s="12" t="s">
        <v>1574</v>
      </c>
      <c r="K1062" s="12" t="str">
        <f t="shared" si="66"/>
        <v>Closed</v>
      </c>
      <c r="L1062" s="13">
        <v>44705</v>
      </c>
      <c r="M1062" s="12"/>
      <c r="N1062" s="12" t="s">
        <v>4427</v>
      </c>
      <c r="O1062" s="12"/>
      <c r="P1062" s="12" t="s">
        <v>3790</v>
      </c>
      <c r="Q1062" s="12"/>
      <c r="R1062" s="12"/>
      <c r="S1062" s="12"/>
      <c r="T1062" s="13" t="s">
        <v>1547</v>
      </c>
      <c r="U1062" s="12" t="str">
        <f t="shared" si="69"/>
        <v>NFF</v>
      </c>
      <c r="V1062" s="12" t="str">
        <f t="shared" si="67"/>
        <v>GUAN Jialin</v>
      </c>
      <c r="W1062" s="13">
        <f t="shared" si="68"/>
        <v>44705</v>
      </c>
    </row>
    <row r="1063" spans="1:23" x14ac:dyDescent="0.3">
      <c r="A1063" s="28">
        <v>44691</v>
      </c>
      <c r="B1063" s="12" t="s">
        <v>4085</v>
      </c>
      <c r="C1063" s="12" t="s">
        <v>1687</v>
      </c>
      <c r="D1063" s="5"/>
      <c r="E1063" s="12">
        <v>412</v>
      </c>
      <c r="F1063" s="11" t="s">
        <v>4086</v>
      </c>
      <c r="G1063" s="12" t="s">
        <v>7</v>
      </c>
      <c r="H1063" s="12" t="s">
        <v>14</v>
      </c>
      <c r="I1063" s="11"/>
      <c r="J1063" s="12" t="s">
        <v>1574</v>
      </c>
      <c r="K1063" s="12" t="str">
        <f t="shared" si="66"/>
        <v>Closed</v>
      </c>
      <c r="L1063" s="13">
        <v>44705</v>
      </c>
      <c r="M1063" s="12"/>
      <c r="N1063" s="12" t="s">
        <v>4427</v>
      </c>
      <c r="O1063" s="12"/>
      <c r="P1063" s="12" t="s">
        <v>3790</v>
      </c>
      <c r="Q1063" s="12"/>
      <c r="R1063" s="12"/>
      <c r="S1063" s="12"/>
      <c r="T1063" s="13" t="s">
        <v>1547</v>
      </c>
      <c r="U1063" s="12" t="str">
        <f t="shared" si="69"/>
        <v>NFF</v>
      </c>
      <c r="V1063" s="12" t="str">
        <f t="shared" si="67"/>
        <v>GUAN Jialin</v>
      </c>
      <c r="W1063" s="13">
        <f t="shared" si="68"/>
        <v>44705</v>
      </c>
    </row>
    <row r="1064" spans="1:23" ht="14.4" customHeight="1" x14ac:dyDescent="0.3">
      <c r="A1064" s="28">
        <v>44691</v>
      </c>
      <c r="B1064" s="12" t="s">
        <v>4087</v>
      </c>
      <c r="C1064" s="12" t="s">
        <v>1687</v>
      </c>
      <c r="D1064" s="5"/>
      <c r="E1064" s="12">
        <v>414</v>
      </c>
      <c r="F1064" s="14" t="s">
        <v>4348</v>
      </c>
      <c r="G1064" s="12" t="s">
        <v>7</v>
      </c>
      <c r="H1064" s="12" t="s">
        <v>14</v>
      </c>
      <c r="I1064" s="11" t="s">
        <v>4539</v>
      </c>
      <c r="J1064" s="12" t="s">
        <v>1545</v>
      </c>
      <c r="K1064" s="12" t="str">
        <f t="shared" si="66"/>
        <v>Closed</v>
      </c>
      <c r="L1064" s="13">
        <v>44706</v>
      </c>
      <c r="M1064" s="12"/>
      <c r="N1064" s="12" t="s">
        <v>4427</v>
      </c>
      <c r="O1064" s="12"/>
      <c r="P1064" s="12" t="s">
        <v>3790</v>
      </c>
      <c r="Q1064" s="12"/>
      <c r="R1064" s="12"/>
      <c r="S1064" s="12"/>
      <c r="T1064" s="13" t="s">
        <v>1547</v>
      </c>
      <c r="U1064" s="12" t="str">
        <f t="shared" si="69"/>
        <v>Corrected</v>
      </c>
      <c r="V1064" s="12" t="str">
        <f t="shared" si="67"/>
        <v>GUAN Jialin</v>
      </c>
      <c r="W1064" s="13">
        <f t="shared" si="68"/>
        <v>44706</v>
      </c>
    </row>
    <row r="1065" spans="1:23" ht="14.4" customHeight="1" x14ac:dyDescent="0.3">
      <c r="A1065" s="28">
        <v>44691</v>
      </c>
      <c r="B1065" s="12" t="s">
        <v>4088</v>
      </c>
      <c r="C1065" s="12" t="s">
        <v>1542</v>
      </c>
      <c r="D1065" s="5"/>
      <c r="E1065" s="12">
        <v>413</v>
      </c>
      <c r="F1065" s="11" t="s">
        <v>3703</v>
      </c>
      <c r="G1065" s="12" t="s">
        <v>7</v>
      </c>
      <c r="H1065" s="12"/>
      <c r="I1065" s="11" t="s">
        <v>4107</v>
      </c>
      <c r="J1065" s="12" t="s">
        <v>1574</v>
      </c>
      <c r="K1065" s="12" t="str">
        <f t="shared" si="66"/>
        <v>Closed</v>
      </c>
      <c r="L1065" s="13">
        <v>44692</v>
      </c>
      <c r="M1065" s="12"/>
      <c r="N1065" s="12" t="s">
        <v>4430</v>
      </c>
      <c r="O1065" s="12"/>
      <c r="P1065" s="12" t="s">
        <v>3790</v>
      </c>
      <c r="Q1065" s="12"/>
      <c r="R1065" s="12"/>
      <c r="S1065" s="12"/>
      <c r="T1065" s="13" t="s">
        <v>1547</v>
      </c>
      <c r="U1065" s="12" t="str">
        <f t="shared" si="69"/>
        <v>NFF</v>
      </c>
      <c r="V1065" s="12" t="s">
        <v>14</v>
      </c>
      <c r="W1065" s="13">
        <f t="shared" si="68"/>
        <v>44692</v>
      </c>
    </row>
    <row r="1066" spans="1:23" ht="14.4" customHeight="1" x14ac:dyDescent="0.3">
      <c r="A1066" s="28">
        <v>44691</v>
      </c>
      <c r="B1066" s="12" t="s">
        <v>4103</v>
      </c>
      <c r="C1066" s="12" t="s">
        <v>1687</v>
      </c>
      <c r="D1066" s="5"/>
      <c r="E1066" s="12">
        <v>422</v>
      </c>
      <c r="F1066" s="11" t="s">
        <v>4104</v>
      </c>
      <c r="G1066" s="12" t="s">
        <v>7</v>
      </c>
      <c r="H1066" s="12" t="s">
        <v>14</v>
      </c>
      <c r="I1066" s="11" t="s">
        <v>4349</v>
      </c>
      <c r="J1066" s="12" t="s">
        <v>1574</v>
      </c>
      <c r="K1066" s="12" t="str">
        <f t="shared" si="66"/>
        <v>Closed</v>
      </c>
      <c r="L1066" s="13">
        <v>44693</v>
      </c>
      <c r="M1066" s="12"/>
      <c r="N1066" s="12" t="s">
        <v>4427</v>
      </c>
      <c r="O1066" s="12"/>
      <c r="P1066" s="12" t="s">
        <v>3790</v>
      </c>
      <c r="Q1066" s="12"/>
      <c r="R1066" s="12"/>
      <c r="S1066" s="12"/>
      <c r="T1066" s="13" t="s">
        <v>1547</v>
      </c>
      <c r="U1066" s="12" t="str">
        <f t="shared" si="69"/>
        <v>NFF</v>
      </c>
      <c r="V1066" s="12" t="str">
        <f>IF(AND(J1066="Corrective Action Required",R1066="Corrected"),S1066, IF(AND(J1066="Corrective Action Required",R1066&lt;&gt;"Corrected"),S1066,H1066))</f>
        <v>GUAN Jialin</v>
      </c>
      <c r="W1066" s="13">
        <f t="shared" si="68"/>
        <v>44693</v>
      </c>
    </row>
    <row r="1067" spans="1:23" ht="14.4" customHeight="1" x14ac:dyDescent="0.3">
      <c r="A1067" s="28">
        <v>44691</v>
      </c>
      <c r="B1067" s="12" t="s">
        <v>4105</v>
      </c>
      <c r="C1067" s="12" t="s">
        <v>1687</v>
      </c>
      <c r="D1067" s="5"/>
      <c r="E1067" s="12">
        <v>616</v>
      </c>
      <c r="F1067" s="11" t="s">
        <v>4108</v>
      </c>
      <c r="G1067" s="12" t="s">
        <v>7</v>
      </c>
      <c r="H1067" s="12" t="s">
        <v>14</v>
      </c>
      <c r="I1067" s="11" t="s">
        <v>4469</v>
      </c>
      <c r="J1067" s="12" t="s">
        <v>1545</v>
      </c>
      <c r="K1067" s="12" t="str">
        <f t="shared" ref="K1067:K1130" si="70">IF(J1067="Corrected","Closed",IF(J1067="NFF","Closed","Open"))</f>
        <v>Closed</v>
      </c>
      <c r="L1067" s="13">
        <v>44703</v>
      </c>
      <c r="M1067" s="12"/>
      <c r="N1067" s="12" t="s">
        <v>4427</v>
      </c>
      <c r="O1067" s="12" t="s">
        <v>2546</v>
      </c>
      <c r="P1067" s="12" t="s">
        <v>3790</v>
      </c>
      <c r="Q1067" s="12"/>
      <c r="R1067" s="12"/>
      <c r="S1067" s="12"/>
      <c r="T1067" s="13" t="s">
        <v>1547</v>
      </c>
      <c r="U1067" s="12" t="str">
        <f t="shared" si="69"/>
        <v>Corrected</v>
      </c>
      <c r="V1067" s="12" t="str">
        <f t="shared" si="67"/>
        <v>GUAN Jialin</v>
      </c>
      <c r="W1067" s="13">
        <f t="shared" si="68"/>
        <v>44703</v>
      </c>
    </row>
    <row r="1068" spans="1:23" ht="14.4" customHeight="1" x14ac:dyDescent="0.3">
      <c r="A1068" s="28">
        <v>44691</v>
      </c>
      <c r="B1068" s="12" t="s">
        <v>4106</v>
      </c>
      <c r="C1068" s="12" t="s">
        <v>1687</v>
      </c>
      <c r="D1068" s="5"/>
      <c r="E1068" s="12">
        <v>612</v>
      </c>
      <c r="F1068" s="11" t="s">
        <v>4350</v>
      </c>
      <c r="G1068" s="12" t="s">
        <v>7</v>
      </c>
      <c r="H1068" s="12" t="s">
        <v>14</v>
      </c>
      <c r="I1068" s="11"/>
      <c r="J1068" s="12" t="s">
        <v>1574</v>
      </c>
      <c r="K1068" s="12" t="str">
        <f t="shared" si="70"/>
        <v>Closed</v>
      </c>
      <c r="L1068" s="13">
        <v>44706</v>
      </c>
      <c r="M1068" s="12"/>
      <c r="N1068" s="12" t="s">
        <v>4427</v>
      </c>
      <c r="O1068" s="12"/>
      <c r="P1068" s="12" t="s">
        <v>3790</v>
      </c>
      <c r="Q1068" s="12"/>
      <c r="R1068" s="12"/>
      <c r="S1068" s="12"/>
      <c r="T1068" s="13" t="s">
        <v>1547</v>
      </c>
      <c r="U1068" s="12" t="str">
        <f t="shared" si="69"/>
        <v>NFF</v>
      </c>
      <c r="V1068" s="12" t="str">
        <f t="shared" si="67"/>
        <v>GUAN Jialin</v>
      </c>
      <c r="W1068" s="13">
        <f t="shared" si="68"/>
        <v>44706</v>
      </c>
    </row>
    <row r="1069" spans="1:23" ht="14.4" customHeight="1" x14ac:dyDescent="0.3">
      <c r="A1069" s="28">
        <v>44691</v>
      </c>
      <c r="B1069" s="12" t="s">
        <v>4109</v>
      </c>
      <c r="C1069" s="12" t="s">
        <v>1690</v>
      </c>
      <c r="D1069" s="5"/>
      <c r="E1069" s="12">
        <v>408</v>
      </c>
      <c r="F1069" s="11" t="s">
        <v>4110</v>
      </c>
      <c r="G1069" s="12" t="s">
        <v>7</v>
      </c>
      <c r="H1069" s="12" t="s">
        <v>9</v>
      </c>
      <c r="I1069" s="11"/>
      <c r="J1069" s="12" t="s">
        <v>1582</v>
      </c>
      <c r="K1069" s="12" t="str">
        <f t="shared" si="70"/>
        <v>Open</v>
      </c>
      <c r="L1069" s="13"/>
      <c r="M1069" s="12"/>
      <c r="N1069" s="12"/>
      <c r="O1069" s="12"/>
      <c r="P1069" s="12" t="s">
        <v>3790</v>
      </c>
      <c r="Q1069" s="12"/>
      <c r="R1069" s="12"/>
      <c r="S1069" s="12"/>
      <c r="T1069" s="13" t="s">
        <v>1547</v>
      </c>
      <c r="U1069" s="12" t="str">
        <f t="shared" si="69"/>
        <v>Not Started</v>
      </c>
      <c r="V1069" s="12" t="str">
        <f t="shared" si="67"/>
        <v>KHAN Jahan</v>
      </c>
      <c r="W1069" s="13" t="str">
        <f t="shared" si="68"/>
        <v/>
      </c>
    </row>
    <row r="1070" spans="1:23" x14ac:dyDescent="0.3">
      <c r="A1070" s="28">
        <v>44691</v>
      </c>
      <c r="B1070" s="12" t="s">
        <v>4111</v>
      </c>
      <c r="C1070" s="12" t="s">
        <v>1690</v>
      </c>
      <c r="D1070" s="5"/>
      <c r="E1070" s="12">
        <v>608</v>
      </c>
      <c r="F1070" s="11" t="s">
        <v>4112</v>
      </c>
      <c r="G1070" s="12" t="s">
        <v>7</v>
      </c>
      <c r="H1070" s="12" t="s">
        <v>14</v>
      </c>
      <c r="I1070" s="11" t="s">
        <v>4351</v>
      </c>
      <c r="J1070" s="12" t="s">
        <v>1574</v>
      </c>
      <c r="K1070" s="12" t="str">
        <f t="shared" si="70"/>
        <v>Closed</v>
      </c>
      <c r="L1070" s="13">
        <v>44693</v>
      </c>
      <c r="M1070" s="12"/>
      <c r="N1070" s="12" t="s">
        <v>4427</v>
      </c>
      <c r="O1070" s="12"/>
      <c r="P1070" s="12" t="s">
        <v>3790</v>
      </c>
      <c r="Q1070" s="12"/>
      <c r="R1070" s="12"/>
      <c r="S1070" s="12"/>
      <c r="T1070" s="13" t="s">
        <v>1547</v>
      </c>
      <c r="U1070" s="12" t="str">
        <f t="shared" si="69"/>
        <v>NFF</v>
      </c>
      <c r="V1070" s="12" t="str">
        <f t="shared" si="67"/>
        <v>GUAN Jialin</v>
      </c>
      <c r="W1070" s="13">
        <f t="shared" si="68"/>
        <v>44693</v>
      </c>
    </row>
    <row r="1071" spans="1:23" ht="28.8" customHeight="1" x14ac:dyDescent="0.3">
      <c r="A1071" s="28">
        <v>44691</v>
      </c>
      <c r="B1071" s="12" t="s">
        <v>4113</v>
      </c>
      <c r="C1071" s="12" t="s">
        <v>1690</v>
      </c>
      <c r="D1071" s="5"/>
      <c r="E1071" s="12">
        <v>616</v>
      </c>
      <c r="F1071" s="11" t="s">
        <v>4114</v>
      </c>
      <c r="G1071" s="12" t="s">
        <v>7</v>
      </c>
      <c r="H1071" s="12" t="s">
        <v>9</v>
      </c>
      <c r="I1071" s="11"/>
      <c r="J1071" s="12" t="s">
        <v>1582</v>
      </c>
      <c r="K1071" s="12" t="str">
        <f t="shared" si="70"/>
        <v>Open</v>
      </c>
      <c r="L1071" s="13"/>
      <c r="M1071" s="12"/>
      <c r="N1071" s="12" t="s">
        <v>4427</v>
      </c>
      <c r="O1071" s="12"/>
      <c r="P1071" s="12" t="s">
        <v>3790</v>
      </c>
      <c r="Q1071" s="12"/>
      <c r="R1071" s="12"/>
      <c r="S1071" s="12"/>
      <c r="T1071" s="13" t="s">
        <v>1547</v>
      </c>
      <c r="U1071" s="12" t="str">
        <f t="shared" si="69"/>
        <v>Not Started</v>
      </c>
      <c r="V1071" s="12" t="str">
        <f t="shared" si="67"/>
        <v>KHAN Jahan</v>
      </c>
      <c r="W1071" s="13" t="str">
        <f t="shared" si="68"/>
        <v/>
      </c>
    </row>
    <row r="1072" spans="1:23" ht="28.8" x14ac:dyDescent="0.3">
      <c r="A1072" s="28">
        <v>44691</v>
      </c>
      <c r="B1072" s="12" t="s">
        <v>4115</v>
      </c>
      <c r="C1072" s="12" t="s">
        <v>1690</v>
      </c>
      <c r="D1072" s="5"/>
      <c r="E1072" s="12">
        <v>419</v>
      </c>
      <c r="F1072" s="14" t="s">
        <v>4352</v>
      </c>
      <c r="G1072" s="12" t="s">
        <v>1</v>
      </c>
      <c r="H1072" s="12" t="s">
        <v>9</v>
      </c>
      <c r="I1072" s="11" t="s">
        <v>4353</v>
      </c>
      <c r="J1072" s="12" t="s">
        <v>1609</v>
      </c>
      <c r="K1072" s="12" t="str">
        <f t="shared" si="70"/>
        <v>Open</v>
      </c>
      <c r="L1072" s="13"/>
      <c r="M1072" s="12"/>
      <c r="N1072" s="12" t="s">
        <v>4429</v>
      </c>
      <c r="O1072" s="12"/>
      <c r="P1072" s="12" t="s">
        <v>2788</v>
      </c>
      <c r="Q1072" s="12"/>
      <c r="R1072" s="12" t="s">
        <v>3566</v>
      </c>
      <c r="S1072" s="12" t="s">
        <v>19</v>
      </c>
      <c r="T1072" s="13" t="s">
        <v>1547</v>
      </c>
      <c r="U1072" s="12" t="str">
        <f t="shared" si="69"/>
        <v>CM Open</v>
      </c>
      <c r="V1072" s="12" t="str">
        <f t="shared" si="67"/>
        <v>DAOUDI Mohamed</v>
      </c>
      <c r="W1072" s="13" t="str">
        <f t="shared" si="68"/>
        <v/>
      </c>
    </row>
    <row r="1073" spans="1:23" ht="14.4" customHeight="1" x14ac:dyDescent="0.3">
      <c r="A1073" s="28">
        <v>44691</v>
      </c>
      <c r="B1073" s="12" t="s">
        <v>4116</v>
      </c>
      <c r="C1073" s="12" t="s">
        <v>1690</v>
      </c>
      <c r="D1073" s="5"/>
      <c r="E1073" s="12">
        <v>404</v>
      </c>
      <c r="F1073" s="11" t="s">
        <v>4117</v>
      </c>
      <c r="G1073" s="12" t="s">
        <v>7</v>
      </c>
      <c r="H1073" s="12" t="s">
        <v>14</v>
      </c>
      <c r="I1073" s="11" t="s">
        <v>4354</v>
      </c>
      <c r="J1073" s="12" t="s">
        <v>1574</v>
      </c>
      <c r="K1073" s="12" t="str">
        <f t="shared" si="70"/>
        <v>Closed</v>
      </c>
      <c r="L1073" s="13">
        <v>44693</v>
      </c>
      <c r="M1073" s="12"/>
      <c r="N1073" s="12" t="s">
        <v>4427</v>
      </c>
      <c r="O1073" s="12"/>
      <c r="P1073" s="12" t="s">
        <v>3790</v>
      </c>
      <c r="Q1073" s="12"/>
      <c r="R1073" s="12"/>
      <c r="S1073" s="12"/>
      <c r="T1073" s="13" t="s">
        <v>1547</v>
      </c>
      <c r="U1073" s="12" t="str">
        <f t="shared" si="69"/>
        <v>NFF</v>
      </c>
      <c r="V1073" s="12" t="str">
        <f t="shared" si="67"/>
        <v>GUAN Jialin</v>
      </c>
      <c r="W1073" s="13">
        <f t="shared" si="68"/>
        <v>44693</v>
      </c>
    </row>
    <row r="1074" spans="1:23" ht="14.4" customHeight="1" x14ac:dyDescent="0.3">
      <c r="A1074" s="28">
        <v>44692</v>
      </c>
      <c r="B1074" s="12" t="s">
        <v>4118</v>
      </c>
      <c r="C1074" s="12" t="s">
        <v>1687</v>
      </c>
      <c r="D1074" s="5"/>
      <c r="E1074" s="12">
        <v>623</v>
      </c>
      <c r="F1074" s="14" t="s">
        <v>4355</v>
      </c>
      <c r="G1074" s="12" t="s">
        <v>7</v>
      </c>
      <c r="H1074" s="12" t="s">
        <v>14</v>
      </c>
      <c r="I1074" s="11"/>
      <c r="J1074" s="12" t="s">
        <v>1574</v>
      </c>
      <c r="K1074" s="12" t="str">
        <f t="shared" si="70"/>
        <v>Closed</v>
      </c>
      <c r="L1074" s="13">
        <v>44693</v>
      </c>
      <c r="M1074" s="12"/>
      <c r="N1074" s="12" t="s">
        <v>4427</v>
      </c>
      <c r="O1074" s="12"/>
      <c r="P1074" s="12" t="s">
        <v>3790</v>
      </c>
      <c r="Q1074" s="12"/>
      <c r="R1074" s="12"/>
      <c r="S1074" s="12"/>
      <c r="T1074" s="13" t="s">
        <v>1547</v>
      </c>
      <c r="U1074" s="12" t="str">
        <f t="shared" si="69"/>
        <v>NFF</v>
      </c>
      <c r="V1074" s="12" t="str">
        <f t="shared" si="67"/>
        <v>GUAN Jialin</v>
      </c>
      <c r="W1074" s="13">
        <f t="shared" si="68"/>
        <v>44693</v>
      </c>
    </row>
    <row r="1075" spans="1:23" ht="28.8" customHeight="1" x14ac:dyDescent="0.3">
      <c r="A1075" s="28">
        <v>44692</v>
      </c>
      <c r="B1075" s="12" t="s">
        <v>4119</v>
      </c>
      <c r="C1075" s="12" t="s">
        <v>1687</v>
      </c>
      <c r="D1075" s="5"/>
      <c r="E1075" s="12">
        <v>623</v>
      </c>
      <c r="F1075" s="11" t="s">
        <v>4120</v>
      </c>
      <c r="G1075" s="12" t="s">
        <v>7</v>
      </c>
      <c r="H1075" s="12" t="s">
        <v>14</v>
      </c>
      <c r="I1075" s="11"/>
      <c r="J1075" s="12" t="s">
        <v>1574</v>
      </c>
      <c r="K1075" s="12" t="str">
        <f t="shared" si="70"/>
        <v>Closed</v>
      </c>
      <c r="L1075" s="13">
        <v>44693</v>
      </c>
      <c r="M1075" s="12"/>
      <c r="N1075" s="12" t="s">
        <v>4427</v>
      </c>
      <c r="O1075" s="12"/>
      <c r="P1075" s="12" t="s">
        <v>3790</v>
      </c>
      <c r="Q1075" s="12"/>
      <c r="R1075" s="12"/>
      <c r="S1075" s="12"/>
      <c r="T1075" s="13" t="s">
        <v>1547</v>
      </c>
      <c r="U1075" s="12" t="str">
        <f t="shared" si="69"/>
        <v>NFF</v>
      </c>
      <c r="V1075" s="12" t="str">
        <f t="shared" si="67"/>
        <v>GUAN Jialin</v>
      </c>
      <c r="W1075" s="13">
        <f t="shared" si="68"/>
        <v>44693</v>
      </c>
    </row>
    <row r="1076" spans="1:23" x14ac:dyDescent="0.3">
      <c r="A1076" s="28">
        <v>44693</v>
      </c>
      <c r="B1076" s="12" t="s">
        <v>4121</v>
      </c>
      <c r="C1076" s="12" t="s">
        <v>1687</v>
      </c>
      <c r="D1076" s="5"/>
      <c r="E1076" s="12">
        <v>615</v>
      </c>
      <c r="F1076" s="11" t="s">
        <v>4356</v>
      </c>
      <c r="G1076" s="12" t="s">
        <v>7</v>
      </c>
      <c r="H1076" s="12" t="s">
        <v>14</v>
      </c>
      <c r="I1076" s="11" t="s">
        <v>4470</v>
      </c>
      <c r="J1076" s="12" t="s">
        <v>1574</v>
      </c>
      <c r="K1076" s="12" t="str">
        <f t="shared" si="70"/>
        <v>Closed</v>
      </c>
      <c r="L1076" s="13">
        <v>44703</v>
      </c>
      <c r="M1076" s="12"/>
      <c r="N1076" s="12" t="s">
        <v>4427</v>
      </c>
      <c r="O1076" s="12"/>
      <c r="P1076" s="12" t="s">
        <v>3790</v>
      </c>
      <c r="Q1076" s="12"/>
      <c r="R1076" s="12"/>
      <c r="S1076" s="12"/>
      <c r="T1076" s="13" t="s">
        <v>1547</v>
      </c>
      <c r="U1076" s="12" t="str">
        <f t="shared" si="69"/>
        <v>NFF</v>
      </c>
      <c r="V1076" s="12" t="str">
        <f t="shared" si="67"/>
        <v>GUAN Jialin</v>
      </c>
      <c r="W1076" s="13">
        <f t="shared" si="68"/>
        <v>44703</v>
      </c>
    </row>
    <row r="1077" spans="1:23" x14ac:dyDescent="0.3">
      <c r="A1077" s="28">
        <v>44693</v>
      </c>
      <c r="B1077" s="12" t="s">
        <v>4124</v>
      </c>
      <c r="C1077" s="12" t="s">
        <v>1542</v>
      </c>
      <c r="D1077" s="5"/>
      <c r="E1077" s="12"/>
      <c r="F1077" s="11" t="s">
        <v>2705</v>
      </c>
      <c r="G1077" s="12"/>
      <c r="H1077" s="12"/>
      <c r="I1077" s="11"/>
      <c r="J1077" s="12" t="s">
        <v>1582</v>
      </c>
      <c r="K1077" s="12" t="str">
        <f t="shared" si="70"/>
        <v>Open</v>
      </c>
      <c r="L1077" s="13"/>
      <c r="M1077" s="12"/>
      <c r="N1077" s="12"/>
      <c r="O1077" s="12"/>
      <c r="P1077" s="12"/>
      <c r="Q1077" s="12"/>
      <c r="R1077" s="12"/>
      <c r="S1077" s="12"/>
      <c r="T1077" s="13" t="s">
        <v>1547</v>
      </c>
      <c r="U1077" s="12" t="str">
        <f t="shared" si="69"/>
        <v>Not Started</v>
      </c>
      <c r="V1077" s="12">
        <f t="shared" si="67"/>
        <v>0</v>
      </c>
      <c r="W1077" s="13" t="str">
        <f t="shared" si="68"/>
        <v/>
      </c>
    </row>
    <row r="1078" spans="1:23" ht="14.4" customHeight="1" x14ac:dyDescent="0.3">
      <c r="A1078" s="28">
        <v>44693</v>
      </c>
      <c r="B1078" s="12" t="s">
        <v>4125</v>
      </c>
      <c r="C1078" s="12" t="s">
        <v>1542</v>
      </c>
      <c r="D1078" s="5"/>
      <c r="E1078" s="12"/>
      <c r="F1078" s="11" t="s">
        <v>2705</v>
      </c>
      <c r="G1078" s="12"/>
      <c r="H1078" s="12"/>
      <c r="I1078" s="11"/>
      <c r="J1078" s="12" t="s">
        <v>1582</v>
      </c>
      <c r="K1078" s="12" t="str">
        <f t="shared" si="70"/>
        <v>Open</v>
      </c>
      <c r="L1078" s="13"/>
      <c r="M1078" s="12"/>
      <c r="N1078" s="12"/>
      <c r="O1078" s="12"/>
      <c r="P1078" s="12"/>
      <c r="Q1078" s="12"/>
      <c r="R1078" s="12"/>
      <c r="S1078" s="12"/>
      <c r="T1078" s="13" t="s">
        <v>1547</v>
      </c>
      <c r="U1078" s="12" t="str">
        <f t="shared" si="69"/>
        <v>Not Started</v>
      </c>
      <c r="V1078" s="12">
        <f t="shared" si="67"/>
        <v>0</v>
      </c>
      <c r="W1078" s="13" t="str">
        <f t="shared" si="68"/>
        <v/>
      </c>
    </row>
    <row r="1079" spans="1:23" ht="14.4" customHeight="1" x14ac:dyDescent="0.3">
      <c r="A1079" s="28">
        <v>44693</v>
      </c>
      <c r="B1079" s="12" t="s">
        <v>4126</v>
      </c>
      <c r="C1079" s="12" t="s">
        <v>1542</v>
      </c>
      <c r="D1079" s="5"/>
      <c r="E1079" s="12"/>
      <c r="F1079" s="11" t="s">
        <v>2705</v>
      </c>
      <c r="G1079" s="12"/>
      <c r="H1079" s="12"/>
      <c r="I1079" s="11"/>
      <c r="J1079" s="12" t="s">
        <v>1582</v>
      </c>
      <c r="K1079" s="12" t="str">
        <f t="shared" si="70"/>
        <v>Open</v>
      </c>
      <c r="L1079" s="13"/>
      <c r="M1079" s="12"/>
      <c r="N1079" s="12"/>
      <c r="O1079" s="12"/>
      <c r="P1079" s="12"/>
      <c r="Q1079" s="12"/>
      <c r="R1079" s="12"/>
      <c r="S1079" s="12"/>
      <c r="T1079" s="13" t="s">
        <v>1547</v>
      </c>
      <c r="U1079" s="12" t="str">
        <f t="shared" si="69"/>
        <v>Not Started</v>
      </c>
      <c r="V1079" s="12">
        <f t="shared" si="67"/>
        <v>0</v>
      </c>
      <c r="W1079" s="13" t="str">
        <f t="shared" si="68"/>
        <v/>
      </c>
    </row>
    <row r="1080" spans="1:23" x14ac:dyDescent="0.3">
      <c r="A1080" s="28">
        <v>44693</v>
      </c>
      <c r="B1080" s="12" t="s">
        <v>4127</v>
      </c>
      <c r="C1080" s="12" t="s">
        <v>1542</v>
      </c>
      <c r="D1080" s="5"/>
      <c r="E1080" s="12">
        <v>414</v>
      </c>
      <c r="F1080" s="11" t="s">
        <v>4357</v>
      </c>
      <c r="G1080" s="12" t="s">
        <v>7</v>
      </c>
      <c r="H1080" s="12" t="s">
        <v>14</v>
      </c>
      <c r="I1080" s="11"/>
      <c r="J1080" s="12" t="s">
        <v>1582</v>
      </c>
      <c r="K1080" s="12" t="str">
        <f t="shared" si="70"/>
        <v>Open</v>
      </c>
      <c r="L1080" s="13"/>
      <c r="M1080" s="12"/>
      <c r="N1080" s="12"/>
      <c r="O1080" s="12"/>
      <c r="P1080" s="12" t="s">
        <v>3790</v>
      </c>
      <c r="Q1080" s="12"/>
      <c r="R1080" s="12"/>
      <c r="S1080" s="12"/>
      <c r="T1080" s="13" t="s">
        <v>1547</v>
      </c>
      <c r="U1080" s="12" t="str">
        <f t="shared" si="69"/>
        <v>Not Started</v>
      </c>
      <c r="V1080" s="12" t="str">
        <f t="shared" si="67"/>
        <v>GUAN Jialin</v>
      </c>
      <c r="W1080" s="13" t="str">
        <f t="shared" si="68"/>
        <v/>
      </c>
    </row>
    <row r="1081" spans="1:23" x14ac:dyDescent="0.3">
      <c r="A1081" s="28">
        <v>44693</v>
      </c>
      <c r="B1081" s="12" t="s">
        <v>4128</v>
      </c>
      <c r="C1081" s="12" t="s">
        <v>1542</v>
      </c>
      <c r="D1081" s="5"/>
      <c r="E1081" s="12">
        <v>416</v>
      </c>
      <c r="F1081" s="11" t="s">
        <v>4358</v>
      </c>
      <c r="G1081" s="12" t="s">
        <v>7</v>
      </c>
      <c r="H1081" s="12" t="s">
        <v>14</v>
      </c>
      <c r="I1081" s="11"/>
      <c r="J1081" s="12" t="s">
        <v>1582</v>
      </c>
      <c r="K1081" s="12" t="str">
        <f t="shared" si="70"/>
        <v>Open</v>
      </c>
      <c r="L1081" s="13"/>
      <c r="M1081" s="12"/>
      <c r="N1081" s="12"/>
      <c r="O1081" s="12"/>
      <c r="P1081" s="12" t="s">
        <v>3790</v>
      </c>
      <c r="Q1081" s="12"/>
      <c r="R1081" s="12"/>
      <c r="S1081" s="12"/>
      <c r="T1081" s="13" t="s">
        <v>1547</v>
      </c>
      <c r="U1081" s="12" t="str">
        <f t="shared" si="69"/>
        <v>Not Started</v>
      </c>
      <c r="V1081" s="12" t="str">
        <f t="shared" si="67"/>
        <v>GUAN Jialin</v>
      </c>
      <c r="W1081" s="13" t="str">
        <f t="shared" si="68"/>
        <v/>
      </c>
    </row>
    <row r="1082" spans="1:23" x14ac:dyDescent="0.3">
      <c r="A1082" s="28">
        <v>44693</v>
      </c>
      <c r="B1082" s="12" t="s">
        <v>4359</v>
      </c>
      <c r="C1082" s="12" t="s">
        <v>1542</v>
      </c>
      <c r="D1082" s="5"/>
      <c r="E1082" s="12">
        <v>623</v>
      </c>
      <c r="F1082" s="11" t="s">
        <v>4360</v>
      </c>
      <c r="G1082" s="12" t="s">
        <v>7</v>
      </c>
      <c r="H1082" s="12" t="s">
        <v>14</v>
      </c>
      <c r="I1082" s="11"/>
      <c r="J1082" s="12" t="s">
        <v>1582</v>
      </c>
      <c r="K1082" s="12" t="str">
        <f t="shared" si="70"/>
        <v>Open</v>
      </c>
      <c r="L1082" s="13"/>
      <c r="M1082" s="12"/>
      <c r="N1082" s="12"/>
      <c r="O1082" s="12"/>
      <c r="P1082" s="12" t="s">
        <v>3790</v>
      </c>
      <c r="Q1082" s="12"/>
      <c r="R1082" s="12"/>
      <c r="S1082" s="12"/>
      <c r="T1082" s="13" t="s">
        <v>1547</v>
      </c>
      <c r="U1082" s="12" t="str">
        <f t="shared" si="69"/>
        <v>Not Started</v>
      </c>
      <c r="V1082" s="12" t="str">
        <f t="shared" si="67"/>
        <v>GUAN Jialin</v>
      </c>
      <c r="W1082" s="13" t="str">
        <f t="shared" si="68"/>
        <v/>
      </c>
    </row>
    <row r="1083" spans="1:23" x14ac:dyDescent="0.3">
      <c r="A1083" s="28">
        <v>44693</v>
      </c>
      <c r="B1083" s="12" t="s">
        <v>4361</v>
      </c>
      <c r="C1083" s="12" t="s">
        <v>1542</v>
      </c>
      <c r="D1083" s="5"/>
      <c r="E1083" s="12">
        <v>625</v>
      </c>
      <c r="F1083" s="11" t="s">
        <v>4362</v>
      </c>
      <c r="G1083" s="12" t="s">
        <v>7</v>
      </c>
      <c r="H1083" s="12" t="s">
        <v>14</v>
      </c>
      <c r="I1083" s="11"/>
      <c r="J1083" s="12" t="s">
        <v>1582</v>
      </c>
      <c r="K1083" s="12" t="str">
        <f t="shared" si="70"/>
        <v>Open</v>
      </c>
      <c r="L1083" s="13"/>
      <c r="M1083" s="12"/>
      <c r="N1083" s="12"/>
      <c r="O1083" s="12"/>
      <c r="P1083" s="12" t="s">
        <v>3790</v>
      </c>
      <c r="Q1083" s="12"/>
      <c r="R1083" s="12"/>
      <c r="S1083" s="12"/>
      <c r="T1083" s="13" t="s">
        <v>1547</v>
      </c>
      <c r="U1083" s="12" t="str">
        <f t="shared" si="69"/>
        <v>Not Started</v>
      </c>
      <c r="V1083" s="12" t="str">
        <f t="shared" si="67"/>
        <v>GUAN Jialin</v>
      </c>
      <c r="W1083" s="13" t="str">
        <f t="shared" si="68"/>
        <v/>
      </c>
    </row>
    <row r="1084" spans="1:23" x14ac:dyDescent="0.3">
      <c r="A1084" s="28">
        <v>44693</v>
      </c>
      <c r="B1084" s="12" t="s">
        <v>4363</v>
      </c>
      <c r="C1084" s="12" t="s">
        <v>1542</v>
      </c>
      <c r="D1084" s="5"/>
      <c r="E1084" s="12"/>
      <c r="F1084" s="11" t="s">
        <v>2705</v>
      </c>
      <c r="G1084" s="12"/>
      <c r="H1084" s="12"/>
      <c r="I1084" s="11"/>
      <c r="J1084" s="12" t="s">
        <v>1582</v>
      </c>
      <c r="K1084" s="12" t="str">
        <f t="shared" si="70"/>
        <v>Open</v>
      </c>
      <c r="L1084" s="13"/>
      <c r="M1084" s="12"/>
      <c r="N1084" s="12"/>
      <c r="O1084" s="12"/>
      <c r="P1084" s="12"/>
      <c r="Q1084" s="12"/>
      <c r="R1084" s="12"/>
      <c r="S1084" s="12"/>
      <c r="T1084" s="13" t="s">
        <v>1547</v>
      </c>
      <c r="U1084" s="12" t="str">
        <f t="shared" si="69"/>
        <v>Not Started</v>
      </c>
      <c r="V1084" s="12">
        <f t="shared" si="67"/>
        <v>0</v>
      </c>
      <c r="W1084" s="13" t="str">
        <f t="shared" si="68"/>
        <v/>
      </c>
    </row>
    <row r="1085" spans="1:23" x14ac:dyDescent="0.3">
      <c r="A1085" s="28">
        <v>44696</v>
      </c>
      <c r="B1085" s="12" t="s">
        <v>4364</v>
      </c>
      <c r="C1085" s="12" t="s">
        <v>1542</v>
      </c>
      <c r="D1085" s="5"/>
      <c r="E1085" s="12">
        <v>420</v>
      </c>
      <c r="F1085" s="11" t="s">
        <v>4365</v>
      </c>
      <c r="G1085" s="12" t="s">
        <v>7</v>
      </c>
      <c r="H1085" s="12" t="s">
        <v>9</v>
      </c>
      <c r="I1085" s="11"/>
      <c r="J1085" s="12" t="s">
        <v>1582</v>
      </c>
      <c r="K1085" s="12" t="str">
        <f t="shared" si="70"/>
        <v>Open</v>
      </c>
      <c r="L1085" s="13"/>
      <c r="M1085" s="12"/>
      <c r="N1085" s="12" t="s">
        <v>4382</v>
      </c>
      <c r="O1085" s="12"/>
      <c r="P1085" s="12" t="s">
        <v>3790</v>
      </c>
      <c r="Q1085" s="12"/>
      <c r="R1085" s="12"/>
      <c r="S1085" s="12"/>
      <c r="T1085" s="13" t="s">
        <v>1547</v>
      </c>
      <c r="U1085" s="12" t="str">
        <f t="shared" si="69"/>
        <v>Not Started</v>
      </c>
      <c r="V1085" s="12" t="str">
        <f t="shared" si="67"/>
        <v>KHAN Jahan</v>
      </c>
      <c r="W1085" s="13" t="str">
        <f t="shared" si="68"/>
        <v/>
      </c>
    </row>
    <row r="1086" spans="1:23" ht="14.4" customHeight="1" x14ac:dyDescent="0.3">
      <c r="A1086" s="28">
        <v>44696</v>
      </c>
      <c r="B1086" s="12" t="s">
        <v>4366</v>
      </c>
      <c r="C1086" s="12" t="s">
        <v>1542</v>
      </c>
      <c r="D1086" s="5"/>
      <c r="E1086" s="12">
        <v>606</v>
      </c>
      <c r="F1086" s="11" t="s">
        <v>4365</v>
      </c>
      <c r="G1086" s="12" t="s">
        <v>7</v>
      </c>
      <c r="H1086" s="12" t="s">
        <v>9</v>
      </c>
      <c r="I1086" s="11"/>
      <c r="J1086" s="12" t="s">
        <v>1582</v>
      </c>
      <c r="K1086" s="12" t="str">
        <f t="shared" si="70"/>
        <v>Open</v>
      </c>
      <c r="L1086" s="13"/>
      <c r="M1086" s="12"/>
      <c r="N1086" s="12" t="s">
        <v>4382</v>
      </c>
      <c r="O1086" s="12"/>
      <c r="P1086" s="12" t="s">
        <v>3790</v>
      </c>
      <c r="Q1086" s="12"/>
      <c r="R1086" s="12"/>
      <c r="S1086" s="12"/>
      <c r="T1086" s="13" t="s">
        <v>1547</v>
      </c>
      <c r="U1086" s="12" t="str">
        <f t="shared" si="69"/>
        <v>Not Started</v>
      </c>
      <c r="V1086" s="12" t="str">
        <f t="shared" si="67"/>
        <v>KHAN Jahan</v>
      </c>
      <c r="W1086" s="13" t="str">
        <f t="shared" si="68"/>
        <v/>
      </c>
    </row>
    <row r="1087" spans="1:23" ht="28.8" customHeight="1" x14ac:dyDescent="0.3">
      <c r="A1087" s="28">
        <v>44696</v>
      </c>
      <c r="B1087" s="12" t="s">
        <v>4367</v>
      </c>
      <c r="C1087" s="12" t="s">
        <v>1690</v>
      </c>
      <c r="D1087" s="5"/>
      <c r="E1087" s="12">
        <v>405</v>
      </c>
      <c r="F1087" s="11" t="s">
        <v>4368</v>
      </c>
      <c r="G1087" s="12" t="s">
        <v>7</v>
      </c>
      <c r="H1087" s="12" t="s">
        <v>9</v>
      </c>
      <c r="I1087" s="11"/>
      <c r="J1087" s="12" t="s">
        <v>1582</v>
      </c>
      <c r="K1087" s="12" t="str">
        <f t="shared" si="70"/>
        <v>Open</v>
      </c>
      <c r="L1087" s="13"/>
      <c r="M1087" s="12"/>
      <c r="N1087" s="12"/>
      <c r="O1087" s="12"/>
      <c r="P1087" s="12" t="s">
        <v>3790</v>
      </c>
      <c r="Q1087" s="12"/>
      <c r="R1087" s="12"/>
      <c r="S1087" s="12"/>
      <c r="T1087" s="13" t="s">
        <v>1547</v>
      </c>
      <c r="U1087" s="12" t="str">
        <f t="shared" si="69"/>
        <v>Not Started</v>
      </c>
      <c r="V1087" s="12" t="str">
        <f t="shared" ref="V1087:V1136" si="71">IF(AND(J1087="Corrective Action Required",R1087="Corrected"),S1087, IF(AND(J1087="Corrective Action Required",R1087&lt;&gt;"Corrected"),S1087,H1087))</f>
        <v>KHAN Jahan</v>
      </c>
      <c r="W1087" s="13" t="str">
        <f t="shared" ref="W1087:W1136" si="72">IF(OR(J1087="Corrected",J1087="NFF"),L1087, IF(AND(J1087="Corrective Action Required",R1087="Corrected"),T1087,""))</f>
        <v/>
      </c>
    </row>
    <row r="1088" spans="1:23" ht="14.4" customHeight="1" x14ac:dyDescent="0.3">
      <c r="A1088" s="28">
        <v>44696</v>
      </c>
      <c r="B1088" s="12" t="s">
        <v>4369</v>
      </c>
      <c r="C1088" s="12" t="s">
        <v>1542</v>
      </c>
      <c r="D1088" s="5"/>
      <c r="E1088" s="12">
        <v>617</v>
      </c>
      <c r="F1088" s="11" t="s">
        <v>4370</v>
      </c>
      <c r="G1088" s="12" t="s">
        <v>7</v>
      </c>
      <c r="H1088" s="12" t="s">
        <v>9</v>
      </c>
      <c r="I1088" s="11"/>
      <c r="J1088" s="12" t="s">
        <v>1582</v>
      </c>
      <c r="K1088" s="12" t="str">
        <f t="shared" si="70"/>
        <v>Open</v>
      </c>
      <c r="L1088" s="13"/>
      <c r="M1088" s="12"/>
      <c r="N1088" s="12"/>
      <c r="O1088" s="12"/>
      <c r="P1088" s="12" t="s">
        <v>3790</v>
      </c>
      <c r="Q1088" s="12"/>
      <c r="R1088" s="12"/>
      <c r="S1088" s="12"/>
      <c r="T1088" s="13" t="s">
        <v>1547</v>
      </c>
      <c r="U1088" s="12" t="str">
        <f t="shared" si="69"/>
        <v>Not Started</v>
      </c>
      <c r="V1088" s="12" t="str">
        <f t="shared" si="71"/>
        <v>KHAN Jahan</v>
      </c>
      <c r="W1088" s="13" t="str">
        <f t="shared" si="72"/>
        <v/>
      </c>
    </row>
    <row r="1089" spans="1:23" ht="14.4" customHeight="1" x14ac:dyDescent="0.3">
      <c r="A1089" s="28">
        <v>44696</v>
      </c>
      <c r="B1089" s="12" t="s">
        <v>4371</v>
      </c>
      <c r="C1089" s="12" t="s">
        <v>1690</v>
      </c>
      <c r="D1089" s="5"/>
      <c r="E1089" s="12">
        <v>601</v>
      </c>
      <c r="F1089" s="11" t="s">
        <v>4383</v>
      </c>
      <c r="G1089" s="12" t="s">
        <v>7</v>
      </c>
      <c r="H1089" s="12" t="s">
        <v>19</v>
      </c>
      <c r="I1089" s="11"/>
      <c r="J1089" s="12" t="s">
        <v>1582</v>
      </c>
      <c r="K1089" s="12" t="str">
        <f t="shared" si="70"/>
        <v>Open</v>
      </c>
      <c r="L1089" s="13"/>
      <c r="M1089" s="12"/>
      <c r="N1089" s="12"/>
      <c r="O1089" s="12"/>
      <c r="P1089" s="12" t="s">
        <v>3790</v>
      </c>
      <c r="Q1089" s="12"/>
      <c r="R1089" s="12"/>
      <c r="S1089" s="12"/>
      <c r="T1089" s="13" t="s">
        <v>1547</v>
      </c>
      <c r="U1089" s="12" t="str">
        <f t="shared" si="69"/>
        <v>Not Started</v>
      </c>
      <c r="V1089" s="12" t="str">
        <f t="shared" si="71"/>
        <v>DAOUDI Mohamed</v>
      </c>
      <c r="W1089" s="13" t="str">
        <f t="shared" si="72"/>
        <v/>
      </c>
    </row>
    <row r="1090" spans="1:23" ht="14.4" customHeight="1" x14ac:dyDescent="0.3">
      <c r="A1090" s="28">
        <v>44697</v>
      </c>
      <c r="B1090" s="12" t="s">
        <v>4384</v>
      </c>
      <c r="C1090" s="12" t="s">
        <v>1687</v>
      </c>
      <c r="D1090" s="5"/>
      <c r="E1090" s="12">
        <v>402</v>
      </c>
      <c r="F1090" s="11" t="s">
        <v>4385</v>
      </c>
      <c r="G1090" s="12" t="s">
        <v>7</v>
      </c>
      <c r="H1090" s="12" t="s">
        <v>18</v>
      </c>
      <c r="I1090" s="11"/>
      <c r="J1090" s="12" t="s">
        <v>1582</v>
      </c>
      <c r="K1090" s="12" t="str">
        <f t="shared" si="70"/>
        <v>Open</v>
      </c>
      <c r="L1090" s="13"/>
      <c r="M1090" s="12"/>
      <c r="N1090" s="12" t="s">
        <v>4386</v>
      </c>
      <c r="O1090" s="12"/>
      <c r="P1090" s="12" t="s">
        <v>3790</v>
      </c>
      <c r="Q1090" s="12"/>
      <c r="R1090" s="12"/>
      <c r="S1090" s="12"/>
      <c r="T1090" s="13" t="s">
        <v>1547</v>
      </c>
      <c r="U1090" s="12" t="str">
        <f t="shared" si="69"/>
        <v>Not Started</v>
      </c>
      <c r="V1090" s="12" t="str">
        <f t="shared" si="71"/>
        <v>BENAYED Elie</v>
      </c>
      <c r="W1090" s="13" t="str">
        <f t="shared" si="72"/>
        <v/>
      </c>
    </row>
    <row r="1091" spans="1:23" ht="14.4" customHeight="1" x14ac:dyDescent="0.3">
      <c r="A1091" s="28">
        <v>44697</v>
      </c>
      <c r="B1091" s="12" t="s">
        <v>4387</v>
      </c>
      <c r="C1091" s="12" t="s">
        <v>1687</v>
      </c>
      <c r="D1091" s="5"/>
      <c r="E1091" s="12">
        <v>402</v>
      </c>
      <c r="F1091" s="11" t="s">
        <v>4388</v>
      </c>
      <c r="G1091" s="12" t="s">
        <v>7</v>
      </c>
      <c r="H1091" s="12" t="s">
        <v>18</v>
      </c>
      <c r="I1091" s="11"/>
      <c r="J1091" s="12" t="s">
        <v>1582</v>
      </c>
      <c r="K1091" s="12" t="str">
        <f t="shared" si="70"/>
        <v>Open</v>
      </c>
      <c r="L1091" s="13"/>
      <c r="M1091" s="12"/>
      <c r="N1091" s="12" t="s">
        <v>4386</v>
      </c>
      <c r="O1091" s="12"/>
      <c r="P1091" s="12" t="s">
        <v>3790</v>
      </c>
      <c r="Q1091" s="12"/>
      <c r="R1091" s="12"/>
      <c r="S1091" s="12"/>
      <c r="T1091" s="13" t="s">
        <v>1547</v>
      </c>
      <c r="U1091" s="12" t="str">
        <f t="shared" si="69"/>
        <v>Not Started</v>
      </c>
      <c r="V1091" s="12" t="str">
        <f t="shared" si="71"/>
        <v>BENAYED Elie</v>
      </c>
      <c r="W1091" s="13" t="str">
        <f t="shared" si="72"/>
        <v/>
      </c>
    </row>
    <row r="1092" spans="1:23" ht="14.4" customHeight="1" x14ac:dyDescent="0.3">
      <c r="A1092" s="28">
        <v>44697</v>
      </c>
      <c r="B1092" s="12" t="s">
        <v>4392</v>
      </c>
      <c r="C1092" s="12" t="s">
        <v>1542</v>
      </c>
      <c r="D1092" s="5"/>
      <c r="E1092" s="12">
        <v>403</v>
      </c>
      <c r="F1092" s="11" t="s">
        <v>4393</v>
      </c>
      <c r="G1092" s="12" t="s">
        <v>7</v>
      </c>
      <c r="H1092" s="12" t="s">
        <v>14</v>
      </c>
      <c r="I1092" s="11"/>
      <c r="J1092" s="12" t="s">
        <v>1582</v>
      </c>
      <c r="K1092" s="12" t="str">
        <f t="shared" si="70"/>
        <v>Open</v>
      </c>
      <c r="L1092" s="13"/>
      <c r="M1092" s="12"/>
      <c r="N1092" s="12"/>
      <c r="O1092" s="12"/>
      <c r="P1092" s="12" t="s">
        <v>3790</v>
      </c>
      <c r="Q1092" s="12"/>
      <c r="R1092" s="12"/>
      <c r="S1092" s="12"/>
      <c r="T1092" s="13" t="s">
        <v>1547</v>
      </c>
      <c r="U1092" s="12" t="str">
        <f t="shared" ref="U1092:U1136" si="73">IF(AND(J1092="Corrective Action Required",R1092="Corrected"),"Corrected", IF(AND(J1092="Corrective Action Required",R1092&lt;&gt;"Corrected"),R1092,J1092))</f>
        <v>Not Started</v>
      </c>
      <c r="V1092" s="12" t="str">
        <f t="shared" si="71"/>
        <v>GUAN Jialin</v>
      </c>
      <c r="W1092" s="13" t="str">
        <f t="shared" si="72"/>
        <v/>
      </c>
    </row>
    <row r="1093" spans="1:23" ht="14.4" customHeight="1" x14ac:dyDescent="0.3">
      <c r="A1093" s="28">
        <v>44697</v>
      </c>
      <c r="B1093" s="12" t="s">
        <v>4394</v>
      </c>
      <c r="C1093" s="12" t="s">
        <v>1542</v>
      </c>
      <c r="D1093" s="5"/>
      <c r="E1093" s="12">
        <v>411</v>
      </c>
      <c r="F1093" s="11" t="s">
        <v>4395</v>
      </c>
      <c r="G1093" s="12" t="s">
        <v>7</v>
      </c>
      <c r="H1093" s="12" t="s">
        <v>14</v>
      </c>
      <c r="I1093" s="11"/>
      <c r="J1093" s="12" t="s">
        <v>1582</v>
      </c>
      <c r="K1093" s="12" t="str">
        <f t="shared" si="70"/>
        <v>Open</v>
      </c>
      <c r="L1093" s="13"/>
      <c r="M1093" s="12"/>
      <c r="N1093" s="12"/>
      <c r="O1093" s="12"/>
      <c r="P1093" s="12" t="s">
        <v>3790</v>
      </c>
      <c r="Q1093" s="12"/>
      <c r="R1093" s="12"/>
      <c r="S1093" s="12"/>
      <c r="T1093" s="13" t="s">
        <v>1547</v>
      </c>
      <c r="U1093" s="12" t="str">
        <f t="shared" si="73"/>
        <v>Not Started</v>
      </c>
      <c r="V1093" s="12" t="str">
        <f t="shared" si="71"/>
        <v>GUAN Jialin</v>
      </c>
      <c r="W1093" s="13" t="str">
        <f t="shared" si="72"/>
        <v/>
      </c>
    </row>
    <row r="1094" spans="1:23" ht="14.4" customHeight="1" x14ac:dyDescent="0.3">
      <c r="A1094" s="28">
        <v>44697</v>
      </c>
      <c r="B1094" s="12" t="s">
        <v>4396</v>
      </c>
      <c r="C1094" s="12" t="s">
        <v>1542</v>
      </c>
      <c r="D1094" s="5"/>
      <c r="E1094" s="12">
        <v>411</v>
      </c>
      <c r="F1094" s="11" t="s">
        <v>4397</v>
      </c>
      <c r="G1094" s="12" t="s">
        <v>7</v>
      </c>
      <c r="H1094" s="12" t="s">
        <v>9</v>
      </c>
      <c r="I1094" s="11"/>
      <c r="J1094" s="12" t="s">
        <v>1582</v>
      </c>
      <c r="K1094" s="12" t="str">
        <f t="shared" si="70"/>
        <v>Open</v>
      </c>
      <c r="L1094" s="13"/>
      <c r="M1094" s="12"/>
      <c r="N1094" s="12"/>
      <c r="O1094" s="12"/>
      <c r="P1094" s="12" t="s">
        <v>3790</v>
      </c>
      <c r="Q1094" s="12"/>
      <c r="R1094" s="12"/>
      <c r="S1094" s="12"/>
      <c r="T1094" s="13" t="s">
        <v>1547</v>
      </c>
      <c r="U1094" s="12" t="str">
        <f t="shared" si="73"/>
        <v>Not Started</v>
      </c>
      <c r="V1094" s="12" t="str">
        <f t="shared" si="71"/>
        <v>KHAN Jahan</v>
      </c>
      <c r="W1094" s="13" t="str">
        <f t="shared" si="72"/>
        <v/>
      </c>
    </row>
    <row r="1095" spans="1:23" ht="14.4" customHeight="1" x14ac:dyDescent="0.3">
      <c r="A1095" s="28">
        <v>44697</v>
      </c>
      <c r="B1095" s="12" t="s">
        <v>4398</v>
      </c>
      <c r="C1095" s="12" t="s">
        <v>1542</v>
      </c>
      <c r="D1095" s="5"/>
      <c r="E1095" s="12">
        <v>412</v>
      </c>
      <c r="F1095" s="11" t="s">
        <v>4399</v>
      </c>
      <c r="G1095" s="12" t="s">
        <v>7</v>
      </c>
      <c r="H1095" s="12" t="s">
        <v>9</v>
      </c>
      <c r="I1095" s="11"/>
      <c r="J1095" s="12" t="s">
        <v>1582</v>
      </c>
      <c r="K1095" s="12" t="str">
        <f t="shared" si="70"/>
        <v>Open</v>
      </c>
      <c r="L1095" s="13"/>
      <c r="M1095" s="12"/>
      <c r="N1095" s="12"/>
      <c r="O1095" s="12"/>
      <c r="P1095" s="12" t="s">
        <v>3790</v>
      </c>
      <c r="Q1095" s="12"/>
      <c r="R1095" s="12"/>
      <c r="S1095" s="12"/>
      <c r="T1095" s="13" t="s">
        <v>1547</v>
      </c>
      <c r="U1095" s="12" t="str">
        <f t="shared" si="73"/>
        <v>Not Started</v>
      </c>
      <c r="V1095" s="12" t="str">
        <f t="shared" si="71"/>
        <v>KHAN Jahan</v>
      </c>
      <c r="W1095" s="13" t="str">
        <f t="shared" si="72"/>
        <v/>
      </c>
    </row>
    <row r="1096" spans="1:23" x14ac:dyDescent="0.3">
      <c r="A1096" s="28">
        <v>44697</v>
      </c>
      <c r="B1096" s="12" t="s">
        <v>4400</v>
      </c>
      <c r="C1096" s="12" t="s">
        <v>1542</v>
      </c>
      <c r="D1096" s="5"/>
      <c r="E1096" s="12">
        <v>608</v>
      </c>
      <c r="F1096" s="11" t="s">
        <v>4401</v>
      </c>
      <c r="G1096" s="12" t="s">
        <v>7</v>
      </c>
      <c r="H1096" s="12" t="s">
        <v>4431</v>
      </c>
      <c r="I1096" s="11" t="s">
        <v>4432</v>
      </c>
      <c r="J1096" s="12" t="s">
        <v>1574</v>
      </c>
      <c r="K1096" s="12" t="str">
        <f t="shared" si="70"/>
        <v>Closed</v>
      </c>
      <c r="L1096" s="13"/>
      <c r="M1096" s="12"/>
      <c r="N1096" s="12"/>
      <c r="O1096" s="12"/>
      <c r="P1096" s="12" t="s">
        <v>3790</v>
      </c>
      <c r="Q1096" s="12"/>
      <c r="R1096" s="12"/>
      <c r="S1096" s="12"/>
      <c r="T1096" s="13" t="s">
        <v>1547</v>
      </c>
      <c r="U1096" s="12" t="str">
        <f t="shared" si="73"/>
        <v>NFF</v>
      </c>
      <c r="V1096" s="12" t="str">
        <f t="shared" si="71"/>
        <v>Charafeddine</v>
      </c>
      <c r="W1096" s="13"/>
    </row>
    <row r="1097" spans="1:23" x14ac:dyDescent="0.3">
      <c r="A1097" s="28">
        <v>44697</v>
      </c>
      <c r="B1097" s="12" t="s">
        <v>4402</v>
      </c>
      <c r="C1097" s="12" t="s">
        <v>1690</v>
      </c>
      <c r="D1097" s="5"/>
      <c r="E1097" s="12">
        <v>406</v>
      </c>
      <c r="F1097" s="11" t="s">
        <v>4403</v>
      </c>
      <c r="G1097" s="12" t="s">
        <v>7</v>
      </c>
      <c r="H1097" s="12" t="s">
        <v>14</v>
      </c>
      <c r="I1097" s="11"/>
      <c r="J1097" s="12" t="s">
        <v>1582</v>
      </c>
      <c r="K1097" s="12" t="str">
        <f t="shared" si="70"/>
        <v>Open</v>
      </c>
      <c r="L1097" s="13"/>
      <c r="M1097" s="12"/>
      <c r="N1097" s="12"/>
      <c r="O1097" s="12"/>
      <c r="P1097" s="12" t="s">
        <v>3790</v>
      </c>
      <c r="Q1097" s="12"/>
      <c r="R1097" s="12"/>
      <c r="S1097" s="12"/>
      <c r="T1097" s="13" t="s">
        <v>1547</v>
      </c>
      <c r="U1097" s="12" t="str">
        <f t="shared" si="73"/>
        <v>Not Started</v>
      </c>
      <c r="V1097" s="12" t="str">
        <f t="shared" si="71"/>
        <v>GUAN Jialin</v>
      </c>
      <c r="W1097" s="13" t="str">
        <f t="shared" si="72"/>
        <v/>
      </c>
    </row>
    <row r="1098" spans="1:23" ht="14.4" customHeight="1" x14ac:dyDescent="0.3">
      <c r="A1098" s="28">
        <v>44698</v>
      </c>
      <c r="B1098" s="12" t="s">
        <v>4413</v>
      </c>
      <c r="C1098" s="12" t="s">
        <v>1542</v>
      </c>
      <c r="D1098" s="5"/>
      <c r="E1098" s="12">
        <v>602</v>
      </c>
      <c r="F1098" s="11" t="s">
        <v>4414</v>
      </c>
      <c r="G1098" s="12" t="s">
        <v>7</v>
      </c>
      <c r="H1098" s="12" t="s">
        <v>18</v>
      </c>
      <c r="I1098" s="11"/>
      <c r="J1098" s="12" t="s">
        <v>1582</v>
      </c>
      <c r="K1098" s="12" t="str">
        <f t="shared" si="70"/>
        <v>Open</v>
      </c>
      <c r="L1098" s="13"/>
      <c r="M1098" s="12"/>
      <c r="N1098" s="12" t="s">
        <v>2448</v>
      </c>
      <c r="O1098" s="12"/>
      <c r="P1098" s="12" t="s">
        <v>3790</v>
      </c>
      <c r="Q1098" s="12"/>
      <c r="R1098" s="12"/>
      <c r="S1098" s="12"/>
      <c r="T1098" s="13" t="s">
        <v>1547</v>
      </c>
      <c r="U1098" s="12" t="str">
        <f t="shared" si="73"/>
        <v>Not Started</v>
      </c>
      <c r="V1098" s="12" t="str">
        <f t="shared" si="71"/>
        <v>BENAYED Elie</v>
      </c>
      <c r="W1098" s="13" t="str">
        <f t="shared" si="72"/>
        <v/>
      </c>
    </row>
    <row r="1099" spans="1:23" ht="14.4" customHeight="1" x14ac:dyDescent="0.3">
      <c r="A1099" s="28">
        <v>44698</v>
      </c>
      <c r="B1099" s="12" t="s">
        <v>4415</v>
      </c>
      <c r="C1099" s="12" t="s">
        <v>1542</v>
      </c>
      <c r="D1099" s="5"/>
      <c r="E1099" s="12">
        <v>611</v>
      </c>
      <c r="F1099" s="11" t="s">
        <v>4416</v>
      </c>
      <c r="G1099" s="12" t="s">
        <v>7</v>
      </c>
      <c r="H1099" s="12" t="s">
        <v>18</v>
      </c>
      <c r="I1099" s="11"/>
      <c r="J1099" s="12" t="s">
        <v>1582</v>
      </c>
      <c r="K1099" s="12" t="str">
        <f t="shared" si="70"/>
        <v>Open</v>
      </c>
      <c r="L1099" s="13"/>
      <c r="M1099" s="12"/>
      <c r="N1099" s="12" t="s">
        <v>2448</v>
      </c>
      <c r="O1099" s="12"/>
      <c r="P1099" s="12" t="s">
        <v>3790</v>
      </c>
      <c r="Q1099" s="12"/>
      <c r="R1099" s="12"/>
      <c r="S1099" s="12"/>
      <c r="T1099" s="13" t="s">
        <v>1547</v>
      </c>
      <c r="U1099" s="12" t="str">
        <f t="shared" si="73"/>
        <v>Not Started</v>
      </c>
      <c r="V1099" s="12" t="str">
        <f t="shared" si="71"/>
        <v>BENAYED Elie</v>
      </c>
      <c r="W1099" s="13" t="str">
        <f t="shared" si="72"/>
        <v/>
      </c>
    </row>
    <row r="1100" spans="1:23" ht="14.4" customHeight="1" x14ac:dyDescent="0.3">
      <c r="A1100" s="28">
        <v>44698</v>
      </c>
      <c r="B1100" s="12" t="s">
        <v>4417</v>
      </c>
      <c r="C1100" s="12" t="s">
        <v>1542</v>
      </c>
      <c r="D1100" s="5"/>
      <c r="E1100" s="12">
        <v>409</v>
      </c>
      <c r="F1100" s="11" t="s">
        <v>4418</v>
      </c>
      <c r="G1100" s="12" t="s">
        <v>7</v>
      </c>
      <c r="H1100" s="12" t="s">
        <v>9</v>
      </c>
      <c r="I1100" s="11"/>
      <c r="J1100" s="12" t="s">
        <v>1582</v>
      </c>
      <c r="K1100" s="12" t="str">
        <f t="shared" si="70"/>
        <v>Open</v>
      </c>
      <c r="L1100" s="13"/>
      <c r="M1100" s="12"/>
      <c r="N1100" s="12"/>
      <c r="O1100" s="12"/>
      <c r="P1100" s="12" t="s">
        <v>3790</v>
      </c>
      <c r="Q1100" s="12"/>
      <c r="R1100" s="12"/>
      <c r="S1100" s="12"/>
      <c r="T1100" s="13" t="s">
        <v>1547</v>
      </c>
      <c r="U1100" s="12" t="str">
        <f t="shared" si="73"/>
        <v>Not Started</v>
      </c>
      <c r="V1100" s="12" t="str">
        <f t="shared" si="71"/>
        <v>KHAN Jahan</v>
      </c>
      <c r="W1100" s="13" t="str">
        <f t="shared" si="72"/>
        <v/>
      </c>
    </row>
    <row r="1101" spans="1:23" ht="14.4" customHeight="1" x14ac:dyDescent="0.3">
      <c r="A1101" s="28">
        <v>44698</v>
      </c>
      <c r="B1101" s="12" t="s">
        <v>4419</v>
      </c>
      <c r="C1101" s="12" t="s">
        <v>1542</v>
      </c>
      <c r="D1101" s="5"/>
      <c r="E1101" s="12">
        <v>605</v>
      </c>
      <c r="F1101" s="11" t="s">
        <v>4420</v>
      </c>
      <c r="G1101" s="12" t="s">
        <v>7</v>
      </c>
      <c r="H1101" s="12" t="s">
        <v>14</v>
      </c>
      <c r="I1101" s="11"/>
      <c r="J1101" s="12" t="s">
        <v>1582</v>
      </c>
      <c r="K1101" s="12" t="str">
        <f t="shared" si="70"/>
        <v>Open</v>
      </c>
      <c r="L1101" s="13"/>
      <c r="M1101" s="12"/>
      <c r="N1101" s="12"/>
      <c r="O1101" s="12"/>
      <c r="P1101" s="12" t="s">
        <v>3790</v>
      </c>
      <c r="Q1101" s="12"/>
      <c r="R1101" s="12"/>
      <c r="S1101" s="12"/>
      <c r="T1101" s="13" t="s">
        <v>1547</v>
      </c>
      <c r="U1101" s="12" t="str">
        <f t="shared" si="73"/>
        <v>Not Started</v>
      </c>
      <c r="V1101" s="12" t="str">
        <f t="shared" si="71"/>
        <v>GUAN Jialin</v>
      </c>
      <c r="W1101" s="13" t="str">
        <f t="shared" si="72"/>
        <v/>
      </c>
    </row>
    <row r="1102" spans="1:23" ht="14.4" customHeight="1" x14ac:dyDescent="0.3">
      <c r="A1102" s="28">
        <v>44698</v>
      </c>
      <c r="B1102" s="12" t="s">
        <v>4421</v>
      </c>
      <c r="C1102" s="12" t="s">
        <v>1542</v>
      </c>
      <c r="D1102" s="5"/>
      <c r="E1102" s="12">
        <v>604</v>
      </c>
      <c r="F1102" s="11" t="s">
        <v>4422</v>
      </c>
      <c r="G1102" s="12" t="s">
        <v>7</v>
      </c>
      <c r="H1102" s="12" t="s">
        <v>18</v>
      </c>
      <c r="I1102" s="11"/>
      <c r="J1102" s="12" t="s">
        <v>1582</v>
      </c>
      <c r="K1102" s="12" t="str">
        <f t="shared" si="70"/>
        <v>Open</v>
      </c>
      <c r="L1102" s="13"/>
      <c r="M1102" s="12"/>
      <c r="N1102" s="12"/>
      <c r="O1102" s="12"/>
      <c r="P1102" s="12" t="s">
        <v>3790</v>
      </c>
      <c r="Q1102" s="12"/>
      <c r="R1102" s="12"/>
      <c r="S1102" s="12"/>
      <c r="T1102" s="13" t="s">
        <v>1547</v>
      </c>
      <c r="U1102" s="12" t="str">
        <f t="shared" si="73"/>
        <v>Not Started</v>
      </c>
      <c r="V1102" s="12" t="str">
        <f t="shared" si="71"/>
        <v>BENAYED Elie</v>
      </c>
      <c r="W1102" s="13" t="str">
        <f t="shared" si="72"/>
        <v/>
      </c>
    </row>
    <row r="1103" spans="1:23" ht="14.4" customHeight="1" x14ac:dyDescent="0.3">
      <c r="A1103" s="28">
        <v>44698</v>
      </c>
      <c r="B1103" s="12" t="s">
        <v>4423</v>
      </c>
      <c r="C1103" s="12" t="s">
        <v>1542</v>
      </c>
      <c r="D1103" s="5"/>
      <c r="E1103" s="12">
        <v>606</v>
      </c>
      <c r="F1103" s="11" t="s">
        <v>4424</v>
      </c>
      <c r="G1103" s="12" t="s">
        <v>7</v>
      </c>
      <c r="H1103" s="12" t="s">
        <v>14</v>
      </c>
      <c r="I1103" s="11"/>
      <c r="J1103" s="12" t="s">
        <v>1582</v>
      </c>
      <c r="K1103" s="12" t="str">
        <f t="shared" si="70"/>
        <v>Open</v>
      </c>
      <c r="L1103" s="13"/>
      <c r="M1103" s="12"/>
      <c r="N1103" s="12"/>
      <c r="O1103" s="12"/>
      <c r="P1103" s="12" t="s">
        <v>3790</v>
      </c>
      <c r="Q1103" s="12"/>
      <c r="R1103" s="12"/>
      <c r="S1103" s="12"/>
      <c r="T1103" s="13" t="s">
        <v>1547</v>
      </c>
      <c r="U1103" s="12" t="str">
        <f t="shared" si="73"/>
        <v>Not Started</v>
      </c>
      <c r="V1103" s="12" t="str">
        <f t="shared" si="71"/>
        <v>GUAN Jialin</v>
      </c>
      <c r="W1103" s="13" t="str">
        <f t="shared" si="72"/>
        <v/>
      </c>
    </row>
    <row r="1104" spans="1:23" x14ac:dyDescent="0.3">
      <c r="A1104" s="28">
        <v>44698</v>
      </c>
      <c r="B1104" s="12" t="s">
        <v>4425</v>
      </c>
      <c r="C1104" s="12" t="s">
        <v>1542</v>
      </c>
      <c r="D1104" s="5"/>
      <c r="E1104" s="12">
        <v>606</v>
      </c>
      <c r="F1104" s="11" t="s">
        <v>2248</v>
      </c>
      <c r="G1104" s="12" t="s">
        <v>7</v>
      </c>
      <c r="H1104" s="12" t="s">
        <v>17</v>
      </c>
      <c r="I1104" s="11"/>
      <c r="J1104" s="12" t="s">
        <v>1582</v>
      </c>
      <c r="K1104" s="12" t="str">
        <f t="shared" si="70"/>
        <v>Open</v>
      </c>
      <c r="L1104" s="13"/>
      <c r="M1104" s="12"/>
      <c r="N1104" s="12"/>
      <c r="O1104" s="12"/>
      <c r="P1104" s="12" t="s">
        <v>3790</v>
      </c>
      <c r="Q1104" s="12"/>
      <c r="R1104" s="12"/>
      <c r="S1104" s="12"/>
      <c r="T1104" s="13" t="s">
        <v>1547</v>
      </c>
      <c r="U1104" s="12" t="str">
        <f t="shared" si="73"/>
        <v>Not Started</v>
      </c>
      <c r="V1104" s="12" t="str">
        <f t="shared" si="71"/>
        <v>FATHI Charafeddine</v>
      </c>
      <c r="W1104" s="13" t="str">
        <f t="shared" si="72"/>
        <v/>
      </c>
    </row>
    <row r="1105" spans="1:23" x14ac:dyDescent="0.3">
      <c r="A1105" s="28">
        <v>44698</v>
      </c>
      <c r="B1105" s="12" t="s">
        <v>4426</v>
      </c>
      <c r="C1105" s="12" t="s">
        <v>1542</v>
      </c>
      <c r="D1105" s="5"/>
      <c r="E1105" s="12">
        <v>606</v>
      </c>
      <c r="F1105" s="11" t="s">
        <v>2481</v>
      </c>
      <c r="G1105" s="12" t="s">
        <v>7</v>
      </c>
      <c r="H1105" s="12" t="s">
        <v>17</v>
      </c>
      <c r="I1105" s="11"/>
      <c r="J1105" s="12" t="s">
        <v>1582</v>
      </c>
      <c r="K1105" s="12" t="str">
        <f t="shared" si="70"/>
        <v>Open</v>
      </c>
      <c r="L1105" s="13"/>
      <c r="M1105" s="12"/>
      <c r="N1105" s="12"/>
      <c r="O1105" s="12"/>
      <c r="P1105" s="12" t="s">
        <v>3790</v>
      </c>
      <c r="Q1105" s="12"/>
      <c r="R1105" s="12"/>
      <c r="S1105" s="12"/>
      <c r="T1105" s="13" t="s">
        <v>1547</v>
      </c>
      <c r="U1105" s="12" t="str">
        <f t="shared" si="73"/>
        <v>Not Started</v>
      </c>
      <c r="V1105" s="12" t="str">
        <f t="shared" si="71"/>
        <v>FATHI Charafeddine</v>
      </c>
      <c r="W1105" s="13" t="str">
        <f t="shared" si="72"/>
        <v/>
      </c>
    </row>
    <row r="1106" spans="1:23" ht="14.4" customHeight="1" x14ac:dyDescent="0.3">
      <c r="A1106" s="28">
        <v>44699</v>
      </c>
      <c r="B1106" s="12" t="s">
        <v>4433</v>
      </c>
      <c r="C1106" s="12" t="s">
        <v>1542</v>
      </c>
      <c r="D1106" s="5"/>
      <c r="E1106" s="12">
        <v>407</v>
      </c>
      <c r="F1106" s="11" t="s">
        <v>4434</v>
      </c>
      <c r="G1106" s="12" t="s">
        <v>7</v>
      </c>
      <c r="H1106" s="12" t="s">
        <v>19</v>
      </c>
      <c r="I1106" s="11"/>
      <c r="J1106" s="12" t="s">
        <v>1582</v>
      </c>
      <c r="K1106" s="12" t="str">
        <f t="shared" si="70"/>
        <v>Open</v>
      </c>
      <c r="L1106" s="13"/>
      <c r="M1106" s="12"/>
      <c r="N1106" s="12" t="s">
        <v>2683</v>
      </c>
      <c r="O1106" s="12"/>
      <c r="P1106" s="12" t="s">
        <v>3790</v>
      </c>
      <c r="Q1106" s="12"/>
      <c r="R1106" s="12"/>
      <c r="S1106" s="12"/>
      <c r="T1106" s="13" t="s">
        <v>1547</v>
      </c>
      <c r="U1106" s="12" t="str">
        <f t="shared" si="73"/>
        <v>Not Started</v>
      </c>
      <c r="V1106" s="12" t="str">
        <f t="shared" si="71"/>
        <v>DAOUDI Mohamed</v>
      </c>
      <c r="W1106" s="13" t="str">
        <f t="shared" si="72"/>
        <v/>
      </c>
    </row>
    <row r="1107" spans="1:23" ht="14.4" customHeight="1" x14ac:dyDescent="0.3">
      <c r="A1107" s="28">
        <v>44699</v>
      </c>
      <c r="B1107" s="12" t="s">
        <v>4435</v>
      </c>
      <c r="C1107" s="12" t="s">
        <v>1542</v>
      </c>
      <c r="D1107" s="5"/>
      <c r="E1107" s="12">
        <v>407</v>
      </c>
      <c r="F1107" s="11" t="s">
        <v>4436</v>
      </c>
      <c r="G1107" s="12" t="s">
        <v>7</v>
      </c>
      <c r="H1107" s="12" t="s">
        <v>19</v>
      </c>
      <c r="I1107" s="11"/>
      <c r="J1107" s="12" t="s">
        <v>1582</v>
      </c>
      <c r="K1107" s="12" t="str">
        <f t="shared" si="70"/>
        <v>Open</v>
      </c>
      <c r="L1107" s="13"/>
      <c r="M1107" s="12"/>
      <c r="N1107" s="12" t="s">
        <v>4430</v>
      </c>
      <c r="O1107" s="12"/>
      <c r="P1107" s="12" t="s">
        <v>3790</v>
      </c>
      <c r="Q1107" s="12"/>
      <c r="R1107" s="12"/>
      <c r="S1107" s="12"/>
      <c r="T1107" s="13" t="s">
        <v>1547</v>
      </c>
      <c r="U1107" s="12" t="str">
        <f t="shared" si="73"/>
        <v>Not Started</v>
      </c>
      <c r="V1107" s="12" t="str">
        <f t="shared" si="71"/>
        <v>DAOUDI Mohamed</v>
      </c>
      <c r="W1107" s="13" t="str">
        <f t="shared" si="72"/>
        <v/>
      </c>
    </row>
    <row r="1108" spans="1:23" ht="14.55" customHeight="1" x14ac:dyDescent="0.3">
      <c r="A1108" s="28">
        <v>44699</v>
      </c>
      <c r="B1108" s="12" t="s">
        <v>4437</v>
      </c>
      <c r="C1108" s="12" t="s">
        <v>1542</v>
      </c>
      <c r="D1108" s="5"/>
      <c r="E1108" s="12">
        <v>617</v>
      </c>
      <c r="F1108" s="11" t="s">
        <v>4438</v>
      </c>
      <c r="G1108" s="12" t="s">
        <v>4</v>
      </c>
      <c r="H1108" s="12" t="s">
        <v>4431</v>
      </c>
      <c r="I1108" s="11" t="s">
        <v>4475</v>
      </c>
      <c r="J1108" s="12" t="s">
        <v>1574</v>
      </c>
      <c r="K1108" s="12" t="str">
        <f t="shared" si="70"/>
        <v>Closed</v>
      </c>
      <c r="L1108" s="13"/>
      <c r="M1108" s="12"/>
      <c r="N1108" s="12" t="s">
        <v>2517</v>
      </c>
      <c r="O1108" s="12"/>
      <c r="P1108" s="12" t="s">
        <v>3790</v>
      </c>
      <c r="Q1108" s="12"/>
      <c r="R1108" s="12"/>
      <c r="S1108" s="12"/>
      <c r="T1108" s="13" t="s">
        <v>1547</v>
      </c>
      <c r="U1108" s="12" t="str">
        <f t="shared" si="73"/>
        <v>NFF</v>
      </c>
      <c r="V1108" s="12" t="str">
        <f t="shared" si="71"/>
        <v>Charafeddine</v>
      </c>
      <c r="W1108" s="13"/>
    </row>
    <row r="1109" spans="1:23" ht="14.4" customHeight="1" x14ac:dyDescent="0.3">
      <c r="A1109" s="28">
        <v>44699</v>
      </c>
      <c r="B1109" s="12" t="s">
        <v>4439</v>
      </c>
      <c r="C1109" s="12" t="s">
        <v>1542</v>
      </c>
      <c r="D1109" s="5"/>
      <c r="E1109" s="12">
        <v>617</v>
      </c>
      <c r="F1109" s="11" t="s">
        <v>3035</v>
      </c>
      <c r="G1109" s="12" t="s">
        <v>7</v>
      </c>
      <c r="H1109" s="12" t="s">
        <v>19</v>
      </c>
      <c r="I1109" s="11"/>
      <c r="J1109" s="12" t="s">
        <v>1582</v>
      </c>
      <c r="K1109" s="12" t="str">
        <f t="shared" si="70"/>
        <v>Open</v>
      </c>
      <c r="L1109" s="13"/>
      <c r="M1109" s="12"/>
      <c r="N1109" s="12" t="s">
        <v>4430</v>
      </c>
      <c r="O1109" s="12"/>
      <c r="P1109" s="12" t="s">
        <v>3790</v>
      </c>
      <c r="Q1109" s="12"/>
      <c r="R1109" s="12"/>
      <c r="S1109" s="12"/>
      <c r="T1109" s="13" t="s">
        <v>1547</v>
      </c>
      <c r="U1109" s="12" t="str">
        <f t="shared" si="73"/>
        <v>Not Started</v>
      </c>
      <c r="V1109" s="12" t="str">
        <f t="shared" si="71"/>
        <v>DAOUDI Mohamed</v>
      </c>
      <c r="W1109" s="13" t="str">
        <f t="shared" si="72"/>
        <v/>
      </c>
    </row>
    <row r="1110" spans="1:23" ht="28.8" customHeight="1" x14ac:dyDescent="0.3">
      <c r="A1110" s="28">
        <v>44699</v>
      </c>
      <c r="B1110" s="12" t="s">
        <v>4440</v>
      </c>
      <c r="C1110" s="12" t="s">
        <v>1542</v>
      </c>
      <c r="D1110" s="5"/>
      <c r="E1110" s="12">
        <v>617</v>
      </c>
      <c r="F1110" s="11" t="s">
        <v>3531</v>
      </c>
      <c r="G1110" s="12" t="s">
        <v>7</v>
      </c>
      <c r="H1110" s="12" t="s">
        <v>9</v>
      </c>
      <c r="I1110" s="11"/>
      <c r="J1110" s="12" t="s">
        <v>1582</v>
      </c>
      <c r="K1110" s="12" t="str">
        <f t="shared" si="70"/>
        <v>Open</v>
      </c>
      <c r="L1110" s="13"/>
      <c r="M1110" s="12"/>
      <c r="N1110" s="12" t="s">
        <v>3216</v>
      </c>
      <c r="O1110" s="12"/>
      <c r="P1110" s="12" t="s">
        <v>3790</v>
      </c>
      <c r="Q1110" s="12"/>
      <c r="R1110" s="12"/>
      <c r="S1110" s="12"/>
      <c r="T1110" s="13" t="s">
        <v>1547</v>
      </c>
      <c r="U1110" s="12" t="str">
        <f t="shared" si="73"/>
        <v>Not Started</v>
      </c>
      <c r="V1110" s="12" t="str">
        <f t="shared" si="71"/>
        <v>KHAN Jahan</v>
      </c>
      <c r="W1110" s="13" t="str">
        <f t="shared" si="72"/>
        <v/>
      </c>
    </row>
    <row r="1111" spans="1:23" ht="14.4" customHeight="1" x14ac:dyDescent="0.3">
      <c r="A1111" s="28">
        <v>44699</v>
      </c>
      <c r="B1111" s="12" t="s">
        <v>4441</v>
      </c>
      <c r="C1111" s="12" t="s">
        <v>1542</v>
      </c>
      <c r="D1111" s="5"/>
      <c r="E1111" s="12">
        <v>617</v>
      </c>
      <c r="F1111" s="11" t="s">
        <v>4442</v>
      </c>
      <c r="G1111" s="12" t="s">
        <v>7</v>
      </c>
      <c r="H1111" s="12" t="s">
        <v>4431</v>
      </c>
      <c r="I1111" s="11" t="s">
        <v>4476</v>
      </c>
      <c r="J1111" s="12" t="s">
        <v>1574</v>
      </c>
      <c r="K1111" s="12" t="str">
        <f t="shared" si="70"/>
        <v>Closed</v>
      </c>
      <c r="L1111" s="13"/>
      <c r="M1111" s="12"/>
      <c r="N1111" s="12" t="s">
        <v>2683</v>
      </c>
      <c r="O1111" s="12"/>
      <c r="P1111" s="12" t="s">
        <v>3790</v>
      </c>
      <c r="Q1111" s="12"/>
      <c r="R1111" s="12"/>
      <c r="S1111" s="12"/>
      <c r="T1111" s="13" t="s">
        <v>1547</v>
      </c>
      <c r="U1111" s="12" t="str">
        <f t="shared" si="73"/>
        <v>NFF</v>
      </c>
      <c r="V1111" s="12" t="str">
        <f t="shared" si="71"/>
        <v>Charafeddine</v>
      </c>
      <c r="W1111" s="13"/>
    </row>
    <row r="1112" spans="1:23" ht="14.4" customHeight="1" x14ac:dyDescent="0.3">
      <c r="A1112" s="28">
        <v>44699</v>
      </c>
      <c r="B1112" s="12" t="s">
        <v>4443</v>
      </c>
      <c r="C1112" s="12" t="s">
        <v>1542</v>
      </c>
      <c r="D1112" s="5"/>
      <c r="E1112" s="12">
        <v>624</v>
      </c>
      <c r="F1112" s="11" t="s">
        <v>4444</v>
      </c>
      <c r="G1112" s="12" t="s">
        <v>7</v>
      </c>
      <c r="H1112" s="12" t="s">
        <v>14</v>
      </c>
      <c r="I1112" s="11"/>
      <c r="J1112" s="12" t="s">
        <v>1582</v>
      </c>
      <c r="K1112" s="12" t="str">
        <f t="shared" si="70"/>
        <v>Open</v>
      </c>
      <c r="L1112" s="13"/>
      <c r="M1112" s="12"/>
      <c r="N1112" s="12" t="s">
        <v>4427</v>
      </c>
      <c r="O1112" s="12"/>
      <c r="P1112" s="12" t="s">
        <v>3790</v>
      </c>
      <c r="Q1112" s="12"/>
      <c r="R1112" s="12"/>
      <c r="S1112" s="12"/>
      <c r="T1112" s="13" t="s">
        <v>1547</v>
      </c>
      <c r="U1112" s="12" t="str">
        <f t="shared" si="73"/>
        <v>Not Started</v>
      </c>
      <c r="V1112" s="12" t="str">
        <f t="shared" si="71"/>
        <v>GUAN Jialin</v>
      </c>
      <c r="W1112" s="13" t="str">
        <f t="shared" si="72"/>
        <v/>
      </c>
    </row>
    <row r="1113" spans="1:23" ht="14.4" customHeight="1" x14ac:dyDescent="0.3">
      <c r="A1113" s="28">
        <v>44699</v>
      </c>
      <c r="B1113" s="12" t="s">
        <v>4445</v>
      </c>
      <c r="C1113" s="12" t="s">
        <v>1542</v>
      </c>
      <c r="D1113" s="5"/>
      <c r="E1113" s="12">
        <v>402</v>
      </c>
      <c r="F1113" s="11" t="s">
        <v>4471</v>
      </c>
      <c r="G1113" s="12" t="s">
        <v>7</v>
      </c>
      <c r="H1113" s="12" t="s">
        <v>14</v>
      </c>
      <c r="I1113" s="11"/>
      <c r="J1113" s="12" t="s">
        <v>1582</v>
      </c>
      <c r="K1113" s="12" t="str">
        <f t="shared" si="70"/>
        <v>Open</v>
      </c>
      <c r="L1113" s="13"/>
      <c r="M1113" s="12"/>
      <c r="N1113" s="12" t="s">
        <v>4427</v>
      </c>
      <c r="O1113" s="12"/>
      <c r="P1113" s="12" t="s">
        <v>3790</v>
      </c>
      <c r="Q1113" s="12"/>
      <c r="R1113" s="12"/>
      <c r="S1113" s="12"/>
      <c r="T1113" s="13" t="s">
        <v>1547</v>
      </c>
      <c r="U1113" s="12" t="str">
        <f t="shared" si="73"/>
        <v>Not Started</v>
      </c>
      <c r="V1113" s="12" t="str">
        <f t="shared" si="71"/>
        <v>GUAN Jialin</v>
      </c>
      <c r="W1113" s="13" t="str">
        <f t="shared" si="72"/>
        <v/>
      </c>
    </row>
    <row r="1114" spans="1:23" ht="14.4" customHeight="1" x14ac:dyDescent="0.3">
      <c r="A1114" s="28">
        <v>44699</v>
      </c>
      <c r="B1114" s="12" t="s">
        <v>4446</v>
      </c>
      <c r="C1114" s="12" t="s">
        <v>1542</v>
      </c>
      <c r="D1114" s="5"/>
      <c r="E1114" s="12">
        <v>402</v>
      </c>
      <c r="F1114" s="11" t="s">
        <v>4472</v>
      </c>
      <c r="G1114" s="12" t="s">
        <v>7</v>
      </c>
      <c r="H1114" s="12" t="s">
        <v>9</v>
      </c>
      <c r="I1114" s="11"/>
      <c r="J1114" s="12" t="s">
        <v>1582</v>
      </c>
      <c r="K1114" s="12" t="str">
        <f t="shared" si="70"/>
        <v>Open</v>
      </c>
      <c r="L1114" s="13"/>
      <c r="M1114" s="12"/>
      <c r="N1114" s="12"/>
      <c r="O1114" s="12"/>
      <c r="P1114" s="12" t="s">
        <v>3790</v>
      </c>
      <c r="Q1114" s="12"/>
      <c r="R1114" s="12"/>
      <c r="S1114" s="12"/>
      <c r="T1114" s="13" t="s">
        <v>1547</v>
      </c>
      <c r="U1114" s="12" t="str">
        <f t="shared" si="73"/>
        <v>Not Started</v>
      </c>
      <c r="V1114" s="12" t="str">
        <f t="shared" si="71"/>
        <v>KHAN Jahan</v>
      </c>
      <c r="W1114" s="13" t="str">
        <f t="shared" si="72"/>
        <v/>
      </c>
    </row>
    <row r="1115" spans="1:23" x14ac:dyDescent="0.3">
      <c r="A1115" s="28">
        <v>44699</v>
      </c>
      <c r="B1115" s="12" t="s">
        <v>4447</v>
      </c>
      <c r="C1115" s="12" t="s">
        <v>1690</v>
      </c>
      <c r="D1115" s="5"/>
      <c r="E1115" s="12">
        <v>625</v>
      </c>
      <c r="F1115" t="s">
        <v>4448</v>
      </c>
      <c r="G1115" s="12" t="s">
        <v>7</v>
      </c>
      <c r="H1115" s="12" t="s">
        <v>9</v>
      </c>
      <c r="I1115" s="11"/>
      <c r="J1115" s="12" t="s">
        <v>1582</v>
      </c>
      <c r="K1115" s="12" t="str">
        <f t="shared" si="70"/>
        <v>Open</v>
      </c>
      <c r="L1115" s="13"/>
      <c r="M1115" s="12"/>
      <c r="N1115" s="12" t="s">
        <v>2517</v>
      </c>
      <c r="O1115" s="12"/>
      <c r="P1115" s="12" t="s">
        <v>3790</v>
      </c>
      <c r="Q1115" s="12"/>
      <c r="R1115" s="12"/>
      <c r="S1115" s="12"/>
      <c r="T1115" s="13" t="s">
        <v>1547</v>
      </c>
      <c r="U1115" s="12" t="str">
        <f t="shared" si="73"/>
        <v>Not Started</v>
      </c>
      <c r="V1115" s="12" t="str">
        <f t="shared" si="71"/>
        <v>KHAN Jahan</v>
      </c>
      <c r="W1115" s="13" t="str">
        <f t="shared" si="72"/>
        <v/>
      </c>
    </row>
    <row r="1116" spans="1:23" x14ac:dyDescent="0.3">
      <c r="A1116" s="28">
        <v>44699</v>
      </c>
      <c r="B1116" s="12" t="s">
        <v>4477</v>
      </c>
      <c r="C1116" s="12" t="s">
        <v>1542</v>
      </c>
      <c r="D1116" s="5"/>
      <c r="E1116" s="12">
        <v>612</v>
      </c>
      <c r="F1116" s="11" t="s">
        <v>4478</v>
      </c>
      <c r="G1116" s="12" t="s">
        <v>7</v>
      </c>
      <c r="H1116" s="12" t="s">
        <v>9</v>
      </c>
      <c r="I1116" s="11"/>
      <c r="J1116" s="12" t="s">
        <v>1582</v>
      </c>
      <c r="K1116" s="12" t="str">
        <f t="shared" si="70"/>
        <v>Open</v>
      </c>
      <c r="L1116" s="13"/>
      <c r="M1116" s="12"/>
      <c r="N1116" s="12" t="s">
        <v>2448</v>
      </c>
      <c r="O1116" s="12"/>
      <c r="P1116" s="12" t="s">
        <v>3790</v>
      </c>
      <c r="Q1116" s="12"/>
      <c r="R1116" s="12"/>
      <c r="S1116" s="12"/>
      <c r="T1116" s="13" t="s">
        <v>1547</v>
      </c>
      <c r="U1116" s="12" t="str">
        <f t="shared" si="73"/>
        <v>Not Started</v>
      </c>
      <c r="V1116" s="12" t="str">
        <f t="shared" si="71"/>
        <v>KHAN Jahan</v>
      </c>
      <c r="W1116" s="13" t="str">
        <f t="shared" si="72"/>
        <v/>
      </c>
    </row>
    <row r="1117" spans="1:23" x14ac:dyDescent="0.3">
      <c r="A1117" s="28">
        <v>44699</v>
      </c>
      <c r="B1117" s="12" t="s">
        <v>4479</v>
      </c>
      <c r="C1117" s="12" t="s">
        <v>1542</v>
      </c>
      <c r="D1117" s="5"/>
      <c r="E1117" s="12">
        <v>405</v>
      </c>
      <c r="F1117" s="11" t="s">
        <v>4480</v>
      </c>
      <c r="G1117" s="12" t="s">
        <v>7</v>
      </c>
      <c r="H1117" s="12" t="s">
        <v>9</v>
      </c>
      <c r="I1117" s="11"/>
      <c r="J1117" s="12" t="s">
        <v>1582</v>
      </c>
      <c r="K1117" s="12" t="str">
        <f t="shared" si="70"/>
        <v>Open</v>
      </c>
      <c r="L1117" s="13"/>
      <c r="M1117" s="12"/>
      <c r="N1117" s="12" t="s">
        <v>3216</v>
      </c>
      <c r="O1117" s="12"/>
      <c r="P1117" s="12" t="s">
        <v>3790</v>
      </c>
      <c r="Q1117" s="12"/>
      <c r="R1117" s="12"/>
      <c r="S1117" s="12"/>
      <c r="T1117" s="13" t="s">
        <v>1547</v>
      </c>
      <c r="U1117" s="12" t="str">
        <f t="shared" si="73"/>
        <v>Not Started</v>
      </c>
      <c r="V1117" s="12" t="str">
        <f t="shared" si="71"/>
        <v>KHAN Jahan</v>
      </c>
      <c r="W1117" s="13" t="str">
        <f t="shared" si="72"/>
        <v/>
      </c>
    </row>
    <row r="1118" spans="1:23" x14ac:dyDescent="0.3">
      <c r="A1118" s="28">
        <v>44699</v>
      </c>
      <c r="B1118" s="12" t="s">
        <v>4481</v>
      </c>
      <c r="C1118" s="12" t="s">
        <v>1542</v>
      </c>
      <c r="D1118" s="5"/>
      <c r="E1118" s="12">
        <v>408</v>
      </c>
      <c r="F1118" s="11" t="s">
        <v>4482</v>
      </c>
      <c r="G1118" s="12" t="s">
        <v>7</v>
      </c>
      <c r="H1118" s="12" t="s">
        <v>14</v>
      </c>
      <c r="I1118" s="11"/>
      <c r="J1118" s="12" t="s">
        <v>1582</v>
      </c>
      <c r="K1118" s="12" t="str">
        <f t="shared" si="70"/>
        <v>Open</v>
      </c>
      <c r="L1118" s="13"/>
      <c r="M1118" s="12"/>
      <c r="N1118" s="12" t="s">
        <v>4427</v>
      </c>
      <c r="O1118" s="12"/>
      <c r="P1118" s="12" t="s">
        <v>3790</v>
      </c>
      <c r="Q1118" s="12"/>
      <c r="R1118" s="12"/>
      <c r="S1118" s="12"/>
      <c r="T1118" s="13" t="s">
        <v>1547</v>
      </c>
      <c r="U1118" s="12" t="str">
        <f t="shared" si="73"/>
        <v>Not Started</v>
      </c>
      <c r="V1118" s="12" t="str">
        <f t="shared" si="71"/>
        <v>GUAN Jialin</v>
      </c>
      <c r="W1118" s="13" t="str">
        <f t="shared" si="72"/>
        <v/>
      </c>
    </row>
    <row r="1119" spans="1:23" ht="14.4" customHeight="1" x14ac:dyDescent="0.3">
      <c r="A1119" s="28">
        <v>44699</v>
      </c>
      <c r="B1119" s="12" t="s">
        <v>4483</v>
      </c>
      <c r="C1119" s="12" t="s">
        <v>1542</v>
      </c>
      <c r="D1119" s="5"/>
      <c r="E1119" s="12">
        <v>612</v>
      </c>
      <c r="F1119" s="11" t="s">
        <v>4484</v>
      </c>
      <c r="G1119" s="12" t="s">
        <v>7</v>
      </c>
      <c r="H1119" s="12" t="s">
        <v>14</v>
      </c>
      <c r="I1119" s="11"/>
      <c r="J1119" s="12" t="s">
        <v>1582</v>
      </c>
      <c r="K1119" s="12" t="str">
        <f t="shared" si="70"/>
        <v>Open</v>
      </c>
      <c r="L1119" s="13"/>
      <c r="M1119" s="12"/>
      <c r="N1119" s="12" t="s">
        <v>4427</v>
      </c>
      <c r="O1119" s="12"/>
      <c r="P1119" s="12" t="s">
        <v>3790</v>
      </c>
      <c r="Q1119" s="12"/>
      <c r="R1119" s="12"/>
      <c r="S1119" s="12"/>
      <c r="T1119" s="13" t="s">
        <v>1547</v>
      </c>
      <c r="U1119" s="12" t="str">
        <f t="shared" si="73"/>
        <v>Not Started</v>
      </c>
      <c r="V1119" s="12" t="str">
        <f t="shared" si="71"/>
        <v>GUAN Jialin</v>
      </c>
      <c r="W1119" s="13" t="str">
        <f t="shared" si="72"/>
        <v/>
      </c>
    </row>
    <row r="1120" spans="1:23" ht="28.8" customHeight="1" x14ac:dyDescent="0.3">
      <c r="A1120" s="28">
        <v>44704</v>
      </c>
      <c r="B1120" s="12" t="s">
        <v>4485</v>
      </c>
      <c r="C1120" s="12" t="s">
        <v>1542</v>
      </c>
      <c r="D1120" s="5"/>
      <c r="E1120" s="12">
        <v>407</v>
      </c>
      <c r="F1120" s="11" t="s">
        <v>4486</v>
      </c>
      <c r="G1120" s="12" t="s">
        <v>7</v>
      </c>
      <c r="H1120" s="12" t="s">
        <v>19</v>
      </c>
      <c r="I1120" s="11"/>
      <c r="J1120" s="12" t="s">
        <v>1582</v>
      </c>
      <c r="K1120" s="12" t="str">
        <f t="shared" si="70"/>
        <v>Open</v>
      </c>
      <c r="L1120" s="13"/>
      <c r="M1120" s="12"/>
      <c r="N1120" s="12"/>
      <c r="O1120" s="12"/>
      <c r="P1120" s="12" t="s">
        <v>3790</v>
      </c>
      <c r="Q1120" s="12"/>
      <c r="R1120" s="12"/>
      <c r="S1120" s="12"/>
      <c r="T1120" s="13" t="s">
        <v>1547</v>
      </c>
      <c r="U1120" s="12" t="str">
        <f t="shared" si="73"/>
        <v>Not Started</v>
      </c>
      <c r="V1120" s="12" t="str">
        <f t="shared" si="71"/>
        <v>DAOUDI Mohamed</v>
      </c>
      <c r="W1120" s="13" t="str">
        <f t="shared" si="72"/>
        <v/>
      </c>
    </row>
    <row r="1121" spans="1:23" ht="14.4" customHeight="1" x14ac:dyDescent="0.3">
      <c r="A1121" s="28">
        <v>44704</v>
      </c>
      <c r="B1121" s="12" t="s">
        <v>4487</v>
      </c>
      <c r="C1121" s="12" t="s">
        <v>1542</v>
      </c>
      <c r="D1121" s="5"/>
      <c r="E1121" s="12">
        <v>601</v>
      </c>
      <c r="F1121" s="11" t="s">
        <v>4488</v>
      </c>
      <c r="G1121" s="12" t="s">
        <v>7</v>
      </c>
      <c r="H1121" s="12" t="s">
        <v>9</v>
      </c>
      <c r="I1121" s="11"/>
      <c r="J1121" s="12" t="s">
        <v>1582</v>
      </c>
      <c r="K1121" s="12" t="str">
        <f t="shared" si="70"/>
        <v>Open</v>
      </c>
      <c r="L1121" s="13"/>
      <c r="M1121" s="12"/>
      <c r="N1121" s="12" t="s">
        <v>2448</v>
      </c>
      <c r="O1121" s="12"/>
      <c r="P1121" s="12" t="s">
        <v>3790</v>
      </c>
      <c r="Q1121" s="12"/>
      <c r="R1121" s="12"/>
      <c r="S1121" s="12"/>
      <c r="T1121" s="13" t="s">
        <v>1547</v>
      </c>
      <c r="U1121" s="12" t="str">
        <f t="shared" si="73"/>
        <v>Not Started</v>
      </c>
      <c r="V1121" s="12" t="str">
        <f t="shared" si="71"/>
        <v>KHAN Jahan</v>
      </c>
      <c r="W1121" s="13" t="str">
        <f t="shared" si="72"/>
        <v/>
      </c>
    </row>
    <row r="1122" spans="1:23" ht="14.4" customHeight="1" x14ac:dyDescent="0.3">
      <c r="A1122" s="28">
        <v>44704</v>
      </c>
      <c r="B1122" s="12" t="s">
        <v>4489</v>
      </c>
      <c r="C1122" s="12" t="s">
        <v>1542</v>
      </c>
      <c r="D1122" s="5"/>
      <c r="E1122" s="12">
        <v>424</v>
      </c>
      <c r="F1122" s="11" t="s">
        <v>4490</v>
      </c>
      <c r="G1122" s="12" t="s">
        <v>7</v>
      </c>
      <c r="H1122" s="12" t="s">
        <v>9</v>
      </c>
      <c r="I1122" s="11"/>
      <c r="J1122" s="12" t="s">
        <v>1582</v>
      </c>
      <c r="K1122" s="12" t="str">
        <f t="shared" si="70"/>
        <v>Open</v>
      </c>
      <c r="L1122" s="13"/>
      <c r="M1122" s="12"/>
      <c r="N1122" s="12"/>
      <c r="O1122" s="12"/>
      <c r="P1122" s="12" t="s">
        <v>3790</v>
      </c>
      <c r="Q1122" s="12"/>
      <c r="R1122" s="12"/>
      <c r="S1122" s="12"/>
      <c r="T1122" s="13" t="s">
        <v>1547</v>
      </c>
      <c r="U1122" s="12" t="str">
        <f t="shared" si="73"/>
        <v>Not Started</v>
      </c>
      <c r="V1122" s="12" t="str">
        <f t="shared" si="71"/>
        <v>KHAN Jahan</v>
      </c>
      <c r="W1122" s="13" t="str">
        <f t="shared" si="72"/>
        <v/>
      </c>
    </row>
    <row r="1123" spans="1:23" x14ac:dyDescent="0.3">
      <c r="A1123" s="28">
        <v>44704</v>
      </c>
      <c r="B1123" s="12" t="s">
        <v>4491</v>
      </c>
      <c r="C1123" s="12" t="s">
        <v>1542</v>
      </c>
      <c r="D1123" s="5"/>
      <c r="E1123" s="12">
        <v>424</v>
      </c>
      <c r="F1123" s="11" t="s">
        <v>4492</v>
      </c>
      <c r="G1123" s="12" t="s">
        <v>7</v>
      </c>
      <c r="H1123" s="12" t="s">
        <v>14</v>
      </c>
      <c r="I1123" s="11"/>
      <c r="J1123" s="12"/>
      <c r="K1123" s="12"/>
      <c r="L1123" s="13"/>
      <c r="M1123" s="12"/>
      <c r="N1123" s="12"/>
      <c r="O1123" s="12"/>
      <c r="P1123" s="12"/>
      <c r="Q1123" s="12"/>
      <c r="R1123" s="12"/>
      <c r="S1123" s="12"/>
      <c r="T1123" s="13" t="s">
        <v>1547</v>
      </c>
      <c r="U1123" s="12">
        <f t="shared" si="73"/>
        <v>0</v>
      </c>
      <c r="V1123" s="12" t="str">
        <f t="shared" si="71"/>
        <v>GUAN Jialin</v>
      </c>
      <c r="W1123" s="13" t="str">
        <f t="shared" si="72"/>
        <v/>
      </c>
    </row>
    <row r="1124" spans="1:23" ht="14.4" customHeight="1" x14ac:dyDescent="0.3">
      <c r="A1124" s="28">
        <v>44704</v>
      </c>
      <c r="B1124" s="12" t="s">
        <v>4493</v>
      </c>
      <c r="C1124" s="12" t="s">
        <v>1542</v>
      </c>
      <c r="D1124" s="5"/>
      <c r="E1124" s="12">
        <v>424</v>
      </c>
      <c r="F1124" s="11" t="s">
        <v>4494</v>
      </c>
      <c r="G1124" s="12" t="s">
        <v>7</v>
      </c>
      <c r="H1124" s="12" t="s">
        <v>9</v>
      </c>
      <c r="I1124" s="11"/>
      <c r="J1124" s="12" t="s">
        <v>1582</v>
      </c>
      <c r="K1124" s="12" t="str">
        <f t="shared" si="70"/>
        <v>Open</v>
      </c>
      <c r="L1124" s="13"/>
      <c r="M1124" s="12"/>
      <c r="N1124" s="12"/>
      <c r="O1124" s="12"/>
      <c r="P1124" s="12" t="s">
        <v>3790</v>
      </c>
      <c r="Q1124" s="12"/>
      <c r="R1124" s="12"/>
      <c r="S1124" s="12"/>
      <c r="T1124" s="13" t="s">
        <v>1547</v>
      </c>
      <c r="U1124" s="12" t="str">
        <f t="shared" si="73"/>
        <v>Not Started</v>
      </c>
      <c r="V1124" s="12" t="str">
        <f t="shared" si="71"/>
        <v>KHAN Jahan</v>
      </c>
      <c r="W1124" s="13" t="str">
        <f t="shared" si="72"/>
        <v/>
      </c>
    </row>
    <row r="1125" spans="1:23" ht="14.4" customHeight="1" x14ac:dyDescent="0.3">
      <c r="A1125" s="28">
        <v>44704</v>
      </c>
      <c r="B1125" s="12" t="s">
        <v>4495</v>
      </c>
      <c r="C1125" s="12" t="s">
        <v>1542</v>
      </c>
      <c r="D1125" s="5"/>
      <c r="E1125" s="12">
        <v>615</v>
      </c>
      <c r="F1125" s="11" t="s">
        <v>4494</v>
      </c>
      <c r="G1125" s="12" t="s">
        <v>7</v>
      </c>
      <c r="H1125" s="12" t="s">
        <v>9</v>
      </c>
      <c r="I1125" s="11"/>
      <c r="J1125" s="12" t="s">
        <v>1582</v>
      </c>
      <c r="K1125" s="12" t="str">
        <f t="shared" si="70"/>
        <v>Open</v>
      </c>
      <c r="L1125" s="13"/>
      <c r="M1125" s="12"/>
      <c r="N1125" s="12"/>
      <c r="O1125" s="12"/>
      <c r="P1125" s="12" t="s">
        <v>3790</v>
      </c>
      <c r="Q1125" s="12"/>
      <c r="R1125" s="12"/>
      <c r="S1125" s="12"/>
      <c r="T1125" s="13" t="s">
        <v>1547</v>
      </c>
      <c r="U1125" s="12" t="str">
        <f t="shared" si="73"/>
        <v>Not Started</v>
      </c>
      <c r="V1125" s="12" t="str">
        <f t="shared" si="71"/>
        <v>KHAN Jahan</v>
      </c>
      <c r="W1125" s="13" t="str">
        <f t="shared" si="72"/>
        <v/>
      </c>
    </row>
    <row r="1126" spans="1:23" ht="14.4" customHeight="1" x14ac:dyDescent="0.3">
      <c r="A1126" s="28">
        <v>44704</v>
      </c>
      <c r="B1126" s="12" t="s">
        <v>4496</v>
      </c>
      <c r="C1126" s="12" t="s">
        <v>4497</v>
      </c>
      <c r="D1126" s="5"/>
      <c r="E1126" s="12">
        <v>611</v>
      </c>
      <c r="F1126" s="11" t="s">
        <v>4498</v>
      </c>
      <c r="G1126" s="12" t="s">
        <v>7</v>
      </c>
      <c r="H1126" s="12" t="s">
        <v>19</v>
      </c>
      <c r="I1126" s="11" t="s">
        <v>4499</v>
      </c>
      <c r="J1126" s="12" t="s">
        <v>1609</v>
      </c>
      <c r="K1126" s="12" t="str">
        <f t="shared" si="70"/>
        <v>Open</v>
      </c>
      <c r="L1126" s="13"/>
      <c r="M1126" s="12"/>
      <c r="N1126" s="12"/>
      <c r="O1126" s="12"/>
      <c r="P1126" s="12" t="s">
        <v>3790</v>
      </c>
      <c r="Q1126" s="12"/>
      <c r="R1126" s="12" t="s">
        <v>5</v>
      </c>
      <c r="S1126" s="12" t="s">
        <v>19</v>
      </c>
      <c r="T1126" s="13" t="s">
        <v>1547</v>
      </c>
      <c r="U1126" s="12" t="str">
        <f t="shared" si="73"/>
        <v>No Material</v>
      </c>
      <c r="V1126" s="12" t="str">
        <f t="shared" si="71"/>
        <v>DAOUDI Mohamed</v>
      </c>
      <c r="W1126" s="13" t="str">
        <f t="shared" si="72"/>
        <v/>
      </c>
    </row>
    <row r="1127" spans="1:23" ht="14.4" customHeight="1" x14ac:dyDescent="0.3">
      <c r="A1127" s="28">
        <v>44704</v>
      </c>
      <c r="B1127" s="12" t="s">
        <v>4500</v>
      </c>
      <c r="C1127" s="12" t="s">
        <v>4497</v>
      </c>
      <c r="D1127" s="5"/>
      <c r="E1127" s="12">
        <v>406</v>
      </c>
      <c r="F1127" s="11" t="s">
        <v>4501</v>
      </c>
      <c r="G1127" s="12" t="s">
        <v>7</v>
      </c>
      <c r="H1127" s="12" t="s">
        <v>19</v>
      </c>
      <c r="I1127" s="11" t="s">
        <v>4499</v>
      </c>
      <c r="J1127" s="12" t="s">
        <v>1609</v>
      </c>
      <c r="K1127" s="12" t="str">
        <f t="shared" si="70"/>
        <v>Open</v>
      </c>
      <c r="L1127" s="13"/>
      <c r="M1127" s="12"/>
      <c r="N1127" s="12"/>
      <c r="O1127" s="12"/>
      <c r="P1127" s="12" t="s">
        <v>3790</v>
      </c>
      <c r="Q1127" s="12"/>
      <c r="R1127" s="12" t="s">
        <v>5</v>
      </c>
      <c r="S1127" s="12" t="s">
        <v>19</v>
      </c>
      <c r="T1127" s="13" t="s">
        <v>1547</v>
      </c>
      <c r="U1127" s="12" t="str">
        <f t="shared" si="73"/>
        <v>No Material</v>
      </c>
      <c r="V1127" s="12" t="str">
        <f t="shared" si="71"/>
        <v>DAOUDI Mohamed</v>
      </c>
      <c r="W1127" s="13" t="str">
        <f t="shared" si="72"/>
        <v/>
      </c>
    </row>
    <row r="1128" spans="1:23" ht="14.4" customHeight="1" x14ac:dyDescent="0.3">
      <c r="A1128" s="28">
        <v>44705</v>
      </c>
      <c r="B1128" s="12" t="s">
        <v>4511</v>
      </c>
      <c r="C1128" s="12" t="s">
        <v>1690</v>
      </c>
      <c r="D1128" s="5"/>
      <c r="E1128" s="12">
        <v>401</v>
      </c>
      <c r="F1128" s="11" t="s">
        <v>4512</v>
      </c>
      <c r="G1128" s="12" t="s">
        <v>1</v>
      </c>
      <c r="H1128" s="12" t="s">
        <v>19</v>
      </c>
      <c r="I1128" s="11" t="s">
        <v>4513</v>
      </c>
      <c r="J1128" s="12" t="s">
        <v>1609</v>
      </c>
      <c r="K1128" s="12" t="str">
        <f t="shared" si="70"/>
        <v>Open</v>
      </c>
      <c r="L1128" s="13"/>
      <c r="M1128" s="12"/>
      <c r="N1128" s="12" t="s">
        <v>2603</v>
      </c>
      <c r="O1128" s="12"/>
      <c r="P1128" s="12" t="s">
        <v>3790</v>
      </c>
      <c r="Q1128" s="12"/>
      <c r="R1128" s="12" t="s">
        <v>1545</v>
      </c>
      <c r="S1128" s="12" t="s">
        <v>19</v>
      </c>
      <c r="T1128" s="13">
        <v>44706</v>
      </c>
      <c r="U1128" s="12" t="str">
        <f t="shared" si="73"/>
        <v>Corrected</v>
      </c>
      <c r="V1128" s="12" t="str">
        <f t="shared" si="71"/>
        <v>DAOUDI Mohamed</v>
      </c>
      <c r="W1128" s="13">
        <f t="shared" si="72"/>
        <v>44706</v>
      </c>
    </row>
    <row r="1129" spans="1:23" ht="14.4" customHeight="1" x14ac:dyDescent="0.3">
      <c r="A1129" s="28"/>
      <c r="B1129" s="12" t="s">
        <v>4540</v>
      </c>
      <c r="C1129" s="12"/>
      <c r="D1129" s="5"/>
      <c r="E1129" s="12"/>
      <c r="F1129" s="11" t="s">
        <v>2705</v>
      </c>
      <c r="G1129" s="12"/>
      <c r="H1129" s="12"/>
      <c r="I1129" s="11"/>
      <c r="J1129" s="12"/>
      <c r="K1129" s="12" t="str">
        <f t="shared" si="70"/>
        <v>Open</v>
      </c>
      <c r="L1129" s="13"/>
      <c r="M1129" s="12"/>
      <c r="N1129" s="12"/>
      <c r="O1129" s="12"/>
      <c r="P1129" s="12"/>
      <c r="Q1129" s="12"/>
      <c r="R1129" s="12"/>
      <c r="S1129" s="12"/>
      <c r="T1129" s="13" t="s">
        <v>1547</v>
      </c>
      <c r="U1129" s="12">
        <f t="shared" si="73"/>
        <v>0</v>
      </c>
      <c r="V1129" s="12">
        <f t="shared" si="71"/>
        <v>0</v>
      </c>
      <c r="W1129" s="13" t="str">
        <f t="shared" si="72"/>
        <v/>
      </c>
    </row>
    <row r="1130" spans="1:23" ht="14.4" customHeight="1" x14ac:dyDescent="0.3">
      <c r="A1130" s="28">
        <v>44705</v>
      </c>
      <c r="B1130" s="12" t="s">
        <v>4514</v>
      </c>
      <c r="C1130" s="12" t="s">
        <v>1690</v>
      </c>
      <c r="D1130" s="5"/>
      <c r="E1130" s="12">
        <v>621</v>
      </c>
      <c r="F1130" s="11" t="s">
        <v>4515</v>
      </c>
      <c r="G1130" s="12" t="s">
        <v>1</v>
      </c>
      <c r="H1130" s="12" t="s">
        <v>9</v>
      </c>
      <c r="I1130" s="11"/>
      <c r="J1130" s="12" t="s">
        <v>1582</v>
      </c>
      <c r="K1130" s="12" t="str">
        <f t="shared" si="70"/>
        <v>Open</v>
      </c>
      <c r="L1130" s="13"/>
      <c r="M1130" s="12"/>
      <c r="N1130" s="12"/>
      <c r="O1130" s="12"/>
      <c r="P1130" s="12"/>
      <c r="Q1130" s="12"/>
      <c r="R1130" s="12"/>
      <c r="S1130" s="12"/>
      <c r="T1130" s="13" t="s">
        <v>1547</v>
      </c>
      <c r="U1130" s="12" t="str">
        <f t="shared" si="73"/>
        <v>Not Started</v>
      </c>
      <c r="V1130" s="12" t="str">
        <f t="shared" si="71"/>
        <v>KHAN Jahan</v>
      </c>
      <c r="W1130" s="13" t="str">
        <f t="shared" si="72"/>
        <v/>
      </c>
    </row>
    <row r="1131" spans="1:23" ht="14.4" customHeight="1" x14ac:dyDescent="0.3">
      <c r="A1131" s="28">
        <v>44706</v>
      </c>
      <c r="B1131" s="12" t="s">
        <v>4541</v>
      </c>
      <c r="C1131" s="12" t="s">
        <v>1542</v>
      </c>
      <c r="D1131" s="5"/>
      <c r="E1131" s="12">
        <v>414</v>
      </c>
      <c r="F1131" s="11" t="s">
        <v>4542</v>
      </c>
      <c r="G1131" s="12" t="s">
        <v>7</v>
      </c>
      <c r="H1131" s="12"/>
      <c r="I1131" s="11"/>
      <c r="J1131" s="12" t="s">
        <v>1582</v>
      </c>
      <c r="K1131" s="12" t="str">
        <f t="shared" ref="K1131:K1136" si="74">IF(J1131="Corrected","Closed",IF(J1131="NFF","Closed","Open"))</f>
        <v>Open</v>
      </c>
      <c r="L1131" s="13"/>
      <c r="M1131" s="12"/>
      <c r="N1131" s="12" t="s">
        <v>4428</v>
      </c>
      <c r="O1131" s="12"/>
      <c r="P1131" s="12" t="s">
        <v>3790</v>
      </c>
      <c r="Q1131" s="12"/>
      <c r="R1131" s="12"/>
      <c r="S1131" s="12"/>
      <c r="T1131" s="13" t="s">
        <v>1547</v>
      </c>
      <c r="U1131" s="12" t="str">
        <f t="shared" si="73"/>
        <v>Not Started</v>
      </c>
      <c r="V1131" s="12">
        <f t="shared" si="71"/>
        <v>0</v>
      </c>
      <c r="W1131" s="13" t="str">
        <f t="shared" si="72"/>
        <v/>
      </c>
    </row>
    <row r="1132" spans="1:23" ht="14.4" customHeight="1" x14ac:dyDescent="0.3">
      <c r="A1132" s="28">
        <v>44706</v>
      </c>
      <c r="B1132" s="12" t="s">
        <v>4543</v>
      </c>
      <c r="C1132" s="12" t="s">
        <v>1542</v>
      </c>
      <c r="D1132" s="5"/>
      <c r="E1132" s="12">
        <v>619</v>
      </c>
      <c r="F1132" s="11" t="s">
        <v>3703</v>
      </c>
      <c r="G1132" s="12" t="s">
        <v>7</v>
      </c>
      <c r="H1132" s="12"/>
      <c r="I1132" s="11"/>
      <c r="J1132" s="12" t="s">
        <v>1582</v>
      </c>
      <c r="K1132" s="12" t="str">
        <f t="shared" si="74"/>
        <v>Open</v>
      </c>
      <c r="L1132" s="13"/>
      <c r="M1132" s="12"/>
      <c r="N1132" s="12" t="s">
        <v>4430</v>
      </c>
      <c r="O1132" s="12"/>
      <c r="P1132" s="12" t="s">
        <v>3790</v>
      </c>
      <c r="Q1132" s="12"/>
      <c r="R1132" s="12"/>
      <c r="S1132" s="12"/>
      <c r="T1132" s="13" t="s">
        <v>1547</v>
      </c>
      <c r="U1132" s="12" t="str">
        <f t="shared" si="73"/>
        <v>Not Started</v>
      </c>
      <c r="V1132" s="12">
        <f t="shared" si="71"/>
        <v>0</v>
      </c>
      <c r="W1132" s="13" t="str">
        <f t="shared" si="72"/>
        <v/>
      </c>
    </row>
    <row r="1133" spans="1:23" ht="14.4" customHeight="1" x14ac:dyDescent="0.3">
      <c r="A1133" s="28">
        <v>44706</v>
      </c>
      <c r="B1133" s="12" t="s">
        <v>4544</v>
      </c>
      <c r="C1133" s="12" t="s">
        <v>1542</v>
      </c>
      <c r="D1133" s="5"/>
      <c r="E1133" s="12">
        <v>626</v>
      </c>
      <c r="F1133" s="11" t="s">
        <v>4545</v>
      </c>
      <c r="G1133" s="12" t="s">
        <v>7</v>
      </c>
      <c r="H1133" s="12"/>
      <c r="I1133" s="11"/>
      <c r="J1133" s="12" t="s">
        <v>1582</v>
      </c>
      <c r="K1133" s="12" t="str">
        <f t="shared" si="74"/>
        <v>Open</v>
      </c>
      <c r="L1133" s="13"/>
      <c r="M1133" s="12"/>
      <c r="N1133" s="12" t="s">
        <v>4427</v>
      </c>
      <c r="O1133" s="12"/>
      <c r="P1133" s="12" t="s">
        <v>3790</v>
      </c>
      <c r="Q1133" s="12"/>
      <c r="R1133" s="12"/>
      <c r="S1133" s="12"/>
      <c r="T1133" s="13" t="s">
        <v>1547</v>
      </c>
      <c r="U1133" s="12" t="str">
        <f t="shared" si="73"/>
        <v>Not Started</v>
      </c>
      <c r="V1133" s="12">
        <f t="shared" si="71"/>
        <v>0</v>
      </c>
      <c r="W1133" s="13" t="str">
        <f t="shared" si="72"/>
        <v/>
      </c>
    </row>
    <row r="1134" spans="1:23" x14ac:dyDescent="0.3">
      <c r="A1134" s="28">
        <v>44706</v>
      </c>
      <c r="B1134" s="12" t="s">
        <v>4546</v>
      </c>
      <c r="C1134" s="12" t="s">
        <v>1542</v>
      </c>
      <c r="D1134" s="5"/>
      <c r="E1134" s="12">
        <v>626</v>
      </c>
      <c r="F1134" s="11" t="s">
        <v>4547</v>
      </c>
      <c r="G1134" s="12" t="s">
        <v>7</v>
      </c>
      <c r="H1134" s="12"/>
      <c r="I1134" s="11"/>
      <c r="J1134" s="12" t="s">
        <v>1582</v>
      </c>
      <c r="K1134" s="12" t="str">
        <f t="shared" si="74"/>
        <v>Open</v>
      </c>
      <c r="L1134" s="13"/>
      <c r="M1134" s="12"/>
      <c r="N1134" s="12" t="s">
        <v>4428</v>
      </c>
      <c r="O1134" s="12"/>
      <c r="P1134" s="12" t="s">
        <v>3790</v>
      </c>
      <c r="Q1134" s="12"/>
      <c r="R1134" s="12"/>
      <c r="S1134" s="12"/>
      <c r="T1134" s="13" t="s">
        <v>1547</v>
      </c>
      <c r="U1134" s="12" t="str">
        <f t="shared" si="73"/>
        <v>Not Started</v>
      </c>
      <c r="V1134" s="12">
        <f t="shared" si="71"/>
        <v>0</v>
      </c>
      <c r="W1134" s="13" t="str">
        <f t="shared" si="72"/>
        <v/>
      </c>
    </row>
    <row r="1135" spans="1:23" x14ac:dyDescent="0.3">
      <c r="A1135" s="28">
        <v>44706</v>
      </c>
      <c r="B1135" s="12" t="s">
        <v>4548</v>
      </c>
      <c r="C1135" s="12" t="s">
        <v>1687</v>
      </c>
      <c r="D1135" s="5"/>
      <c r="E1135" s="12">
        <v>605</v>
      </c>
      <c r="F1135" s="11" t="s">
        <v>4549</v>
      </c>
      <c r="G1135" s="12" t="s">
        <v>7</v>
      </c>
      <c r="H1135" s="12"/>
      <c r="I1135" s="11"/>
      <c r="J1135" s="12" t="s">
        <v>1582</v>
      </c>
      <c r="K1135" s="12" t="str">
        <f t="shared" si="74"/>
        <v>Open</v>
      </c>
      <c r="L1135" s="13"/>
      <c r="M1135" s="12"/>
      <c r="N1135" s="12" t="s">
        <v>4428</v>
      </c>
      <c r="O1135" s="12"/>
      <c r="P1135" s="12" t="s">
        <v>3790</v>
      </c>
      <c r="Q1135" s="12"/>
      <c r="R1135" s="12"/>
      <c r="S1135" s="12"/>
      <c r="T1135" s="13" t="s">
        <v>1547</v>
      </c>
      <c r="U1135" s="12" t="str">
        <f t="shared" si="73"/>
        <v>Not Started</v>
      </c>
      <c r="V1135" s="12">
        <f t="shared" si="71"/>
        <v>0</v>
      </c>
      <c r="W1135" s="13" t="str">
        <f t="shared" si="72"/>
        <v/>
      </c>
    </row>
    <row r="1136" spans="1:23" x14ac:dyDescent="0.3">
      <c r="A1136" s="28">
        <v>44706</v>
      </c>
      <c r="B1136" s="12" t="s">
        <v>4550</v>
      </c>
      <c r="C1136" s="12" t="s">
        <v>1687</v>
      </c>
      <c r="D1136" s="5"/>
      <c r="E1136" s="12">
        <v>420</v>
      </c>
      <c r="F1136" s="11" t="s">
        <v>4551</v>
      </c>
      <c r="G1136" s="12" t="s">
        <v>7</v>
      </c>
      <c r="H1136" s="12"/>
      <c r="I1136" s="11"/>
      <c r="J1136" s="12" t="s">
        <v>1582</v>
      </c>
      <c r="K1136" s="12" t="str">
        <f t="shared" si="74"/>
        <v>Open</v>
      </c>
      <c r="L1136" s="13"/>
      <c r="M1136" s="12"/>
      <c r="N1136" s="12" t="s">
        <v>2448</v>
      </c>
      <c r="O1136" s="12"/>
      <c r="P1136" s="12" t="s">
        <v>3790</v>
      </c>
      <c r="Q1136" s="12"/>
      <c r="R1136" s="12"/>
      <c r="S1136" s="12"/>
      <c r="T1136" s="13" t="s">
        <v>1547</v>
      </c>
      <c r="U1136" s="12" t="str">
        <f t="shared" si="73"/>
        <v>Not Started</v>
      </c>
      <c r="V1136" s="12">
        <f t="shared" si="71"/>
        <v>0</v>
      </c>
      <c r="W1136" s="13" t="str">
        <f t="shared" si="72"/>
        <v/>
      </c>
    </row>
    <row r="1137" spans="1:12" ht="14.4" customHeight="1" x14ac:dyDescent="0.3">
      <c r="A1137"/>
      <c r="L1137"/>
    </row>
    <row r="1138" spans="1:12" x14ac:dyDescent="0.3">
      <c r="A1138"/>
      <c r="L1138"/>
    </row>
    <row r="1139" spans="1:12" x14ac:dyDescent="0.3">
      <c r="A1139"/>
      <c r="L1139"/>
    </row>
    <row r="1140" spans="1:12" x14ac:dyDescent="0.3">
      <c r="A1140"/>
      <c r="L1140"/>
    </row>
    <row r="1141" spans="1:12" x14ac:dyDescent="0.3">
      <c r="A1141"/>
      <c r="L1141"/>
    </row>
    <row r="1142" spans="1:12" ht="14.4" customHeight="1" x14ac:dyDescent="0.3">
      <c r="A1142"/>
      <c r="L1142"/>
    </row>
    <row r="1143" spans="1:12" ht="14.4" customHeight="1" x14ac:dyDescent="0.3">
      <c r="A1143"/>
      <c r="L1143"/>
    </row>
    <row r="1144" spans="1:12" ht="14.4" customHeight="1" x14ac:dyDescent="0.3">
      <c r="A1144"/>
      <c r="L1144"/>
    </row>
    <row r="1145" spans="1:12" x14ac:dyDescent="0.3">
      <c r="A1145"/>
      <c r="L1145"/>
    </row>
    <row r="1146" spans="1:12" ht="14.4" customHeight="1" x14ac:dyDescent="0.3">
      <c r="A1146"/>
      <c r="L1146"/>
    </row>
    <row r="1147" spans="1:12" x14ac:dyDescent="0.3">
      <c r="A1147"/>
      <c r="L1147"/>
    </row>
    <row r="1148" spans="1:12" ht="14.4" customHeight="1" x14ac:dyDescent="0.3">
      <c r="A1148"/>
      <c r="L1148"/>
    </row>
    <row r="1149" spans="1:12" ht="14.4" customHeight="1" x14ac:dyDescent="0.3">
      <c r="A1149"/>
      <c r="L1149"/>
    </row>
    <row r="1150" spans="1:12" x14ac:dyDescent="0.3">
      <c r="A1150"/>
      <c r="L1150"/>
    </row>
    <row r="1151" spans="1:12" x14ac:dyDescent="0.3">
      <c r="A1151"/>
      <c r="L1151"/>
    </row>
    <row r="1152" spans="1:12" ht="14.4" customHeight="1" x14ac:dyDescent="0.3">
      <c r="A1152"/>
      <c r="L1152"/>
    </row>
    <row r="1153" spans="1:12" x14ac:dyDescent="0.3">
      <c r="A1153"/>
      <c r="L1153"/>
    </row>
    <row r="1154" spans="1:12" x14ac:dyDescent="0.3">
      <c r="A1154"/>
      <c r="L1154"/>
    </row>
    <row r="1155" spans="1:12" ht="14.4" customHeight="1" x14ac:dyDescent="0.3">
      <c r="A1155"/>
      <c r="L1155"/>
    </row>
    <row r="1156" spans="1:12" ht="14.4" customHeight="1" x14ac:dyDescent="0.3">
      <c r="A1156"/>
      <c r="L1156"/>
    </row>
    <row r="1157" spans="1:12" ht="14.4" customHeight="1" x14ac:dyDescent="0.3">
      <c r="A1157"/>
      <c r="L1157"/>
    </row>
    <row r="1158" spans="1:12" x14ac:dyDescent="0.3">
      <c r="A1158"/>
      <c r="L1158"/>
    </row>
    <row r="1159" spans="1:12" ht="14.4" customHeight="1" x14ac:dyDescent="0.3">
      <c r="A1159"/>
      <c r="L1159"/>
    </row>
    <row r="1160" spans="1:12" ht="14.4" customHeight="1" x14ac:dyDescent="0.3">
      <c r="A1160"/>
      <c r="L1160"/>
    </row>
    <row r="1161" spans="1:12" x14ac:dyDescent="0.3">
      <c r="A1161"/>
      <c r="L1161"/>
    </row>
    <row r="1162" spans="1:12" ht="14.4" customHeight="1" x14ac:dyDescent="0.3">
      <c r="A1162"/>
      <c r="L1162"/>
    </row>
    <row r="1163" spans="1:12" x14ac:dyDescent="0.3">
      <c r="A1163"/>
      <c r="L1163"/>
    </row>
    <row r="1164" spans="1:12" x14ac:dyDescent="0.3">
      <c r="A1164"/>
      <c r="L1164"/>
    </row>
    <row r="1165" spans="1:12" ht="14.4" customHeight="1" x14ac:dyDescent="0.3">
      <c r="A1165"/>
      <c r="L1165"/>
    </row>
    <row r="1166" spans="1:12" x14ac:dyDescent="0.3">
      <c r="A1166"/>
      <c r="L1166"/>
    </row>
    <row r="1167" spans="1:12" x14ac:dyDescent="0.3">
      <c r="A1167"/>
      <c r="L1167"/>
    </row>
    <row r="1168" spans="1:12" ht="14.4" customHeight="1" x14ac:dyDescent="0.3">
      <c r="A1168"/>
      <c r="L1168"/>
    </row>
    <row r="1169" spans="1:12" ht="14.4" customHeight="1" x14ac:dyDescent="0.3">
      <c r="A1169"/>
      <c r="L1169"/>
    </row>
    <row r="1170" spans="1:12" x14ac:dyDescent="0.3">
      <c r="A1170"/>
      <c r="L1170"/>
    </row>
    <row r="1171" spans="1:12" ht="14.4" customHeight="1" x14ac:dyDescent="0.3">
      <c r="A1171"/>
      <c r="L1171"/>
    </row>
    <row r="1172" spans="1:12" x14ac:dyDescent="0.3">
      <c r="A1172"/>
      <c r="L1172"/>
    </row>
    <row r="1173" spans="1:12" x14ac:dyDescent="0.3">
      <c r="A1173"/>
      <c r="L1173"/>
    </row>
    <row r="1174" spans="1:12" ht="14.4" customHeight="1" x14ac:dyDescent="0.3">
      <c r="A1174"/>
      <c r="L1174"/>
    </row>
    <row r="1175" spans="1:12" ht="14.4" customHeight="1" x14ac:dyDescent="0.3">
      <c r="A1175"/>
      <c r="L1175"/>
    </row>
    <row r="1176" spans="1:12" ht="28.8" customHeight="1" x14ac:dyDescent="0.3">
      <c r="A1176"/>
      <c r="L1176"/>
    </row>
    <row r="1177" spans="1:12" ht="28.8" customHeight="1" x14ac:dyDescent="0.3">
      <c r="A1177"/>
      <c r="L1177"/>
    </row>
    <row r="1178" spans="1:12" x14ac:dyDescent="0.3">
      <c r="A1178"/>
      <c r="L1178"/>
    </row>
    <row r="1179" spans="1:12" x14ac:dyDescent="0.3">
      <c r="A1179"/>
      <c r="L1179"/>
    </row>
    <row r="1180" spans="1:12" x14ac:dyDescent="0.3">
      <c r="A1180"/>
      <c r="L1180"/>
    </row>
    <row r="1181" spans="1:12" x14ac:dyDescent="0.3">
      <c r="A1181"/>
      <c r="L1181"/>
    </row>
    <row r="1182" spans="1:12" ht="14.4" customHeight="1" x14ac:dyDescent="0.3">
      <c r="A1182"/>
      <c r="L1182"/>
    </row>
    <row r="1183" spans="1:12" ht="14.4" customHeight="1" x14ac:dyDescent="0.3">
      <c r="A1183"/>
      <c r="L1183"/>
    </row>
    <row r="1184" spans="1:12" x14ac:dyDescent="0.3">
      <c r="A1184"/>
      <c r="L1184"/>
    </row>
    <row r="1185" spans="1:12" x14ac:dyDescent="0.3">
      <c r="A1185"/>
      <c r="L1185"/>
    </row>
    <row r="1186" spans="1:12" x14ac:dyDescent="0.3">
      <c r="A1186"/>
      <c r="L1186"/>
    </row>
    <row r="1187" spans="1:12" x14ac:dyDescent="0.3">
      <c r="A1187"/>
      <c r="L1187"/>
    </row>
    <row r="1188" spans="1:12" ht="14.4" customHeight="1" x14ac:dyDescent="0.3">
      <c r="A1188"/>
      <c r="L1188"/>
    </row>
    <row r="1189" spans="1:12" ht="28.8" customHeight="1" x14ac:dyDescent="0.3">
      <c r="A1189"/>
      <c r="L1189"/>
    </row>
    <row r="1190" spans="1:12" x14ac:dyDescent="0.3">
      <c r="A1190"/>
      <c r="L1190"/>
    </row>
    <row r="1191" spans="1:12" x14ac:dyDescent="0.3">
      <c r="A1191"/>
      <c r="L1191"/>
    </row>
    <row r="1192" spans="1:12" ht="14.4" customHeight="1" x14ac:dyDescent="0.3">
      <c r="A1192"/>
      <c r="L1192"/>
    </row>
    <row r="1193" spans="1:12" ht="14.4" customHeight="1" x14ac:dyDescent="0.3">
      <c r="A1193"/>
      <c r="L1193"/>
    </row>
    <row r="1194" spans="1:12" x14ac:dyDescent="0.3">
      <c r="A1194"/>
      <c r="L1194"/>
    </row>
    <row r="1195" spans="1:12" ht="14.4" customHeight="1" x14ac:dyDescent="0.3">
      <c r="A1195"/>
      <c r="L1195"/>
    </row>
    <row r="1196" spans="1:12" ht="14.4" customHeight="1" x14ac:dyDescent="0.3">
      <c r="A1196"/>
      <c r="L1196"/>
    </row>
    <row r="1197" spans="1:12" ht="14.4" customHeight="1" x14ac:dyDescent="0.3">
      <c r="A1197"/>
      <c r="L1197"/>
    </row>
    <row r="1198" spans="1:12" x14ac:dyDescent="0.3">
      <c r="A1198"/>
      <c r="L1198"/>
    </row>
    <row r="1199" spans="1:12" ht="14.4" customHeight="1" x14ac:dyDescent="0.3">
      <c r="A1199"/>
      <c r="L1199"/>
    </row>
    <row r="1200" spans="1:12" ht="14.4" customHeight="1" x14ac:dyDescent="0.3">
      <c r="A1200"/>
      <c r="L1200"/>
    </row>
    <row r="1201" spans="1:12" ht="15.6" customHeight="1" x14ac:dyDescent="0.3">
      <c r="A1201"/>
      <c r="L1201"/>
    </row>
    <row r="1202" spans="1:12" x14ac:dyDescent="0.3">
      <c r="A1202"/>
      <c r="L1202"/>
    </row>
    <row r="1203" spans="1:12" ht="15.6" customHeight="1" x14ac:dyDescent="0.3">
      <c r="A1203"/>
      <c r="L1203"/>
    </row>
    <row r="1204" spans="1:12" x14ac:dyDescent="0.3">
      <c r="A1204"/>
      <c r="L1204"/>
    </row>
    <row r="1205" spans="1:12" ht="14.4" customHeight="1" x14ac:dyDescent="0.3">
      <c r="A1205"/>
      <c r="L1205"/>
    </row>
    <row r="1206" spans="1:12" x14ac:dyDescent="0.3">
      <c r="A1206"/>
      <c r="L1206"/>
    </row>
    <row r="1207" spans="1:12" ht="15.6" customHeight="1" x14ac:dyDescent="0.3">
      <c r="A1207"/>
      <c r="L1207"/>
    </row>
    <row r="1208" spans="1:12" x14ac:dyDescent="0.3">
      <c r="A1208"/>
      <c r="L1208"/>
    </row>
    <row r="1209" spans="1:12" x14ac:dyDescent="0.3">
      <c r="A1209"/>
      <c r="L1209"/>
    </row>
    <row r="1210" spans="1:12" ht="14.4" customHeight="1" x14ac:dyDescent="0.3">
      <c r="A1210"/>
      <c r="L1210"/>
    </row>
    <row r="1211" spans="1:12" ht="14.4" customHeight="1" x14ac:dyDescent="0.3">
      <c r="A1211"/>
      <c r="L1211"/>
    </row>
    <row r="1212" spans="1:12" ht="14.4" customHeight="1" x14ac:dyDescent="0.3">
      <c r="A1212"/>
      <c r="L1212"/>
    </row>
    <row r="1213" spans="1:12" x14ac:dyDescent="0.3">
      <c r="A1213"/>
      <c r="L1213"/>
    </row>
    <row r="1214" spans="1:12" x14ac:dyDescent="0.3">
      <c r="A1214"/>
      <c r="L1214"/>
    </row>
    <row r="1215" spans="1:12" x14ac:dyDescent="0.3">
      <c r="A1215"/>
      <c r="L1215"/>
    </row>
    <row r="1216" spans="1:12" x14ac:dyDescent="0.3">
      <c r="A1216"/>
      <c r="L1216"/>
    </row>
    <row r="1217" spans="1:12" ht="14.4" customHeight="1" x14ac:dyDescent="0.3">
      <c r="A1217"/>
      <c r="L1217"/>
    </row>
    <row r="1218" spans="1:12" ht="14.4" customHeight="1" x14ac:dyDescent="0.3">
      <c r="A1218"/>
      <c r="L1218"/>
    </row>
    <row r="1219" spans="1:12" ht="14.4" customHeight="1" x14ac:dyDescent="0.3">
      <c r="A1219"/>
      <c r="L1219"/>
    </row>
    <row r="1220" spans="1:12" ht="14.4" customHeight="1" x14ac:dyDescent="0.3">
      <c r="A1220"/>
      <c r="L1220"/>
    </row>
    <row r="1221" spans="1:12" ht="14.4" customHeight="1" x14ac:dyDescent="0.3">
      <c r="A1221"/>
      <c r="L1221"/>
    </row>
    <row r="1222" spans="1:12" ht="14.4" customHeight="1" x14ac:dyDescent="0.3">
      <c r="A1222"/>
      <c r="L1222"/>
    </row>
    <row r="1223" spans="1:12" ht="14.4" customHeight="1" x14ac:dyDescent="0.3">
      <c r="A1223"/>
      <c r="L1223"/>
    </row>
    <row r="1224" spans="1:12" ht="14.4" customHeight="1" x14ac:dyDescent="0.3">
      <c r="A1224"/>
      <c r="L1224"/>
    </row>
    <row r="1225" spans="1:12" ht="14.4" customHeight="1" x14ac:dyDescent="0.3">
      <c r="A1225"/>
      <c r="L1225"/>
    </row>
    <row r="1226" spans="1:12" ht="14.4" customHeight="1" x14ac:dyDescent="0.3">
      <c r="A1226"/>
      <c r="L1226"/>
    </row>
    <row r="1227" spans="1:12" ht="14.4" customHeight="1" x14ac:dyDescent="0.3">
      <c r="A1227"/>
      <c r="L1227"/>
    </row>
    <row r="1228" spans="1:12" ht="14.4" customHeight="1" x14ac:dyDescent="0.3">
      <c r="A1228"/>
      <c r="L1228"/>
    </row>
    <row r="1229" spans="1:12" ht="14.4" customHeight="1" x14ac:dyDescent="0.3">
      <c r="A1229"/>
      <c r="L1229"/>
    </row>
    <row r="1230" spans="1:12" ht="14.4" customHeight="1" x14ac:dyDescent="0.3">
      <c r="A1230"/>
      <c r="L1230"/>
    </row>
    <row r="1231" spans="1:12" ht="14.4" customHeight="1" x14ac:dyDescent="0.3">
      <c r="A1231"/>
      <c r="L1231"/>
    </row>
    <row r="1232" spans="1:12" x14ac:dyDescent="0.3">
      <c r="A1232"/>
      <c r="L1232"/>
    </row>
    <row r="1233" spans="1:12" x14ac:dyDescent="0.3">
      <c r="A1233"/>
      <c r="L1233"/>
    </row>
    <row r="1234" spans="1:12" ht="14.4" customHeight="1" x14ac:dyDescent="0.3">
      <c r="A1234"/>
      <c r="L1234"/>
    </row>
    <row r="1235" spans="1:12" ht="14.4" customHeight="1" x14ac:dyDescent="0.3">
      <c r="A1235"/>
      <c r="L1235"/>
    </row>
    <row r="1236" spans="1:12" ht="14.4" customHeight="1" x14ac:dyDescent="0.3">
      <c r="A1236"/>
      <c r="L1236"/>
    </row>
    <row r="1237" spans="1:12" ht="14.4" customHeight="1" x14ac:dyDescent="0.3">
      <c r="A1237"/>
      <c r="L1237"/>
    </row>
    <row r="1238" spans="1:12" ht="14.4" customHeight="1" x14ac:dyDescent="0.3">
      <c r="A1238"/>
      <c r="L1238"/>
    </row>
    <row r="1239" spans="1:12" x14ac:dyDescent="0.3">
      <c r="A1239"/>
      <c r="L1239"/>
    </row>
    <row r="1240" spans="1:12" x14ac:dyDescent="0.3">
      <c r="A1240"/>
      <c r="L1240"/>
    </row>
    <row r="1241" spans="1:12" ht="14.4" customHeight="1" x14ac:dyDescent="0.3">
      <c r="A1241"/>
      <c r="L1241"/>
    </row>
    <row r="1242" spans="1:12" x14ac:dyDescent="0.3">
      <c r="A1242"/>
      <c r="L1242"/>
    </row>
    <row r="1243" spans="1:12" ht="14.4" customHeight="1" x14ac:dyDescent="0.3">
      <c r="A1243"/>
      <c r="L1243"/>
    </row>
    <row r="1244" spans="1:12" x14ac:dyDescent="0.3">
      <c r="A1244"/>
      <c r="L1244"/>
    </row>
    <row r="1245" spans="1:12" ht="14.4" customHeight="1" x14ac:dyDescent="0.3">
      <c r="A1245"/>
      <c r="L1245"/>
    </row>
    <row r="1246" spans="1:12" ht="14.4" customHeight="1" x14ac:dyDescent="0.3">
      <c r="A1246"/>
      <c r="L1246"/>
    </row>
    <row r="1247" spans="1:12" ht="14.4" customHeight="1" x14ac:dyDescent="0.3">
      <c r="A1247"/>
      <c r="L1247"/>
    </row>
    <row r="1248" spans="1:12" ht="14.4" customHeight="1" x14ac:dyDescent="0.3">
      <c r="A1248"/>
      <c r="L1248"/>
    </row>
    <row r="1249" spans="1:12" ht="14.4" customHeight="1" x14ac:dyDescent="0.3">
      <c r="A1249"/>
      <c r="L1249"/>
    </row>
    <row r="1250" spans="1:12" ht="14.4" customHeight="1" x14ac:dyDescent="0.3">
      <c r="A1250"/>
      <c r="L1250"/>
    </row>
    <row r="1251" spans="1:12" ht="28.8" customHeight="1" x14ac:dyDescent="0.3">
      <c r="A1251"/>
      <c r="L1251"/>
    </row>
    <row r="1252" spans="1:12" ht="14.4" customHeight="1" x14ac:dyDescent="0.3">
      <c r="A1252"/>
      <c r="L1252"/>
    </row>
    <row r="1253" spans="1:12" ht="14.4" customHeight="1" x14ac:dyDescent="0.3">
      <c r="A1253"/>
      <c r="L1253"/>
    </row>
    <row r="1254" spans="1:12" x14ac:dyDescent="0.3">
      <c r="A1254"/>
      <c r="L1254"/>
    </row>
    <row r="1255" spans="1:12" ht="14.4" customHeight="1" x14ac:dyDescent="0.3">
      <c r="A1255"/>
      <c r="L1255"/>
    </row>
    <row r="1256" spans="1:12" ht="14.4" customHeight="1" x14ac:dyDescent="0.3">
      <c r="A1256"/>
      <c r="L1256"/>
    </row>
    <row r="1257" spans="1:12" x14ac:dyDescent="0.3">
      <c r="A1257"/>
      <c r="L1257"/>
    </row>
    <row r="1258" spans="1:12" ht="14.4" customHeight="1" x14ac:dyDescent="0.3">
      <c r="A1258"/>
      <c r="L1258"/>
    </row>
    <row r="1259" spans="1:12" x14ac:dyDescent="0.3">
      <c r="A1259"/>
      <c r="L1259"/>
    </row>
    <row r="1260" spans="1:12" x14ac:dyDescent="0.3">
      <c r="A1260"/>
      <c r="L1260"/>
    </row>
    <row r="1261" spans="1:12" x14ac:dyDescent="0.3">
      <c r="A1261"/>
      <c r="L1261"/>
    </row>
    <row r="1262" spans="1:12" x14ac:dyDescent="0.3">
      <c r="A1262"/>
      <c r="L1262"/>
    </row>
    <row r="1263" spans="1:12" x14ac:dyDescent="0.3">
      <c r="A1263"/>
      <c r="L1263"/>
    </row>
    <row r="1264" spans="1:12" x14ac:dyDescent="0.3">
      <c r="A1264"/>
      <c r="L1264"/>
    </row>
    <row r="1265" spans="1:12" x14ac:dyDescent="0.3">
      <c r="A1265"/>
      <c r="L1265"/>
    </row>
    <row r="1266" spans="1:12" x14ac:dyDescent="0.3">
      <c r="A1266"/>
      <c r="L1266"/>
    </row>
    <row r="1267" spans="1:12" x14ac:dyDescent="0.3">
      <c r="A1267"/>
      <c r="L1267"/>
    </row>
    <row r="1268" spans="1:12" x14ac:dyDescent="0.3">
      <c r="A1268"/>
      <c r="L1268"/>
    </row>
    <row r="1269" spans="1:12" x14ac:dyDescent="0.3">
      <c r="A1269"/>
      <c r="L1269"/>
    </row>
    <row r="1270" spans="1:12" x14ac:dyDescent="0.3">
      <c r="A1270"/>
      <c r="L1270"/>
    </row>
    <row r="1271" spans="1:12" x14ac:dyDescent="0.3">
      <c r="A1271"/>
      <c r="L1271"/>
    </row>
    <row r="1272" spans="1:12" x14ac:dyDescent="0.3">
      <c r="A1272"/>
      <c r="L1272"/>
    </row>
    <row r="1273" spans="1:12" x14ac:dyDescent="0.3">
      <c r="A1273"/>
      <c r="L1273"/>
    </row>
    <row r="1274" spans="1:12" x14ac:dyDescent="0.3">
      <c r="A1274"/>
      <c r="L1274"/>
    </row>
    <row r="1275" spans="1:12" x14ac:dyDescent="0.3">
      <c r="A1275"/>
      <c r="L1275"/>
    </row>
    <row r="1276" spans="1:12" x14ac:dyDescent="0.3">
      <c r="A1276"/>
      <c r="L1276"/>
    </row>
    <row r="1277" spans="1:12" ht="14.4" customHeight="1" x14ac:dyDescent="0.3">
      <c r="A1277"/>
      <c r="L1277"/>
    </row>
    <row r="1278" spans="1:12" ht="14.4" customHeight="1" x14ac:dyDescent="0.3">
      <c r="A1278"/>
      <c r="L1278"/>
    </row>
    <row r="1279" spans="1:12" x14ac:dyDescent="0.3">
      <c r="A1279"/>
      <c r="L1279"/>
    </row>
    <row r="1280" spans="1:12" x14ac:dyDescent="0.3">
      <c r="A1280"/>
      <c r="L1280"/>
    </row>
    <row r="1281" spans="1:12" x14ac:dyDescent="0.3">
      <c r="A1281"/>
      <c r="L1281"/>
    </row>
    <row r="1282" spans="1:12" x14ac:dyDescent="0.3">
      <c r="A1282"/>
      <c r="L1282"/>
    </row>
    <row r="1283" spans="1:12" x14ac:dyDescent="0.3">
      <c r="A1283"/>
      <c r="L1283"/>
    </row>
    <row r="1284" spans="1:12" x14ac:dyDescent="0.3">
      <c r="A1284"/>
      <c r="L1284"/>
    </row>
    <row r="1285" spans="1:12" x14ac:dyDescent="0.3">
      <c r="A1285"/>
      <c r="L1285"/>
    </row>
    <row r="1286" spans="1:12" x14ac:dyDescent="0.3">
      <c r="A1286"/>
      <c r="L1286"/>
    </row>
    <row r="1287" spans="1:12" x14ac:dyDescent="0.3">
      <c r="A1287"/>
      <c r="L1287"/>
    </row>
    <row r="1288" spans="1:12" x14ac:dyDescent="0.3">
      <c r="A1288"/>
      <c r="L1288"/>
    </row>
    <row r="1289" spans="1:12" x14ac:dyDescent="0.3">
      <c r="A1289"/>
      <c r="L1289"/>
    </row>
    <row r="1290" spans="1:12" ht="14.4" customHeight="1" x14ac:dyDescent="0.3">
      <c r="A1290"/>
      <c r="L1290"/>
    </row>
    <row r="1291" spans="1:12" x14ac:dyDescent="0.3">
      <c r="A1291"/>
      <c r="L1291"/>
    </row>
    <row r="1292" spans="1:12" x14ac:dyDescent="0.3">
      <c r="A1292"/>
      <c r="L1292"/>
    </row>
    <row r="1293" spans="1:12" x14ac:dyDescent="0.3">
      <c r="A1293"/>
      <c r="L1293"/>
    </row>
    <row r="1294" spans="1:12" x14ac:dyDescent="0.3">
      <c r="A1294"/>
      <c r="L1294"/>
    </row>
    <row r="1295" spans="1:12" x14ac:dyDescent="0.3">
      <c r="A1295"/>
      <c r="L1295"/>
    </row>
    <row r="1296" spans="1:12" ht="14.4" customHeight="1" x14ac:dyDescent="0.3">
      <c r="A1296"/>
      <c r="L1296"/>
    </row>
    <row r="1297" spans="1:12" ht="14.4" customHeight="1" x14ac:dyDescent="0.3">
      <c r="A1297"/>
      <c r="L1297"/>
    </row>
    <row r="1298" spans="1:12" ht="14.4" customHeight="1" x14ac:dyDescent="0.3">
      <c r="A1298"/>
      <c r="L1298"/>
    </row>
    <row r="1299" spans="1:12" ht="14.4" customHeight="1" x14ac:dyDescent="0.3">
      <c r="A1299"/>
      <c r="L1299"/>
    </row>
    <row r="1300" spans="1:12" ht="14.4" customHeight="1" x14ac:dyDescent="0.3">
      <c r="A1300"/>
      <c r="L1300"/>
    </row>
    <row r="1301" spans="1:12" ht="14.4" customHeight="1" x14ac:dyDescent="0.3">
      <c r="A1301"/>
      <c r="L1301"/>
    </row>
    <row r="1302" spans="1:12" ht="14.4" customHeight="1" x14ac:dyDescent="0.3">
      <c r="A1302"/>
      <c r="L1302"/>
    </row>
    <row r="1303" spans="1:12" ht="14.4" customHeight="1" x14ac:dyDescent="0.3">
      <c r="A1303"/>
      <c r="L1303"/>
    </row>
    <row r="1304" spans="1:12" ht="14.4" customHeight="1" x14ac:dyDescent="0.3">
      <c r="A1304"/>
      <c r="L1304"/>
    </row>
    <row r="1305" spans="1:12" ht="14.4" customHeight="1" x14ac:dyDescent="0.3">
      <c r="A1305"/>
      <c r="L1305"/>
    </row>
    <row r="1306" spans="1:12" ht="14.4" customHeight="1" x14ac:dyDescent="0.3">
      <c r="A1306"/>
      <c r="L1306"/>
    </row>
    <row r="1307" spans="1:12" ht="14.4" customHeight="1" x14ac:dyDescent="0.3">
      <c r="A1307"/>
      <c r="L1307"/>
    </row>
    <row r="1308" spans="1:12" ht="14.4" customHeight="1" x14ac:dyDescent="0.3">
      <c r="A1308"/>
      <c r="L1308"/>
    </row>
    <row r="1309" spans="1:12" ht="14.4" customHeight="1" x14ac:dyDescent="0.3">
      <c r="A1309"/>
      <c r="L1309"/>
    </row>
    <row r="1310" spans="1:12" ht="14.4" customHeight="1" x14ac:dyDescent="0.3">
      <c r="A1310"/>
      <c r="L1310"/>
    </row>
    <row r="1311" spans="1:12" ht="14.4" customHeight="1" x14ac:dyDescent="0.3">
      <c r="A1311"/>
      <c r="L1311"/>
    </row>
    <row r="1312" spans="1:12" ht="14.4" customHeight="1" x14ac:dyDescent="0.3">
      <c r="A1312"/>
      <c r="L1312"/>
    </row>
    <row r="1313" spans="1:12" ht="14.4" customHeight="1" x14ac:dyDescent="0.3">
      <c r="A1313"/>
      <c r="L1313"/>
    </row>
    <row r="1314" spans="1:12" ht="14.4" customHeight="1" x14ac:dyDescent="0.3">
      <c r="A1314"/>
      <c r="L1314"/>
    </row>
    <row r="1315" spans="1:12" ht="14.4" customHeight="1" x14ac:dyDescent="0.3">
      <c r="A1315"/>
      <c r="L1315"/>
    </row>
    <row r="1316" spans="1:12" ht="14.4" customHeight="1" x14ac:dyDescent="0.3">
      <c r="A1316"/>
      <c r="L1316"/>
    </row>
    <row r="1317" spans="1:12" ht="14.4" customHeight="1" x14ac:dyDescent="0.3">
      <c r="A1317"/>
      <c r="L1317"/>
    </row>
    <row r="1318" spans="1:12" ht="14.4" customHeight="1" x14ac:dyDescent="0.3">
      <c r="A1318"/>
      <c r="L1318"/>
    </row>
    <row r="1319" spans="1:12" ht="14.4" customHeight="1" x14ac:dyDescent="0.3">
      <c r="A1319"/>
      <c r="L1319"/>
    </row>
    <row r="1320" spans="1:12" ht="14.4" customHeight="1" x14ac:dyDescent="0.3">
      <c r="A1320"/>
      <c r="L1320"/>
    </row>
    <row r="1321" spans="1:12" ht="14.4" customHeight="1" x14ac:dyDescent="0.3">
      <c r="A1321"/>
      <c r="L1321"/>
    </row>
    <row r="1322" spans="1:12" ht="14.4" customHeight="1" x14ac:dyDescent="0.3">
      <c r="A1322"/>
      <c r="L1322"/>
    </row>
    <row r="1323" spans="1:12" ht="14.4" customHeight="1" x14ac:dyDescent="0.3">
      <c r="A1323"/>
      <c r="L1323"/>
    </row>
    <row r="1324" spans="1:12" ht="14.4" customHeight="1" x14ac:dyDescent="0.3">
      <c r="A1324"/>
      <c r="L1324"/>
    </row>
    <row r="1325" spans="1:12" ht="14.4" customHeight="1" x14ac:dyDescent="0.3">
      <c r="A1325"/>
      <c r="L1325"/>
    </row>
    <row r="1326" spans="1:12" ht="14.4" customHeight="1" x14ac:dyDescent="0.3">
      <c r="A1326"/>
      <c r="L1326"/>
    </row>
    <row r="1327" spans="1:12" ht="14.4" customHeight="1" x14ac:dyDescent="0.3">
      <c r="A1327"/>
      <c r="L1327"/>
    </row>
    <row r="1328" spans="1:12" ht="14.4" customHeight="1" x14ac:dyDescent="0.3">
      <c r="A1328"/>
      <c r="L1328"/>
    </row>
    <row r="1329" spans="1:12" ht="14.4" customHeight="1" x14ac:dyDescent="0.3">
      <c r="A1329"/>
      <c r="L1329"/>
    </row>
    <row r="1330" spans="1:12" ht="14.4" customHeight="1" x14ac:dyDescent="0.3">
      <c r="A1330"/>
      <c r="L1330"/>
    </row>
    <row r="1331" spans="1:12" ht="14.4" customHeight="1" x14ac:dyDescent="0.3">
      <c r="A1331"/>
      <c r="L1331"/>
    </row>
    <row r="1332" spans="1:12" ht="14.4" customHeight="1" x14ac:dyDescent="0.3">
      <c r="A1332"/>
      <c r="L1332"/>
    </row>
    <row r="1333" spans="1:12" ht="14.4" customHeight="1" x14ac:dyDescent="0.3">
      <c r="A1333"/>
      <c r="L1333"/>
    </row>
    <row r="1334" spans="1:12" ht="14.4" customHeight="1" x14ac:dyDescent="0.3">
      <c r="A1334"/>
      <c r="L1334"/>
    </row>
    <row r="1335" spans="1:12" ht="14.4" customHeight="1" x14ac:dyDescent="0.3">
      <c r="A1335"/>
      <c r="L1335"/>
    </row>
    <row r="1336" spans="1:12" ht="14.4" customHeight="1" x14ac:dyDescent="0.3">
      <c r="A1336"/>
      <c r="L1336"/>
    </row>
    <row r="1337" spans="1:12" ht="14.4" customHeight="1" x14ac:dyDescent="0.3">
      <c r="A1337"/>
      <c r="L1337"/>
    </row>
    <row r="1338" spans="1:12" ht="14.4" customHeight="1" x14ac:dyDescent="0.3">
      <c r="A1338"/>
      <c r="L1338"/>
    </row>
    <row r="1339" spans="1:12" ht="14.4" customHeight="1" x14ac:dyDescent="0.3">
      <c r="A1339"/>
      <c r="L1339"/>
    </row>
    <row r="1340" spans="1:12" ht="14.4" customHeight="1" x14ac:dyDescent="0.3">
      <c r="A1340"/>
      <c r="L1340"/>
    </row>
    <row r="1341" spans="1:12" ht="14.4" customHeight="1" x14ac:dyDescent="0.3">
      <c r="A1341"/>
      <c r="L1341"/>
    </row>
    <row r="1342" spans="1:12" ht="14.4" customHeight="1" x14ac:dyDescent="0.3">
      <c r="A1342"/>
      <c r="L1342"/>
    </row>
    <row r="1343" spans="1:12" ht="14.4" customHeight="1" x14ac:dyDescent="0.3">
      <c r="A1343"/>
      <c r="L1343"/>
    </row>
    <row r="1344" spans="1:12" ht="14.4" customHeight="1" x14ac:dyDescent="0.3">
      <c r="A1344"/>
      <c r="L1344"/>
    </row>
    <row r="1345" spans="1:12" ht="14.4" customHeight="1" x14ac:dyDescent="0.3">
      <c r="A1345"/>
      <c r="L1345"/>
    </row>
    <row r="1346" spans="1:12" ht="14.4" customHeight="1" x14ac:dyDescent="0.3">
      <c r="A1346"/>
      <c r="L1346"/>
    </row>
    <row r="1347" spans="1:12" ht="14.4" customHeight="1" x14ac:dyDescent="0.3">
      <c r="A1347"/>
      <c r="L1347"/>
    </row>
    <row r="1348" spans="1:12" ht="14.4" customHeight="1" x14ac:dyDescent="0.3">
      <c r="A1348"/>
      <c r="L1348"/>
    </row>
    <row r="1349" spans="1:12" ht="14.4" customHeight="1" x14ac:dyDescent="0.3">
      <c r="A1349"/>
      <c r="L1349"/>
    </row>
    <row r="1350" spans="1:12" ht="14.4" customHeight="1" x14ac:dyDescent="0.3">
      <c r="A1350"/>
      <c r="L1350"/>
    </row>
    <row r="1351" spans="1:12" ht="14.4" customHeight="1" x14ac:dyDescent="0.3">
      <c r="A1351"/>
      <c r="L1351"/>
    </row>
    <row r="1352" spans="1:12" ht="14.4" customHeight="1" x14ac:dyDescent="0.3">
      <c r="A1352"/>
      <c r="L1352"/>
    </row>
    <row r="1353" spans="1:12" ht="14.4" customHeight="1" x14ac:dyDescent="0.3">
      <c r="A1353"/>
      <c r="L1353"/>
    </row>
    <row r="1354" spans="1:12" ht="14.4" customHeight="1" x14ac:dyDescent="0.3">
      <c r="A1354"/>
      <c r="L1354"/>
    </row>
    <row r="1355" spans="1:12" ht="14.4" customHeight="1" x14ac:dyDescent="0.3">
      <c r="A1355"/>
      <c r="L1355"/>
    </row>
    <row r="1356" spans="1:12" ht="14.4" customHeight="1" x14ac:dyDescent="0.3">
      <c r="A1356"/>
      <c r="L1356"/>
    </row>
    <row r="1357" spans="1:12" ht="14.4" customHeight="1" x14ac:dyDescent="0.3">
      <c r="A1357"/>
      <c r="L1357"/>
    </row>
    <row r="1358" spans="1:12" ht="14.4" customHeight="1" x14ac:dyDescent="0.3">
      <c r="A1358"/>
      <c r="L1358"/>
    </row>
    <row r="1359" spans="1:12" ht="14.4" customHeight="1" x14ac:dyDescent="0.3">
      <c r="A1359"/>
      <c r="L1359"/>
    </row>
    <row r="1360" spans="1:12" ht="14.4" customHeight="1" x14ac:dyDescent="0.3">
      <c r="A1360"/>
      <c r="L1360"/>
    </row>
    <row r="1361" spans="1:12" ht="14.4" customHeight="1" x14ac:dyDescent="0.3">
      <c r="A1361"/>
      <c r="L1361"/>
    </row>
    <row r="1362" spans="1:12" ht="14.4" customHeight="1" x14ac:dyDescent="0.3">
      <c r="A1362"/>
      <c r="L1362"/>
    </row>
    <row r="1363" spans="1:12" ht="14.4" customHeight="1" x14ac:dyDescent="0.3">
      <c r="A1363"/>
      <c r="L1363"/>
    </row>
    <row r="1364" spans="1:12" ht="14.4" customHeight="1" x14ac:dyDescent="0.3">
      <c r="A1364"/>
      <c r="L1364"/>
    </row>
    <row r="1365" spans="1:12" ht="14.4" customHeight="1" x14ac:dyDescent="0.3">
      <c r="A1365"/>
      <c r="L1365"/>
    </row>
    <row r="1366" spans="1:12" ht="14.4" customHeight="1" x14ac:dyDescent="0.3">
      <c r="A1366"/>
      <c r="L1366"/>
    </row>
    <row r="1367" spans="1:12" ht="14.4" customHeight="1" x14ac:dyDescent="0.3">
      <c r="A1367"/>
      <c r="L1367"/>
    </row>
    <row r="1368" spans="1:12" ht="14.4" customHeight="1" x14ac:dyDescent="0.3">
      <c r="A1368"/>
      <c r="L1368"/>
    </row>
    <row r="1369" spans="1:12" ht="14.4" customHeight="1" x14ac:dyDescent="0.3">
      <c r="A1369"/>
      <c r="L1369"/>
    </row>
    <row r="1370" spans="1:12" ht="14.4" customHeight="1" x14ac:dyDescent="0.3">
      <c r="A1370"/>
      <c r="L1370"/>
    </row>
    <row r="1371" spans="1:12" ht="14.4" customHeight="1" x14ac:dyDescent="0.3">
      <c r="A1371"/>
      <c r="L1371"/>
    </row>
    <row r="1372" spans="1:12" ht="14.4" customHeight="1" x14ac:dyDescent="0.3">
      <c r="A1372"/>
      <c r="L1372"/>
    </row>
    <row r="1373" spans="1:12" ht="14.4" customHeight="1" x14ac:dyDescent="0.3">
      <c r="A1373"/>
      <c r="L1373"/>
    </row>
    <row r="1374" spans="1:12" ht="14.4" customHeight="1" x14ac:dyDescent="0.3">
      <c r="A1374"/>
      <c r="L1374"/>
    </row>
    <row r="1375" spans="1:12" ht="14.4" customHeight="1" x14ac:dyDescent="0.3">
      <c r="A1375"/>
      <c r="L1375"/>
    </row>
    <row r="1376" spans="1:12" ht="14.4" customHeight="1" x14ac:dyDescent="0.3">
      <c r="A1376"/>
      <c r="L1376"/>
    </row>
    <row r="1377" spans="1:12" ht="14.4" customHeight="1" x14ac:dyDescent="0.3">
      <c r="A1377"/>
      <c r="L1377"/>
    </row>
    <row r="1378" spans="1:12" ht="14.4" customHeight="1" x14ac:dyDescent="0.3">
      <c r="A1378"/>
      <c r="L1378"/>
    </row>
    <row r="1379" spans="1:12" ht="14.4" customHeight="1" x14ac:dyDescent="0.3">
      <c r="A1379"/>
      <c r="L1379"/>
    </row>
    <row r="1380" spans="1:12" ht="14.4" customHeight="1" x14ac:dyDescent="0.3">
      <c r="A1380"/>
      <c r="L1380"/>
    </row>
    <row r="1381" spans="1:12" ht="14.4" customHeight="1" x14ac:dyDescent="0.3">
      <c r="A1381"/>
      <c r="L1381"/>
    </row>
    <row r="1382" spans="1:12" ht="14.4" customHeight="1" x14ac:dyDescent="0.3">
      <c r="A1382"/>
      <c r="L1382"/>
    </row>
    <row r="1383" spans="1:12" ht="14.4" customHeight="1" x14ac:dyDescent="0.3">
      <c r="A1383"/>
      <c r="L1383"/>
    </row>
    <row r="1384" spans="1:12" ht="14.4" customHeight="1" x14ac:dyDescent="0.3">
      <c r="A1384"/>
      <c r="L1384"/>
    </row>
    <row r="1385" spans="1:12" ht="14.4" customHeight="1" x14ac:dyDescent="0.3">
      <c r="A1385"/>
      <c r="L1385"/>
    </row>
    <row r="1386" spans="1:12" ht="14.4" customHeight="1" x14ac:dyDescent="0.3">
      <c r="A1386"/>
      <c r="L1386"/>
    </row>
    <row r="1387" spans="1:12" ht="14.4" customHeight="1" x14ac:dyDescent="0.3">
      <c r="A1387"/>
      <c r="L1387"/>
    </row>
    <row r="1388" spans="1:12" ht="14.4" customHeight="1" x14ac:dyDescent="0.3">
      <c r="A1388"/>
      <c r="L1388"/>
    </row>
    <row r="1389" spans="1:12" ht="14.4" customHeight="1" x14ac:dyDescent="0.3">
      <c r="A1389"/>
      <c r="L1389"/>
    </row>
    <row r="1390" spans="1:12" ht="14.4" customHeight="1" x14ac:dyDescent="0.3">
      <c r="A1390"/>
      <c r="L1390"/>
    </row>
    <row r="1391" spans="1:12" ht="14.4" customHeight="1" x14ac:dyDescent="0.3">
      <c r="A1391"/>
      <c r="L1391"/>
    </row>
    <row r="1392" spans="1:12" ht="14.4" customHeight="1" x14ac:dyDescent="0.3">
      <c r="A1392"/>
      <c r="L1392"/>
    </row>
    <row r="1393" spans="1:12" ht="14.4" customHeight="1" x14ac:dyDescent="0.3">
      <c r="A1393"/>
      <c r="L1393"/>
    </row>
    <row r="1394" spans="1:12" ht="14.4" customHeight="1" x14ac:dyDescent="0.3">
      <c r="A1394"/>
      <c r="L1394"/>
    </row>
    <row r="1395" spans="1:12" ht="14.4" customHeight="1" x14ac:dyDescent="0.3">
      <c r="A1395"/>
      <c r="L1395"/>
    </row>
    <row r="1396" spans="1:12" ht="14.4" customHeight="1" x14ac:dyDescent="0.3">
      <c r="A1396"/>
      <c r="L1396"/>
    </row>
    <row r="1397" spans="1:12" ht="14.4" customHeight="1" x14ac:dyDescent="0.3">
      <c r="A1397"/>
      <c r="L1397"/>
    </row>
    <row r="1398" spans="1:12" ht="14.4" customHeight="1" x14ac:dyDescent="0.3">
      <c r="A1398"/>
      <c r="L1398"/>
    </row>
    <row r="1399" spans="1:12" ht="14.4" customHeight="1" x14ac:dyDescent="0.3">
      <c r="A1399"/>
      <c r="L1399"/>
    </row>
    <row r="1400" spans="1:12" ht="14.4" customHeight="1" x14ac:dyDescent="0.3">
      <c r="A1400"/>
      <c r="L1400"/>
    </row>
    <row r="1401" spans="1:12" ht="14.4" customHeight="1" x14ac:dyDescent="0.3">
      <c r="A1401"/>
      <c r="L1401"/>
    </row>
    <row r="1402" spans="1:12" ht="14.4" customHeight="1" x14ac:dyDescent="0.3">
      <c r="A1402"/>
      <c r="L1402"/>
    </row>
    <row r="1403" spans="1:12" ht="14.4" customHeight="1" x14ac:dyDescent="0.3">
      <c r="A1403"/>
      <c r="L1403"/>
    </row>
    <row r="1404" spans="1:12" ht="14.4" customHeight="1" x14ac:dyDescent="0.3">
      <c r="A1404"/>
      <c r="L1404"/>
    </row>
    <row r="1405" spans="1:12" ht="14.4" customHeight="1" x14ac:dyDescent="0.3">
      <c r="A1405"/>
      <c r="L1405"/>
    </row>
    <row r="1406" spans="1:12" ht="14.4" customHeight="1" x14ac:dyDescent="0.3">
      <c r="A1406"/>
      <c r="L1406"/>
    </row>
    <row r="1407" spans="1:12" ht="14.4" customHeight="1" x14ac:dyDescent="0.3">
      <c r="A1407"/>
      <c r="L1407"/>
    </row>
    <row r="1408" spans="1:12" ht="14.4" customHeight="1" x14ac:dyDescent="0.3">
      <c r="A1408"/>
      <c r="L1408"/>
    </row>
    <row r="1409" spans="1:12" ht="14.4" customHeight="1" x14ac:dyDescent="0.3">
      <c r="A1409"/>
      <c r="L1409"/>
    </row>
    <row r="1410" spans="1:12" ht="14.4" customHeight="1" x14ac:dyDescent="0.3">
      <c r="A1410"/>
      <c r="L1410"/>
    </row>
    <row r="1411" spans="1:12" ht="14.4" customHeight="1" x14ac:dyDescent="0.3">
      <c r="A1411"/>
      <c r="L1411"/>
    </row>
    <row r="1412" spans="1:12" ht="14.4" customHeight="1" x14ac:dyDescent="0.3">
      <c r="A1412"/>
      <c r="L1412"/>
    </row>
    <row r="1413" spans="1:12" ht="14.4" customHeight="1" x14ac:dyDescent="0.3">
      <c r="A1413"/>
      <c r="L1413"/>
    </row>
    <row r="1414" spans="1:12" ht="14.4" customHeight="1" x14ac:dyDescent="0.3">
      <c r="A1414"/>
      <c r="L1414"/>
    </row>
    <row r="1415" spans="1:12" ht="14.4" customHeight="1" x14ac:dyDescent="0.3">
      <c r="A1415"/>
      <c r="L1415"/>
    </row>
    <row r="1416" spans="1:12" ht="14.4" customHeight="1" x14ac:dyDescent="0.3">
      <c r="A1416"/>
      <c r="L1416"/>
    </row>
    <row r="1417" spans="1:12" ht="14.4" customHeight="1" x14ac:dyDescent="0.3">
      <c r="A1417"/>
      <c r="L1417"/>
    </row>
    <row r="1418" spans="1:12" ht="14.4" customHeight="1" x14ac:dyDescent="0.3">
      <c r="A1418"/>
      <c r="L1418"/>
    </row>
    <row r="1419" spans="1:12" ht="14.4" customHeight="1" x14ac:dyDescent="0.3">
      <c r="A1419"/>
      <c r="L1419"/>
    </row>
    <row r="1420" spans="1:12" ht="14.4" customHeight="1" x14ac:dyDescent="0.3">
      <c r="A1420"/>
      <c r="L1420"/>
    </row>
    <row r="1421" spans="1:12" ht="14.4" customHeight="1" x14ac:dyDescent="0.3">
      <c r="A1421"/>
      <c r="L1421"/>
    </row>
    <row r="1422" spans="1:12" ht="14.4" customHeight="1" x14ac:dyDescent="0.3">
      <c r="A1422"/>
      <c r="L1422"/>
    </row>
    <row r="1423" spans="1:12" ht="14.4" customHeight="1" x14ac:dyDescent="0.3">
      <c r="A1423"/>
      <c r="L1423"/>
    </row>
    <row r="1424" spans="1:12" ht="14.4" customHeight="1" x14ac:dyDescent="0.3">
      <c r="A1424"/>
      <c r="L1424"/>
    </row>
    <row r="1425" spans="1:12" ht="14.4" customHeight="1" x14ac:dyDescent="0.3">
      <c r="A1425"/>
      <c r="L1425"/>
    </row>
    <row r="1426" spans="1:12" ht="14.4" customHeight="1" x14ac:dyDescent="0.3">
      <c r="A1426"/>
      <c r="L1426"/>
    </row>
    <row r="1427" spans="1:12" ht="14.4" customHeight="1" x14ac:dyDescent="0.3">
      <c r="A1427"/>
      <c r="L1427"/>
    </row>
    <row r="1428" spans="1:12" ht="14.4" customHeight="1" x14ac:dyDescent="0.3">
      <c r="A1428"/>
      <c r="L1428"/>
    </row>
    <row r="1429" spans="1:12" ht="14.4" customHeight="1" x14ac:dyDescent="0.3">
      <c r="A1429"/>
      <c r="L1429"/>
    </row>
    <row r="1430" spans="1:12" ht="14.4" customHeight="1" x14ac:dyDescent="0.3">
      <c r="A1430"/>
      <c r="L1430"/>
    </row>
    <row r="1431" spans="1:12" ht="14.4" customHeight="1" x14ac:dyDescent="0.3">
      <c r="A1431"/>
      <c r="L1431"/>
    </row>
    <row r="1432" spans="1:12" ht="14.4" customHeight="1" x14ac:dyDescent="0.3">
      <c r="A1432"/>
      <c r="L1432"/>
    </row>
    <row r="1433" spans="1:12" ht="14.4" customHeight="1" x14ac:dyDescent="0.3">
      <c r="A1433"/>
      <c r="L1433"/>
    </row>
    <row r="1434" spans="1:12" ht="14.4" customHeight="1" x14ac:dyDescent="0.3">
      <c r="A1434"/>
      <c r="L1434"/>
    </row>
    <row r="1435" spans="1:12" ht="14.4" customHeight="1" x14ac:dyDescent="0.3">
      <c r="A1435"/>
      <c r="L1435"/>
    </row>
    <row r="1436" spans="1:12" ht="14.4" customHeight="1" x14ac:dyDescent="0.3">
      <c r="A1436"/>
      <c r="L1436"/>
    </row>
    <row r="1437" spans="1:12" ht="14.4" customHeight="1" x14ac:dyDescent="0.3">
      <c r="A1437"/>
      <c r="L1437"/>
    </row>
    <row r="1438" spans="1:12" ht="14.4" customHeight="1" x14ac:dyDescent="0.3">
      <c r="A1438"/>
      <c r="L1438"/>
    </row>
    <row r="1439" spans="1:12" ht="14.4" customHeight="1" x14ac:dyDescent="0.3">
      <c r="A1439"/>
      <c r="L1439"/>
    </row>
    <row r="1440" spans="1:12" ht="14.4" customHeight="1" x14ac:dyDescent="0.3">
      <c r="A1440"/>
      <c r="L1440"/>
    </row>
    <row r="1441" spans="1:12" ht="14.4" customHeight="1" x14ac:dyDescent="0.3">
      <c r="A1441"/>
      <c r="L1441"/>
    </row>
    <row r="1442" spans="1:12" ht="14.4" customHeight="1" x14ac:dyDescent="0.3">
      <c r="A1442"/>
      <c r="L1442"/>
    </row>
    <row r="1443" spans="1:12" ht="14.4" customHeight="1" x14ac:dyDescent="0.3">
      <c r="A1443"/>
      <c r="L1443"/>
    </row>
    <row r="1444" spans="1:12" ht="14.4" customHeight="1" x14ac:dyDescent="0.3">
      <c r="A1444"/>
      <c r="L1444"/>
    </row>
    <row r="1445" spans="1:12" ht="14.4" customHeight="1" x14ac:dyDescent="0.3">
      <c r="A1445"/>
      <c r="L1445"/>
    </row>
    <row r="1446" spans="1:12" ht="14.4" customHeight="1" x14ac:dyDescent="0.3">
      <c r="A1446"/>
      <c r="L1446"/>
    </row>
    <row r="1447" spans="1:12" ht="14.4" customHeight="1" x14ac:dyDescent="0.3">
      <c r="A1447"/>
      <c r="L1447"/>
    </row>
    <row r="1448" spans="1:12" ht="14.4" customHeight="1" x14ac:dyDescent="0.3">
      <c r="A1448"/>
      <c r="L1448"/>
    </row>
    <row r="1449" spans="1:12" ht="14.4" customHeight="1" x14ac:dyDescent="0.3">
      <c r="A1449"/>
      <c r="L1449"/>
    </row>
    <row r="1450" spans="1:12" ht="14.4" customHeight="1" x14ac:dyDescent="0.3">
      <c r="A1450"/>
      <c r="L1450"/>
    </row>
    <row r="1451" spans="1:12" ht="14.4" customHeight="1" x14ac:dyDescent="0.3">
      <c r="A1451"/>
      <c r="L1451"/>
    </row>
    <row r="1452" spans="1:12" ht="14.4" customHeight="1" x14ac:dyDescent="0.3">
      <c r="A1452"/>
      <c r="L1452"/>
    </row>
    <row r="1453" spans="1:12" ht="14.4" customHeight="1" x14ac:dyDescent="0.3">
      <c r="A1453"/>
      <c r="L1453"/>
    </row>
    <row r="1454" spans="1:12" ht="14.4" customHeight="1" x14ac:dyDescent="0.3">
      <c r="A1454"/>
      <c r="L1454"/>
    </row>
    <row r="1455" spans="1:12" ht="14.4" customHeight="1" x14ac:dyDescent="0.3">
      <c r="A1455"/>
      <c r="L1455"/>
    </row>
    <row r="1456" spans="1:12" ht="14.4" customHeight="1" x14ac:dyDescent="0.3">
      <c r="A1456"/>
      <c r="L1456"/>
    </row>
    <row r="1457" spans="1:12" ht="14.4" customHeight="1" x14ac:dyDescent="0.3">
      <c r="A1457"/>
      <c r="L1457"/>
    </row>
    <row r="1458" spans="1:12" ht="14.4" customHeight="1" x14ac:dyDescent="0.3">
      <c r="A1458"/>
      <c r="L1458"/>
    </row>
    <row r="1459" spans="1:12" ht="14.4" customHeight="1" x14ac:dyDescent="0.3">
      <c r="A1459"/>
      <c r="L1459"/>
    </row>
    <row r="1460" spans="1:12" ht="14.4" customHeight="1" x14ac:dyDescent="0.3">
      <c r="A1460"/>
      <c r="L1460"/>
    </row>
    <row r="1461" spans="1:12" ht="14.4" customHeight="1" x14ac:dyDescent="0.3">
      <c r="A1461"/>
      <c r="L1461"/>
    </row>
    <row r="1462" spans="1:12" ht="14.4" customHeight="1" x14ac:dyDescent="0.3">
      <c r="A1462"/>
      <c r="L1462"/>
    </row>
    <row r="1463" spans="1:12" ht="14.4" customHeight="1" x14ac:dyDescent="0.3">
      <c r="A1463"/>
      <c r="L1463"/>
    </row>
    <row r="1464" spans="1:12" ht="14.4" customHeight="1" x14ac:dyDescent="0.3">
      <c r="A1464"/>
      <c r="L1464"/>
    </row>
    <row r="1465" spans="1:12" ht="14.4" customHeight="1" x14ac:dyDescent="0.3">
      <c r="A1465"/>
      <c r="L1465"/>
    </row>
    <row r="1466" spans="1:12" ht="14.4" customHeight="1" x14ac:dyDescent="0.3">
      <c r="A1466"/>
      <c r="L1466"/>
    </row>
    <row r="1467" spans="1:12" ht="14.4" customHeight="1" x14ac:dyDescent="0.3">
      <c r="A1467"/>
      <c r="L1467"/>
    </row>
    <row r="1468" spans="1:12" ht="14.4" customHeight="1" x14ac:dyDescent="0.3">
      <c r="A1468"/>
      <c r="L1468"/>
    </row>
    <row r="1469" spans="1:12" ht="14.4" customHeight="1" x14ac:dyDescent="0.3">
      <c r="A1469"/>
      <c r="L1469"/>
    </row>
    <row r="1470" spans="1:12" ht="14.4" customHeight="1" x14ac:dyDescent="0.3">
      <c r="A1470"/>
      <c r="L1470"/>
    </row>
    <row r="1471" spans="1:12" ht="14.4" customHeight="1" x14ac:dyDescent="0.3">
      <c r="A1471"/>
      <c r="L1471"/>
    </row>
    <row r="1472" spans="1:12" ht="14.4" customHeight="1" x14ac:dyDescent="0.3">
      <c r="A1472"/>
      <c r="L1472"/>
    </row>
    <row r="1473" spans="1:12" ht="14.4" customHeight="1" x14ac:dyDescent="0.3">
      <c r="A1473"/>
      <c r="L1473"/>
    </row>
    <row r="1474" spans="1:12" ht="14.4" customHeight="1" x14ac:dyDescent="0.3">
      <c r="A1474"/>
      <c r="L1474"/>
    </row>
    <row r="1475" spans="1:12" ht="14.4" customHeight="1" x14ac:dyDescent="0.3">
      <c r="A1475"/>
      <c r="L1475"/>
    </row>
    <row r="1476" spans="1:12" ht="14.4" customHeight="1" x14ac:dyDescent="0.3">
      <c r="A1476"/>
      <c r="L1476"/>
    </row>
    <row r="1477" spans="1:12" ht="14.4" customHeight="1" x14ac:dyDescent="0.3">
      <c r="A1477"/>
      <c r="L1477"/>
    </row>
    <row r="1478" spans="1:12" ht="14.4" customHeight="1" x14ac:dyDescent="0.3">
      <c r="A1478"/>
      <c r="L1478"/>
    </row>
    <row r="1479" spans="1:12" ht="14.4" customHeight="1" x14ac:dyDescent="0.3">
      <c r="A1479"/>
      <c r="L1479"/>
    </row>
    <row r="1480" spans="1:12" ht="14.4" customHeight="1" x14ac:dyDescent="0.3">
      <c r="A1480"/>
      <c r="L1480"/>
    </row>
    <row r="1481" spans="1:12" ht="14.4" customHeight="1" x14ac:dyDescent="0.3">
      <c r="A1481"/>
      <c r="L1481"/>
    </row>
    <row r="1482" spans="1:12" ht="14.4" customHeight="1" x14ac:dyDescent="0.3">
      <c r="A1482"/>
      <c r="L1482"/>
    </row>
    <row r="1483" spans="1:12" ht="14.4" customHeight="1" x14ac:dyDescent="0.3">
      <c r="A1483"/>
      <c r="L1483"/>
    </row>
    <row r="1484" spans="1:12" ht="14.4" customHeight="1" x14ac:dyDescent="0.3">
      <c r="A1484"/>
      <c r="L1484"/>
    </row>
    <row r="1485" spans="1:12" ht="14.4" customHeight="1" x14ac:dyDescent="0.3">
      <c r="A1485"/>
      <c r="L1485"/>
    </row>
    <row r="1486" spans="1:12" ht="14.4" customHeight="1" x14ac:dyDescent="0.3">
      <c r="A1486"/>
      <c r="L1486"/>
    </row>
    <row r="1487" spans="1:12" ht="14.4" customHeight="1" x14ac:dyDescent="0.3">
      <c r="A1487"/>
      <c r="L1487"/>
    </row>
    <row r="1488" spans="1:12" ht="14.4" customHeight="1" x14ac:dyDescent="0.3">
      <c r="A1488"/>
      <c r="L1488"/>
    </row>
    <row r="1489" spans="1:12" ht="14.4" customHeight="1" x14ac:dyDescent="0.3">
      <c r="A1489"/>
      <c r="L1489"/>
    </row>
    <row r="1490" spans="1:12" ht="14.4" customHeight="1" x14ac:dyDescent="0.3">
      <c r="A1490"/>
      <c r="L1490"/>
    </row>
    <row r="1491" spans="1:12" ht="14.4" customHeight="1" x14ac:dyDescent="0.3">
      <c r="A1491"/>
      <c r="L1491"/>
    </row>
    <row r="1492" spans="1:12" ht="14.4" customHeight="1" x14ac:dyDescent="0.3">
      <c r="A1492"/>
      <c r="L1492"/>
    </row>
    <row r="1493" spans="1:12" ht="14.4" customHeight="1" x14ac:dyDescent="0.3">
      <c r="A1493"/>
      <c r="L1493"/>
    </row>
    <row r="1494" spans="1:12" ht="14.4" customHeight="1" x14ac:dyDescent="0.3">
      <c r="A1494"/>
      <c r="L1494"/>
    </row>
    <row r="1495" spans="1:12" ht="14.4" customHeight="1" x14ac:dyDescent="0.3">
      <c r="A1495"/>
      <c r="L1495"/>
    </row>
    <row r="1496" spans="1:12" ht="14.4" customHeight="1" x14ac:dyDescent="0.3">
      <c r="A1496"/>
      <c r="L1496"/>
    </row>
    <row r="1497" spans="1:12" ht="14.4" customHeight="1" x14ac:dyDescent="0.3">
      <c r="A1497"/>
      <c r="L1497"/>
    </row>
    <row r="1498" spans="1:12" ht="14.4" customHeight="1" x14ac:dyDescent="0.3">
      <c r="A1498"/>
      <c r="L1498"/>
    </row>
    <row r="1499" spans="1:12" ht="14.4" customHeight="1" x14ac:dyDescent="0.3">
      <c r="A1499"/>
      <c r="L1499"/>
    </row>
    <row r="1500" spans="1:12" ht="14.4" customHeight="1" x14ac:dyDescent="0.3">
      <c r="A1500"/>
      <c r="L1500"/>
    </row>
    <row r="1501" spans="1:12" ht="14.4" customHeight="1" x14ac:dyDescent="0.3">
      <c r="A1501"/>
      <c r="L1501"/>
    </row>
    <row r="1502" spans="1:12" ht="14.4" customHeight="1" x14ac:dyDescent="0.3">
      <c r="A1502"/>
      <c r="L1502"/>
    </row>
    <row r="1503" spans="1:12" ht="14.4" customHeight="1" x14ac:dyDescent="0.3">
      <c r="A1503"/>
      <c r="L1503"/>
    </row>
    <row r="1504" spans="1:12" ht="14.4" customHeight="1" x14ac:dyDescent="0.3">
      <c r="A1504"/>
      <c r="L1504"/>
    </row>
    <row r="1505" spans="1:12" ht="14.4" customHeight="1" x14ac:dyDescent="0.3">
      <c r="A1505"/>
      <c r="L1505"/>
    </row>
    <row r="1506" spans="1:12" ht="14.4" customHeight="1" x14ac:dyDescent="0.3">
      <c r="A1506"/>
      <c r="L1506"/>
    </row>
    <row r="1507" spans="1:12" ht="14.4" customHeight="1" x14ac:dyDescent="0.3">
      <c r="A1507"/>
      <c r="L1507"/>
    </row>
    <row r="1508" spans="1:12" ht="14.4" customHeight="1" x14ac:dyDescent="0.3">
      <c r="A1508"/>
      <c r="L1508"/>
    </row>
    <row r="1509" spans="1:12" ht="14.4" customHeight="1" x14ac:dyDescent="0.3">
      <c r="A1509"/>
      <c r="L1509"/>
    </row>
    <row r="1510" spans="1:12" ht="14.4" customHeight="1" x14ac:dyDescent="0.3">
      <c r="A1510"/>
      <c r="L1510"/>
    </row>
    <row r="1511" spans="1:12" ht="14.4" customHeight="1" x14ac:dyDescent="0.3">
      <c r="A1511"/>
      <c r="L1511"/>
    </row>
    <row r="1512" spans="1:12" ht="14.4" customHeight="1" x14ac:dyDescent="0.3">
      <c r="A1512"/>
      <c r="L1512"/>
    </row>
    <row r="1513" spans="1:12" ht="14.4" customHeight="1" x14ac:dyDescent="0.3">
      <c r="A1513"/>
      <c r="L1513"/>
    </row>
    <row r="1514" spans="1:12" ht="14.4" customHeight="1" x14ac:dyDescent="0.3">
      <c r="A1514"/>
      <c r="L1514"/>
    </row>
    <row r="1515" spans="1:12" ht="14.4" customHeight="1" x14ac:dyDescent="0.3">
      <c r="A1515"/>
      <c r="L1515"/>
    </row>
    <row r="1516" spans="1:12" ht="14.4" customHeight="1" x14ac:dyDescent="0.3">
      <c r="A1516"/>
      <c r="L1516"/>
    </row>
    <row r="1517" spans="1:12" ht="14.4" customHeight="1" x14ac:dyDescent="0.3">
      <c r="A1517"/>
      <c r="L1517"/>
    </row>
    <row r="1518" spans="1:12" ht="14.4" customHeight="1" x14ac:dyDescent="0.3">
      <c r="A1518"/>
      <c r="L1518"/>
    </row>
    <row r="1519" spans="1:12" ht="14.4" customHeight="1" x14ac:dyDescent="0.3">
      <c r="A1519"/>
      <c r="L1519"/>
    </row>
    <row r="1520" spans="1:12" ht="14.4" customHeight="1" x14ac:dyDescent="0.3">
      <c r="A1520"/>
      <c r="L1520"/>
    </row>
    <row r="1521" spans="1:12" ht="14.4" customHeight="1" x14ac:dyDescent="0.3">
      <c r="A1521"/>
      <c r="L1521"/>
    </row>
    <row r="1522" spans="1:12" ht="14.4" customHeight="1" x14ac:dyDescent="0.3">
      <c r="A1522"/>
      <c r="L1522"/>
    </row>
    <row r="1523" spans="1:12" ht="14.4" customHeight="1" x14ac:dyDescent="0.3">
      <c r="A1523"/>
      <c r="L1523"/>
    </row>
    <row r="1524" spans="1:12" ht="14.4" customHeight="1" x14ac:dyDescent="0.3">
      <c r="A1524"/>
      <c r="L1524"/>
    </row>
    <row r="1525" spans="1:12" ht="14.4" customHeight="1" x14ac:dyDescent="0.3">
      <c r="A1525"/>
      <c r="L1525"/>
    </row>
    <row r="1526" spans="1:12" ht="14.4" customHeight="1" x14ac:dyDescent="0.3">
      <c r="A1526"/>
      <c r="L1526"/>
    </row>
    <row r="1527" spans="1:12" ht="14.4" customHeight="1" x14ac:dyDescent="0.3">
      <c r="A1527"/>
      <c r="L1527"/>
    </row>
    <row r="1528" spans="1:12" ht="14.4" customHeight="1" x14ac:dyDescent="0.3">
      <c r="A1528"/>
      <c r="L1528"/>
    </row>
    <row r="1529" spans="1:12" ht="14.4" customHeight="1" x14ac:dyDescent="0.3">
      <c r="A1529"/>
      <c r="L1529"/>
    </row>
    <row r="1530" spans="1:12" ht="14.4" customHeight="1" x14ac:dyDescent="0.3">
      <c r="A1530"/>
      <c r="L1530"/>
    </row>
    <row r="1531" spans="1:12" ht="14.4" customHeight="1" x14ac:dyDescent="0.3">
      <c r="A1531"/>
      <c r="L1531"/>
    </row>
    <row r="1532" spans="1:12" ht="14.4" customHeight="1" x14ac:dyDescent="0.3">
      <c r="A1532"/>
      <c r="L1532"/>
    </row>
    <row r="1533" spans="1:12" ht="14.4" customHeight="1" x14ac:dyDescent="0.3">
      <c r="A1533"/>
      <c r="L1533"/>
    </row>
    <row r="1534" spans="1:12" ht="14.4" customHeight="1" x14ac:dyDescent="0.3">
      <c r="A1534"/>
      <c r="L1534"/>
    </row>
    <row r="1535" spans="1:12" ht="14.4" customHeight="1" x14ac:dyDescent="0.3">
      <c r="A1535"/>
      <c r="L1535"/>
    </row>
    <row r="1536" spans="1:12" ht="14.4" customHeight="1" x14ac:dyDescent="0.3">
      <c r="A1536"/>
      <c r="L1536"/>
    </row>
    <row r="1537" spans="1:12" ht="14.4" customHeight="1" x14ac:dyDescent="0.3">
      <c r="A1537"/>
      <c r="L1537"/>
    </row>
    <row r="1538" spans="1:12" ht="14.4" customHeight="1" x14ac:dyDescent="0.3">
      <c r="A1538"/>
      <c r="L1538"/>
    </row>
    <row r="1539" spans="1:12" ht="14.4" customHeight="1" x14ac:dyDescent="0.3">
      <c r="A1539"/>
      <c r="L1539"/>
    </row>
    <row r="1540" spans="1:12" ht="14.4" customHeight="1" x14ac:dyDescent="0.3">
      <c r="A1540"/>
      <c r="L1540"/>
    </row>
    <row r="1541" spans="1:12" ht="14.4" customHeight="1" x14ac:dyDescent="0.3">
      <c r="A1541"/>
      <c r="L1541"/>
    </row>
    <row r="1542" spans="1:12" ht="14.4" customHeight="1" x14ac:dyDescent="0.3">
      <c r="A1542"/>
      <c r="L1542"/>
    </row>
    <row r="1543" spans="1:12" ht="14.4" customHeight="1" x14ac:dyDescent="0.3">
      <c r="A1543"/>
      <c r="L1543"/>
    </row>
    <row r="1544" spans="1:12" ht="14.4" customHeight="1" x14ac:dyDescent="0.3">
      <c r="A1544"/>
      <c r="L1544"/>
    </row>
    <row r="1545" spans="1:12" ht="14.4" customHeight="1" x14ac:dyDescent="0.3">
      <c r="A1545"/>
      <c r="L1545"/>
    </row>
    <row r="1546" spans="1:12" ht="14.4" customHeight="1" x14ac:dyDescent="0.3">
      <c r="A1546"/>
      <c r="L1546"/>
    </row>
    <row r="1547" spans="1:12" ht="14.4" customHeight="1" x14ac:dyDescent="0.3">
      <c r="A1547"/>
      <c r="L1547"/>
    </row>
    <row r="1548" spans="1:12" ht="14.4" customHeight="1" x14ac:dyDescent="0.3">
      <c r="A1548"/>
      <c r="L1548"/>
    </row>
    <row r="1549" spans="1:12" ht="14.4" customHeight="1" x14ac:dyDescent="0.3">
      <c r="A1549"/>
      <c r="L1549"/>
    </row>
    <row r="1550" spans="1:12" ht="14.4" customHeight="1" x14ac:dyDescent="0.3">
      <c r="A1550"/>
      <c r="L1550"/>
    </row>
    <row r="1551" spans="1:12" ht="14.4" customHeight="1" x14ac:dyDescent="0.3">
      <c r="A1551"/>
      <c r="L1551"/>
    </row>
    <row r="1552" spans="1:12" ht="14.4" customHeight="1" x14ac:dyDescent="0.3">
      <c r="A1552"/>
      <c r="L1552"/>
    </row>
    <row r="1553" spans="1:12" ht="14.4" customHeight="1" x14ac:dyDescent="0.3">
      <c r="A1553"/>
      <c r="L1553"/>
    </row>
    <row r="1554" spans="1:12" ht="14.4" customHeight="1" x14ac:dyDescent="0.3">
      <c r="A1554"/>
      <c r="L1554"/>
    </row>
    <row r="1555" spans="1:12" ht="14.4" customHeight="1" x14ac:dyDescent="0.3">
      <c r="A1555"/>
      <c r="L1555"/>
    </row>
    <row r="1556" spans="1:12" ht="14.4" customHeight="1" x14ac:dyDescent="0.3">
      <c r="A1556"/>
      <c r="L1556"/>
    </row>
    <row r="1557" spans="1:12" ht="14.4" customHeight="1" x14ac:dyDescent="0.3">
      <c r="A1557"/>
      <c r="L1557"/>
    </row>
    <row r="1558" spans="1:12" ht="14.4" customHeight="1" x14ac:dyDescent="0.3">
      <c r="A1558"/>
      <c r="L1558"/>
    </row>
    <row r="1559" spans="1:12" ht="14.4" customHeight="1" x14ac:dyDescent="0.3">
      <c r="A1559"/>
      <c r="L1559"/>
    </row>
    <row r="1560" spans="1:12" ht="14.4" customHeight="1" x14ac:dyDescent="0.3">
      <c r="A1560"/>
      <c r="L1560"/>
    </row>
    <row r="1561" spans="1:12" ht="14.4" customHeight="1" x14ac:dyDescent="0.3">
      <c r="A1561"/>
      <c r="L1561"/>
    </row>
    <row r="1562" spans="1:12" ht="14.4" customHeight="1" x14ac:dyDescent="0.3">
      <c r="A1562"/>
      <c r="L1562"/>
    </row>
    <row r="1563" spans="1:12" ht="14.4" customHeight="1" x14ac:dyDescent="0.3">
      <c r="A1563"/>
      <c r="L1563"/>
    </row>
    <row r="1564" spans="1:12" ht="14.4" customHeight="1" x14ac:dyDescent="0.3">
      <c r="A1564"/>
      <c r="L1564"/>
    </row>
    <row r="1565" spans="1:12" ht="14.4" customHeight="1" x14ac:dyDescent="0.3">
      <c r="A1565"/>
      <c r="L1565"/>
    </row>
    <row r="1566" spans="1:12" ht="14.4" customHeight="1" x14ac:dyDescent="0.3">
      <c r="A1566"/>
      <c r="L1566"/>
    </row>
    <row r="1567" spans="1:12" ht="14.4" customHeight="1" x14ac:dyDescent="0.3">
      <c r="A1567"/>
      <c r="L1567"/>
    </row>
    <row r="1568" spans="1:12" ht="14.4" customHeight="1" x14ac:dyDescent="0.3">
      <c r="A1568"/>
      <c r="L1568"/>
    </row>
    <row r="1569" spans="1:12" ht="14.4" customHeight="1" x14ac:dyDescent="0.3">
      <c r="A1569"/>
      <c r="L1569"/>
    </row>
    <row r="1570" spans="1:12" ht="14.4" customHeight="1" x14ac:dyDescent="0.3">
      <c r="A1570"/>
      <c r="L1570"/>
    </row>
    <row r="1571" spans="1:12" ht="14.4" customHeight="1" x14ac:dyDescent="0.3">
      <c r="A1571"/>
      <c r="L1571"/>
    </row>
    <row r="1572" spans="1:12" ht="14.4" customHeight="1" x14ac:dyDescent="0.3">
      <c r="A1572"/>
      <c r="L1572"/>
    </row>
    <row r="1573" spans="1:12" ht="14.4" customHeight="1" x14ac:dyDescent="0.3">
      <c r="A1573"/>
      <c r="L1573"/>
    </row>
    <row r="1574" spans="1:12" ht="14.4" customHeight="1" x14ac:dyDescent="0.3">
      <c r="A1574"/>
      <c r="L1574"/>
    </row>
    <row r="1575" spans="1:12" ht="14.4" customHeight="1" x14ac:dyDescent="0.3">
      <c r="A1575"/>
      <c r="L1575"/>
    </row>
    <row r="1576" spans="1:12" ht="14.4" customHeight="1" x14ac:dyDescent="0.3">
      <c r="A1576"/>
      <c r="L1576"/>
    </row>
    <row r="1577" spans="1:12" ht="14.4" customHeight="1" x14ac:dyDescent="0.3">
      <c r="A1577"/>
      <c r="L1577"/>
    </row>
    <row r="1578" spans="1:12" ht="14.4" customHeight="1" x14ac:dyDescent="0.3">
      <c r="A1578"/>
      <c r="L1578"/>
    </row>
    <row r="1579" spans="1:12" ht="14.4" customHeight="1" x14ac:dyDescent="0.3">
      <c r="A1579"/>
      <c r="L1579"/>
    </row>
    <row r="1580" spans="1:12" ht="14.4" customHeight="1" x14ac:dyDescent="0.3">
      <c r="A1580"/>
      <c r="L1580"/>
    </row>
    <row r="1581" spans="1:12" ht="14.4" customHeight="1" x14ac:dyDescent="0.3">
      <c r="A1581"/>
      <c r="L1581"/>
    </row>
    <row r="1582" spans="1:12" ht="14.4" customHeight="1" x14ac:dyDescent="0.3">
      <c r="A1582"/>
      <c r="L1582"/>
    </row>
    <row r="1583" spans="1:12" ht="14.4" customHeight="1" x14ac:dyDescent="0.3">
      <c r="A1583"/>
      <c r="L1583"/>
    </row>
    <row r="1584" spans="1:12" ht="14.4" customHeight="1" x14ac:dyDescent="0.3">
      <c r="A1584"/>
      <c r="L1584"/>
    </row>
    <row r="1585" spans="1:12" ht="14.4" customHeight="1" x14ac:dyDescent="0.3">
      <c r="A1585"/>
      <c r="L1585"/>
    </row>
    <row r="1586" spans="1:12" ht="14.4" customHeight="1" x14ac:dyDescent="0.3">
      <c r="A1586"/>
      <c r="L1586"/>
    </row>
    <row r="1587" spans="1:12" ht="14.4" customHeight="1" x14ac:dyDescent="0.3">
      <c r="A1587"/>
      <c r="L1587"/>
    </row>
    <row r="1588" spans="1:12" ht="14.4" customHeight="1" x14ac:dyDescent="0.3">
      <c r="A1588"/>
      <c r="L1588"/>
    </row>
    <row r="1589" spans="1:12" ht="14.4" customHeight="1" x14ac:dyDescent="0.3">
      <c r="A1589"/>
      <c r="L1589"/>
    </row>
    <row r="1590" spans="1:12" ht="14.4" customHeight="1" x14ac:dyDescent="0.3">
      <c r="A1590"/>
      <c r="L1590"/>
    </row>
    <row r="1591" spans="1:12" ht="14.4" customHeight="1" x14ac:dyDescent="0.3">
      <c r="A1591"/>
      <c r="L1591"/>
    </row>
    <row r="1592" spans="1:12" ht="14.4" customHeight="1" x14ac:dyDescent="0.3">
      <c r="A1592"/>
      <c r="L1592"/>
    </row>
    <row r="1593" spans="1:12" ht="14.4" customHeight="1" x14ac:dyDescent="0.3">
      <c r="A1593"/>
      <c r="L1593"/>
    </row>
    <row r="1594" spans="1:12" ht="14.4" customHeight="1" x14ac:dyDescent="0.3">
      <c r="A1594"/>
      <c r="L1594"/>
    </row>
    <row r="1595" spans="1:12" ht="14.4" customHeight="1" x14ac:dyDescent="0.3">
      <c r="A1595"/>
      <c r="L1595"/>
    </row>
    <row r="1596" spans="1:12" ht="14.4" customHeight="1" x14ac:dyDescent="0.3">
      <c r="A1596"/>
      <c r="L1596"/>
    </row>
    <row r="1597" spans="1:12" ht="14.4" customHeight="1" x14ac:dyDescent="0.3">
      <c r="A1597"/>
      <c r="L1597"/>
    </row>
    <row r="1598" spans="1:12" ht="14.4" customHeight="1" x14ac:dyDescent="0.3">
      <c r="A1598"/>
      <c r="L1598"/>
    </row>
    <row r="1599" spans="1:12" ht="14.4" customHeight="1" x14ac:dyDescent="0.3">
      <c r="A1599"/>
      <c r="L1599"/>
    </row>
    <row r="1600" spans="1:12" ht="14.4" customHeight="1" x14ac:dyDescent="0.3">
      <c r="A1600"/>
      <c r="L1600"/>
    </row>
    <row r="1601" spans="1:12" ht="14.4" customHeight="1" x14ac:dyDescent="0.3">
      <c r="A1601"/>
      <c r="L1601"/>
    </row>
    <row r="1602" spans="1:12" ht="14.4" customHeight="1" x14ac:dyDescent="0.3">
      <c r="A1602"/>
      <c r="L1602"/>
    </row>
    <row r="1603" spans="1:12" ht="14.4" customHeight="1" x14ac:dyDescent="0.3">
      <c r="A1603"/>
      <c r="L1603"/>
    </row>
    <row r="1604" spans="1:12" ht="14.4" customHeight="1" x14ac:dyDescent="0.3">
      <c r="A1604"/>
      <c r="L1604"/>
    </row>
    <row r="1605" spans="1:12" ht="14.4" customHeight="1" x14ac:dyDescent="0.3">
      <c r="A1605"/>
      <c r="L1605"/>
    </row>
    <row r="1606" spans="1:12" ht="14.4" customHeight="1" x14ac:dyDescent="0.3">
      <c r="A1606"/>
      <c r="L1606"/>
    </row>
    <row r="1607" spans="1:12" ht="14.4" customHeight="1" x14ac:dyDescent="0.3">
      <c r="A1607"/>
      <c r="L1607"/>
    </row>
    <row r="1608" spans="1:12" ht="14.4" customHeight="1" x14ac:dyDescent="0.3">
      <c r="A1608"/>
      <c r="L1608"/>
    </row>
    <row r="1609" spans="1:12" ht="14.4" customHeight="1" x14ac:dyDescent="0.3">
      <c r="A1609"/>
      <c r="L1609"/>
    </row>
    <row r="1610" spans="1:12" ht="14.4" customHeight="1" x14ac:dyDescent="0.3">
      <c r="A1610"/>
      <c r="L1610"/>
    </row>
    <row r="1611" spans="1:12" ht="14.4" customHeight="1" x14ac:dyDescent="0.3">
      <c r="A1611"/>
      <c r="L1611"/>
    </row>
    <row r="1612" spans="1:12" ht="14.4" customHeight="1" x14ac:dyDescent="0.3">
      <c r="A1612"/>
      <c r="L1612"/>
    </row>
    <row r="1613" spans="1:12" ht="14.4" customHeight="1" x14ac:dyDescent="0.3">
      <c r="A1613"/>
      <c r="L1613"/>
    </row>
    <row r="1614" spans="1:12" ht="14.4" customHeight="1" x14ac:dyDescent="0.3">
      <c r="A1614"/>
      <c r="L1614"/>
    </row>
    <row r="1615" spans="1:12" ht="14.4" customHeight="1" x14ac:dyDescent="0.3">
      <c r="A1615"/>
      <c r="L1615"/>
    </row>
    <row r="1616" spans="1:12" ht="14.4" customHeight="1" x14ac:dyDescent="0.3">
      <c r="A1616"/>
      <c r="L1616"/>
    </row>
    <row r="1617" spans="1:12" ht="14.4" customHeight="1" x14ac:dyDescent="0.3">
      <c r="A1617"/>
      <c r="L1617"/>
    </row>
    <row r="1618" spans="1:12" ht="14.4" customHeight="1" x14ac:dyDescent="0.3">
      <c r="A1618"/>
      <c r="L1618"/>
    </row>
    <row r="1619" spans="1:12" ht="14.4" customHeight="1" x14ac:dyDescent="0.3">
      <c r="A1619"/>
      <c r="L1619"/>
    </row>
    <row r="1620" spans="1:12" ht="14.4" customHeight="1" x14ac:dyDescent="0.3">
      <c r="A1620"/>
      <c r="L1620"/>
    </row>
    <row r="1621" spans="1:12" ht="14.4" customHeight="1" x14ac:dyDescent="0.3">
      <c r="A1621"/>
      <c r="L1621"/>
    </row>
    <row r="1622" spans="1:12" ht="14.4" customHeight="1" x14ac:dyDescent="0.3">
      <c r="A1622"/>
      <c r="L1622"/>
    </row>
    <row r="1623" spans="1:12" ht="14.4" customHeight="1" x14ac:dyDescent="0.3">
      <c r="A1623"/>
      <c r="L1623"/>
    </row>
    <row r="1624" spans="1:12" ht="14.4" customHeight="1" x14ac:dyDescent="0.3">
      <c r="A1624"/>
      <c r="L1624"/>
    </row>
    <row r="1625" spans="1:12" ht="14.4" customHeight="1" x14ac:dyDescent="0.3">
      <c r="A1625"/>
      <c r="L1625"/>
    </row>
    <row r="1626" spans="1:12" ht="14.4" customHeight="1" x14ac:dyDescent="0.3">
      <c r="A1626"/>
      <c r="L1626"/>
    </row>
    <row r="1627" spans="1:12" ht="14.4" customHeight="1" x14ac:dyDescent="0.3">
      <c r="A1627"/>
      <c r="L1627"/>
    </row>
    <row r="1628" spans="1:12" ht="14.4" customHeight="1" x14ac:dyDescent="0.3">
      <c r="A1628"/>
      <c r="L1628"/>
    </row>
    <row r="1629" spans="1:12" ht="14.4" customHeight="1" x14ac:dyDescent="0.3">
      <c r="A1629"/>
      <c r="L1629"/>
    </row>
    <row r="1630" spans="1:12" ht="14.4" customHeight="1" x14ac:dyDescent="0.3">
      <c r="A1630"/>
      <c r="L1630"/>
    </row>
    <row r="1631" spans="1:12" ht="14.4" customHeight="1" x14ac:dyDescent="0.3">
      <c r="A1631"/>
      <c r="L1631"/>
    </row>
    <row r="1632" spans="1:12" ht="14.4" customHeight="1" x14ac:dyDescent="0.3">
      <c r="A1632"/>
      <c r="L1632"/>
    </row>
    <row r="1633" spans="1:12" ht="14.4" customHeight="1" x14ac:dyDescent="0.3">
      <c r="A1633"/>
      <c r="L1633"/>
    </row>
    <row r="1634" spans="1:12" ht="14.4" customHeight="1" x14ac:dyDescent="0.3">
      <c r="A1634"/>
      <c r="L1634"/>
    </row>
    <row r="1635" spans="1:12" ht="14.4" customHeight="1" x14ac:dyDescent="0.3">
      <c r="A1635"/>
      <c r="L1635"/>
    </row>
    <row r="1636" spans="1:12" ht="14.4" customHeight="1" x14ac:dyDescent="0.3">
      <c r="A1636"/>
      <c r="L1636"/>
    </row>
    <row r="1637" spans="1:12" ht="14.4" customHeight="1" x14ac:dyDescent="0.3">
      <c r="A1637"/>
      <c r="L1637"/>
    </row>
    <row r="1638" spans="1:12" ht="14.4" customHeight="1" x14ac:dyDescent="0.3">
      <c r="A1638"/>
      <c r="L1638"/>
    </row>
    <row r="1639" spans="1:12" ht="14.4" customHeight="1" x14ac:dyDescent="0.3">
      <c r="A1639"/>
      <c r="L1639"/>
    </row>
    <row r="1640" spans="1:12" ht="14.4" customHeight="1" x14ac:dyDescent="0.3">
      <c r="A1640"/>
      <c r="L1640"/>
    </row>
    <row r="1641" spans="1:12" ht="14.4" customHeight="1" x14ac:dyDescent="0.3">
      <c r="A1641"/>
      <c r="L1641"/>
    </row>
    <row r="1642" spans="1:12" ht="14.4" customHeight="1" x14ac:dyDescent="0.3">
      <c r="A1642"/>
      <c r="L1642"/>
    </row>
    <row r="1643" spans="1:12" ht="14.4" customHeight="1" x14ac:dyDescent="0.3">
      <c r="A1643"/>
      <c r="L1643"/>
    </row>
    <row r="1644" spans="1:12" ht="14.4" customHeight="1" x14ac:dyDescent="0.3">
      <c r="A1644"/>
      <c r="L1644"/>
    </row>
    <row r="1645" spans="1:12" ht="14.4" customHeight="1" x14ac:dyDescent="0.3">
      <c r="A1645"/>
      <c r="L1645"/>
    </row>
    <row r="1646" spans="1:12" ht="14.4" customHeight="1" x14ac:dyDescent="0.3">
      <c r="A1646"/>
      <c r="L1646"/>
    </row>
    <row r="1647" spans="1:12" ht="14.4" customHeight="1" x14ac:dyDescent="0.3">
      <c r="A1647"/>
      <c r="L1647"/>
    </row>
    <row r="1648" spans="1:12" ht="14.4" customHeight="1" x14ac:dyDescent="0.3">
      <c r="A1648"/>
      <c r="L1648"/>
    </row>
    <row r="1649" spans="1:12" ht="14.4" customHeight="1" x14ac:dyDescent="0.3">
      <c r="A1649"/>
      <c r="L1649"/>
    </row>
    <row r="1650" spans="1:12" ht="14.4" customHeight="1" x14ac:dyDescent="0.3">
      <c r="A1650"/>
      <c r="L1650"/>
    </row>
    <row r="1651" spans="1:12" ht="14.4" customHeight="1" x14ac:dyDescent="0.3">
      <c r="A1651"/>
      <c r="L1651"/>
    </row>
    <row r="1652" spans="1:12" ht="14.4" customHeight="1" x14ac:dyDescent="0.3">
      <c r="A1652"/>
      <c r="L1652"/>
    </row>
    <row r="1653" spans="1:12" ht="14.4" customHeight="1" x14ac:dyDescent="0.3">
      <c r="A1653"/>
      <c r="L1653"/>
    </row>
    <row r="1654" spans="1:12" ht="14.4" customHeight="1" x14ac:dyDescent="0.3">
      <c r="A1654"/>
      <c r="L1654"/>
    </row>
    <row r="1655" spans="1:12" ht="14.4" customHeight="1" x14ac:dyDescent="0.3">
      <c r="A1655"/>
      <c r="L1655"/>
    </row>
    <row r="1656" spans="1:12" ht="14.4" customHeight="1" x14ac:dyDescent="0.3">
      <c r="A1656"/>
      <c r="L1656"/>
    </row>
    <row r="1657" spans="1:12" ht="14.4" customHeight="1" x14ac:dyDescent="0.3">
      <c r="A1657"/>
      <c r="L1657"/>
    </row>
    <row r="1658" spans="1:12" ht="14.4" customHeight="1" x14ac:dyDescent="0.3">
      <c r="A1658"/>
      <c r="L1658"/>
    </row>
    <row r="1659" spans="1:12" ht="14.4" customHeight="1" x14ac:dyDescent="0.3">
      <c r="A1659"/>
      <c r="L1659"/>
    </row>
    <row r="1660" spans="1:12" ht="14.4" customHeight="1" x14ac:dyDescent="0.3">
      <c r="A1660"/>
      <c r="L1660"/>
    </row>
    <row r="1661" spans="1:12" ht="14.4" customHeight="1" x14ac:dyDescent="0.3">
      <c r="A1661"/>
      <c r="L1661"/>
    </row>
    <row r="1662" spans="1:12" ht="14.4" customHeight="1" x14ac:dyDescent="0.3">
      <c r="A1662"/>
      <c r="L1662"/>
    </row>
    <row r="1663" spans="1:12" ht="14.4" customHeight="1" x14ac:dyDescent="0.3">
      <c r="A1663"/>
      <c r="L1663"/>
    </row>
    <row r="1664" spans="1:12" ht="14.4" customHeight="1" x14ac:dyDescent="0.3">
      <c r="A1664"/>
      <c r="L1664"/>
    </row>
    <row r="1665" spans="1:12" ht="14.4" customHeight="1" x14ac:dyDescent="0.3">
      <c r="A1665"/>
      <c r="L1665"/>
    </row>
    <row r="1666" spans="1:12" ht="14.4" customHeight="1" x14ac:dyDescent="0.3">
      <c r="A1666"/>
      <c r="L1666"/>
    </row>
    <row r="1667" spans="1:12" ht="14.4" customHeight="1" x14ac:dyDescent="0.3">
      <c r="A1667"/>
      <c r="L1667"/>
    </row>
    <row r="1668" spans="1:12" ht="14.4" customHeight="1" x14ac:dyDescent="0.3">
      <c r="A1668"/>
      <c r="L1668"/>
    </row>
    <row r="1669" spans="1:12" ht="14.4" customHeight="1" x14ac:dyDescent="0.3">
      <c r="A1669"/>
      <c r="L1669"/>
    </row>
    <row r="1670" spans="1:12" ht="14.4" customHeight="1" x14ac:dyDescent="0.3">
      <c r="A1670"/>
      <c r="L1670"/>
    </row>
    <row r="1671" spans="1:12" ht="14.4" customHeight="1" x14ac:dyDescent="0.3">
      <c r="A1671"/>
      <c r="L1671"/>
    </row>
    <row r="1672" spans="1:12" ht="14.4" customHeight="1" x14ac:dyDescent="0.3">
      <c r="A1672"/>
      <c r="L1672"/>
    </row>
    <row r="1673" spans="1:12" ht="14.4" customHeight="1" x14ac:dyDescent="0.3">
      <c r="A1673"/>
      <c r="L1673"/>
    </row>
    <row r="1674" spans="1:12" ht="14.4" customHeight="1" x14ac:dyDescent="0.3">
      <c r="A1674"/>
      <c r="L1674"/>
    </row>
    <row r="1675" spans="1:12" ht="14.4" customHeight="1" x14ac:dyDescent="0.3">
      <c r="A1675"/>
      <c r="L1675"/>
    </row>
    <row r="1676" spans="1:12" ht="14.4" customHeight="1" x14ac:dyDescent="0.3">
      <c r="A1676"/>
      <c r="L1676"/>
    </row>
    <row r="1677" spans="1:12" ht="14.4" customHeight="1" x14ac:dyDescent="0.3">
      <c r="A1677"/>
      <c r="L1677"/>
    </row>
    <row r="1678" spans="1:12" ht="14.4" customHeight="1" x14ac:dyDescent="0.3">
      <c r="A1678"/>
      <c r="L1678"/>
    </row>
    <row r="1679" spans="1:12" ht="14.4" customHeight="1" x14ac:dyDescent="0.3">
      <c r="A1679"/>
      <c r="L1679"/>
    </row>
    <row r="1680" spans="1:12" ht="14.4" customHeight="1" x14ac:dyDescent="0.3">
      <c r="A1680"/>
      <c r="L1680"/>
    </row>
    <row r="1681" spans="1:12" ht="14.4" customHeight="1" x14ac:dyDescent="0.3">
      <c r="A1681"/>
      <c r="L1681"/>
    </row>
    <row r="1682" spans="1:12" ht="14.4" customHeight="1" x14ac:dyDescent="0.3">
      <c r="A1682"/>
      <c r="L1682"/>
    </row>
    <row r="1683" spans="1:12" ht="14.4" customHeight="1" x14ac:dyDescent="0.3">
      <c r="A1683"/>
      <c r="L1683"/>
    </row>
    <row r="1684" spans="1:12" ht="14.4" customHeight="1" x14ac:dyDescent="0.3">
      <c r="A1684"/>
      <c r="L1684"/>
    </row>
    <row r="1685" spans="1:12" ht="14.4" customHeight="1" x14ac:dyDescent="0.3">
      <c r="A1685"/>
      <c r="L1685"/>
    </row>
    <row r="1686" spans="1:12" ht="14.4" customHeight="1" x14ac:dyDescent="0.3">
      <c r="A1686"/>
      <c r="L1686"/>
    </row>
    <row r="1687" spans="1:12" ht="14.4" customHeight="1" x14ac:dyDescent="0.3">
      <c r="A1687"/>
      <c r="L1687"/>
    </row>
    <row r="1688" spans="1:12" ht="14.4" customHeight="1" x14ac:dyDescent="0.3">
      <c r="A1688"/>
      <c r="L1688"/>
    </row>
    <row r="1689" spans="1:12" ht="14.4" customHeight="1" x14ac:dyDescent="0.3">
      <c r="A1689"/>
      <c r="L1689"/>
    </row>
    <row r="1690" spans="1:12" ht="14.4" customHeight="1" x14ac:dyDescent="0.3">
      <c r="A1690"/>
      <c r="L1690"/>
    </row>
    <row r="1691" spans="1:12" ht="14.4" customHeight="1" x14ac:dyDescent="0.3">
      <c r="A1691"/>
      <c r="L1691"/>
    </row>
    <row r="1692" spans="1:12" ht="14.4" customHeight="1" x14ac:dyDescent="0.3">
      <c r="A1692"/>
      <c r="L1692"/>
    </row>
    <row r="1693" spans="1:12" ht="14.4" customHeight="1" x14ac:dyDescent="0.3">
      <c r="A1693"/>
      <c r="L1693"/>
    </row>
    <row r="1694" spans="1:12" ht="14.4" customHeight="1" x14ac:dyDescent="0.3">
      <c r="A1694"/>
      <c r="L1694"/>
    </row>
    <row r="1695" spans="1:12" ht="14.4" customHeight="1" x14ac:dyDescent="0.3">
      <c r="A1695"/>
      <c r="L1695"/>
    </row>
    <row r="1696" spans="1:12" ht="14.4" customHeight="1" x14ac:dyDescent="0.3">
      <c r="A1696"/>
      <c r="L1696"/>
    </row>
    <row r="1697" spans="1:12" ht="14.4" customHeight="1" x14ac:dyDescent="0.3">
      <c r="A1697"/>
      <c r="L1697"/>
    </row>
    <row r="1698" spans="1:12" ht="14.4" customHeight="1" x14ac:dyDescent="0.3">
      <c r="A1698"/>
      <c r="L1698"/>
    </row>
    <row r="1699" spans="1:12" ht="14.4" customHeight="1" x14ac:dyDescent="0.3">
      <c r="A1699"/>
      <c r="L1699"/>
    </row>
    <row r="1700" spans="1:12" ht="14.4" customHeight="1" x14ac:dyDescent="0.3">
      <c r="A1700"/>
      <c r="L1700"/>
    </row>
    <row r="1701" spans="1:12" ht="14.4" customHeight="1" x14ac:dyDescent="0.3">
      <c r="A1701"/>
      <c r="L1701"/>
    </row>
    <row r="1702" spans="1:12" ht="14.4" customHeight="1" x14ac:dyDescent="0.3">
      <c r="A1702"/>
      <c r="L1702"/>
    </row>
    <row r="1703" spans="1:12" ht="14.4" customHeight="1" x14ac:dyDescent="0.3">
      <c r="A1703"/>
      <c r="L1703"/>
    </row>
    <row r="1704" spans="1:12" ht="14.4" customHeight="1" x14ac:dyDescent="0.3">
      <c r="A1704"/>
      <c r="L1704"/>
    </row>
    <row r="1705" spans="1:12" ht="14.4" customHeight="1" x14ac:dyDescent="0.3">
      <c r="A1705"/>
      <c r="L1705"/>
    </row>
    <row r="1706" spans="1:12" ht="14.4" customHeight="1" x14ac:dyDescent="0.3">
      <c r="A1706"/>
      <c r="L1706"/>
    </row>
    <row r="1707" spans="1:12" ht="14.4" customHeight="1" x14ac:dyDescent="0.3">
      <c r="A1707"/>
      <c r="L1707"/>
    </row>
    <row r="1708" spans="1:12" ht="14.4" customHeight="1" x14ac:dyDescent="0.3">
      <c r="A1708"/>
      <c r="L1708"/>
    </row>
    <row r="1709" spans="1:12" ht="14.4" customHeight="1" x14ac:dyDescent="0.3">
      <c r="A1709"/>
      <c r="L1709"/>
    </row>
    <row r="1710" spans="1:12" ht="14.4" customHeight="1" x14ac:dyDescent="0.3">
      <c r="A1710"/>
      <c r="L1710"/>
    </row>
    <row r="1711" spans="1:12" ht="14.4" customHeight="1" x14ac:dyDescent="0.3">
      <c r="A1711"/>
      <c r="L1711"/>
    </row>
    <row r="1712" spans="1:12" ht="14.4" customHeight="1" x14ac:dyDescent="0.3">
      <c r="A1712"/>
      <c r="L1712"/>
    </row>
    <row r="1713" spans="1:12" ht="14.4" customHeight="1" x14ac:dyDescent="0.3">
      <c r="A1713"/>
      <c r="L1713"/>
    </row>
    <row r="1714" spans="1:12" ht="14.4" customHeight="1" x14ac:dyDescent="0.3">
      <c r="A1714"/>
      <c r="L1714"/>
    </row>
    <row r="1715" spans="1:12" ht="14.4" customHeight="1" x14ac:dyDescent="0.3">
      <c r="A1715"/>
      <c r="L1715"/>
    </row>
    <row r="1716" spans="1:12" ht="14.4" customHeight="1" x14ac:dyDescent="0.3">
      <c r="A1716"/>
      <c r="L1716"/>
    </row>
    <row r="1717" spans="1:12" ht="14.4" customHeight="1" x14ac:dyDescent="0.3">
      <c r="A1717"/>
      <c r="L1717"/>
    </row>
    <row r="1718" spans="1:12" ht="14.4" customHeight="1" x14ac:dyDescent="0.3">
      <c r="A1718"/>
      <c r="L1718"/>
    </row>
    <row r="1719" spans="1:12" ht="14.4" customHeight="1" x14ac:dyDescent="0.3">
      <c r="A1719"/>
      <c r="L1719"/>
    </row>
    <row r="1720" spans="1:12" ht="14.4" customHeight="1" x14ac:dyDescent="0.3">
      <c r="A1720"/>
      <c r="L1720"/>
    </row>
    <row r="1721" spans="1:12" ht="14.4" customHeight="1" x14ac:dyDescent="0.3">
      <c r="A1721"/>
      <c r="L1721"/>
    </row>
    <row r="1722" spans="1:12" ht="14.4" customHeight="1" x14ac:dyDescent="0.3">
      <c r="A1722"/>
      <c r="L1722"/>
    </row>
    <row r="1723" spans="1:12" ht="14.4" customHeight="1" x14ac:dyDescent="0.3">
      <c r="A1723"/>
      <c r="L1723"/>
    </row>
    <row r="1724" spans="1:12" ht="14.4" customHeight="1" x14ac:dyDescent="0.3">
      <c r="A1724"/>
      <c r="L1724"/>
    </row>
    <row r="1725" spans="1:12" ht="14.4" customHeight="1" x14ac:dyDescent="0.3">
      <c r="A1725"/>
      <c r="L1725"/>
    </row>
    <row r="1726" spans="1:12" ht="14.4" customHeight="1" x14ac:dyDescent="0.3">
      <c r="A1726"/>
      <c r="L1726"/>
    </row>
    <row r="1727" spans="1:12" ht="14.4" customHeight="1" x14ac:dyDescent="0.3">
      <c r="A1727"/>
      <c r="L1727"/>
    </row>
    <row r="1728" spans="1:12" ht="14.4" customHeight="1" x14ac:dyDescent="0.3">
      <c r="A1728"/>
      <c r="L1728"/>
    </row>
    <row r="1729" spans="1:12" ht="14.4" customHeight="1" x14ac:dyDescent="0.3">
      <c r="A1729"/>
      <c r="L1729"/>
    </row>
    <row r="1730" spans="1:12" ht="14.4" customHeight="1" x14ac:dyDescent="0.3">
      <c r="A1730"/>
      <c r="L1730"/>
    </row>
    <row r="1731" spans="1:12" ht="14.4" customHeight="1" x14ac:dyDescent="0.3">
      <c r="A1731"/>
      <c r="L1731"/>
    </row>
    <row r="1732" spans="1:12" ht="14.4" customHeight="1" x14ac:dyDescent="0.3">
      <c r="A1732"/>
      <c r="L1732"/>
    </row>
    <row r="1733" spans="1:12" ht="14.4" customHeight="1" x14ac:dyDescent="0.3">
      <c r="A1733"/>
      <c r="L1733"/>
    </row>
    <row r="1734" spans="1:12" ht="14.4" customHeight="1" x14ac:dyDescent="0.3">
      <c r="A1734"/>
      <c r="L1734"/>
    </row>
    <row r="1735" spans="1:12" ht="14.4" customHeight="1" x14ac:dyDescent="0.3">
      <c r="A1735"/>
      <c r="L1735"/>
    </row>
    <row r="1736" spans="1:12" ht="14.4" customHeight="1" x14ac:dyDescent="0.3">
      <c r="A1736"/>
      <c r="L1736"/>
    </row>
    <row r="1737" spans="1:12" ht="14.4" customHeight="1" x14ac:dyDescent="0.3">
      <c r="A1737"/>
      <c r="L1737"/>
    </row>
    <row r="1738" spans="1:12" ht="14.4" customHeight="1" x14ac:dyDescent="0.3">
      <c r="A1738"/>
      <c r="L1738"/>
    </row>
    <row r="1739" spans="1:12" ht="14.4" customHeight="1" x14ac:dyDescent="0.3">
      <c r="A1739"/>
      <c r="L1739"/>
    </row>
    <row r="1740" spans="1:12" ht="14.4" customHeight="1" x14ac:dyDescent="0.3">
      <c r="A1740"/>
      <c r="L1740"/>
    </row>
    <row r="1741" spans="1:12" ht="14.4" customHeight="1" x14ac:dyDescent="0.3">
      <c r="A1741"/>
      <c r="L1741"/>
    </row>
    <row r="1742" spans="1:12" ht="14.4" customHeight="1" x14ac:dyDescent="0.3">
      <c r="A1742"/>
      <c r="L1742"/>
    </row>
    <row r="1743" spans="1:12" ht="14.4" customHeight="1" x14ac:dyDescent="0.3">
      <c r="A1743"/>
      <c r="L1743"/>
    </row>
    <row r="1744" spans="1:12" ht="14.4" customHeight="1" x14ac:dyDescent="0.3">
      <c r="A1744"/>
      <c r="L1744"/>
    </row>
    <row r="1745" spans="1:12" ht="14.4" customHeight="1" x14ac:dyDescent="0.3">
      <c r="A1745"/>
      <c r="L1745"/>
    </row>
    <row r="1746" spans="1:12" ht="14.4" customHeight="1" x14ac:dyDescent="0.3">
      <c r="A1746"/>
      <c r="L1746"/>
    </row>
    <row r="1747" spans="1:12" ht="14.4" customHeight="1" x14ac:dyDescent="0.3">
      <c r="A1747"/>
      <c r="L1747"/>
    </row>
    <row r="1748" spans="1:12" ht="14.4" customHeight="1" x14ac:dyDescent="0.3">
      <c r="A1748"/>
      <c r="L1748"/>
    </row>
    <row r="1749" spans="1:12" ht="14.4" customHeight="1" x14ac:dyDescent="0.3">
      <c r="A1749"/>
      <c r="L1749"/>
    </row>
    <row r="1750" spans="1:12" ht="14.4" customHeight="1" x14ac:dyDescent="0.3">
      <c r="A1750"/>
      <c r="L1750"/>
    </row>
    <row r="1751" spans="1:12" ht="14.4" customHeight="1" x14ac:dyDescent="0.3">
      <c r="A1751"/>
      <c r="L1751"/>
    </row>
    <row r="1752" spans="1:12" ht="14.4" customHeight="1" x14ac:dyDescent="0.3">
      <c r="A1752"/>
      <c r="L1752"/>
    </row>
    <row r="1753" spans="1:12" ht="14.4" customHeight="1" x14ac:dyDescent="0.3">
      <c r="A1753"/>
      <c r="L1753"/>
    </row>
    <row r="1754" spans="1:12" ht="14.4" customHeight="1" x14ac:dyDescent="0.3">
      <c r="A1754"/>
      <c r="L1754"/>
    </row>
    <row r="1755" spans="1:12" ht="14.4" customHeight="1" x14ac:dyDescent="0.3">
      <c r="A1755"/>
      <c r="L1755"/>
    </row>
    <row r="1756" spans="1:12" ht="14.4" customHeight="1" x14ac:dyDescent="0.3">
      <c r="A1756"/>
      <c r="L1756"/>
    </row>
    <row r="1757" spans="1:12" ht="14.4" customHeight="1" x14ac:dyDescent="0.3">
      <c r="A1757"/>
      <c r="L1757"/>
    </row>
    <row r="1758" spans="1:12" ht="14.4" customHeight="1" x14ac:dyDescent="0.3">
      <c r="A1758"/>
      <c r="L1758"/>
    </row>
    <row r="1759" spans="1:12" ht="14.4" customHeight="1" x14ac:dyDescent="0.3">
      <c r="A1759"/>
      <c r="L1759"/>
    </row>
    <row r="1760" spans="1:12" ht="14.4" customHeight="1" x14ac:dyDescent="0.3">
      <c r="A1760"/>
      <c r="L1760"/>
    </row>
    <row r="1761" spans="1:12" ht="14.4" customHeight="1" x14ac:dyDescent="0.3">
      <c r="A1761"/>
      <c r="L1761"/>
    </row>
    <row r="1762" spans="1:12" ht="14.4" customHeight="1" x14ac:dyDescent="0.3">
      <c r="A1762"/>
      <c r="L1762"/>
    </row>
    <row r="1763" spans="1:12" ht="14.4" customHeight="1" x14ac:dyDescent="0.3">
      <c r="A1763"/>
      <c r="L1763"/>
    </row>
    <row r="1764" spans="1:12" ht="14.4" customHeight="1" x14ac:dyDescent="0.3">
      <c r="A1764"/>
      <c r="L1764"/>
    </row>
    <row r="1765" spans="1:12" ht="14.4" customHeight="1" x14ac:dyDescent="0.3">
      <c r="A1765"/>
      <c r="L1765"/>
    </row>
    <row r="1766" spans="1:12" ht="14.4" customHeight="1" x14ac:dyDescent="0.3">
      <c r="A1766"/>
      <c r="L1766"/>
    </row>
    <row r="1767" spans="1:12" ht="14.4" customHeight="1" x14ac:dyDescent="0.3">
      <c r="A1767"/>
      <c r="L1767"/>
    </row>
    <row r="1768" spans="1:12" ht="14.4" customHeight="1" x14ac:dyDescent="0.3">
      <c r="A1768"/>
      <c r="L1768"/>
    </row>
    <row r="1769" spans="1:12" ht="14.4" customHeight="1" x14ac:dyDescent="0.3">
      <c r="A1769"/>
      <c r="L1769"/>
    </row>
    <row r="1770" spans="1:12" ht="14.4" customHeight="1" x14ac:dyDescent="0.3">
      <c r="A1770"/>
      <c r="L1770"/>
    </row>
    <row r="1771" spans="1:12" ht="14.4" customHeight="1" x14ac:dyDescent="0.3">
      <c r="A1771"/>
      <c r="L1771"/>
    </row>
    <row r="1772" spans="1:12" ht="14.4" customHeight="1" x14ac:dyDescent="0.3">
      <c r="A1772"/>
      <c r="L1772"/>
    </row>
    <row r="1773" spans="1:12" ht="14.4" customHeight="1" x14ac:dyDescent="0.3">
      <c r="A1773"/>
      <c r="L1773"/>
    </row>
    <row r="1774" spans="1:12" ht="14.4" customHeight="1" x14ac:dyDescent="0.3">
      <c r="A1774"/>
      <c r="L1774"/>
    </row>
    <row r="1775" spans="1:12" ht="14.4" customHeight="1" x14ac:dyDescent="0.3">
      <c r="A1775"/>
      <c r="L1775"/>
    </row>
    <row r="1776" spans="1:12" ht="14.4" customHeight="1" x14ac:dyDescent="0.3">
      <c r="A1776"/>
      <c r="L1776"/>
    </row>
    <row r="1777" spans="1:12" ht="14.4" customHeight="1" x14ac:dyDescent="0.3">
      <c r="A1777"/>
      <c r="L1777"/>
    </row>
    <row r="1778" spans="1:12" ht="14.4" customHeight="1" x14ac:dyDescent="0.3">
      <c r="A1778"/>
      <c r="L1778"/>
    </row>
    <row r="1779" spans="1:12" ht="14.4" customHeight="1" x14ac:dyDescent="0.3">
      <c r="A1779"/>
      <c r="L1779"/>
    </row>
    <row r="1780" spans="1:12" ht="14.4" customHeight="1" x14ac:dyDescent="0.3">
      <c r="A1780"/>
      <c r="L1780"/>
    </row>
    <row r="1781" spans="1:12" ht="14.4" customHeight="1" x14ac:dyDescent="0.3">
      <c r="A1781"/>
      <c r="L1781"/>
    </row>
    <row r="1782" spans="1:12" ht="14.4" customHeight="1" x14ac:dyDescent="0.3">
      <c r="A1782"/>
      <c r="L1782"/>
    </row>
    <row r="1783" spans="1:12" ht="14.4" customHeight="1" x14ac:dyDescent="0.3">
      <c r="A1783"/>
      <c r="L1783"/>
    </row>
    <row r="1784" spans="1:12" ht="14.4" customHeight="1" x14ac:dyDescent="0.3">
      <c r="A1784"/>
      <c r="L1784"/>
    </row>
    <row r="1785" spans="1:12" ht="14.4" customHeight="1" x14ac:dyDescent="0.3">
      <c r="A1785"/>
      <c r="L1785"/>
    </row>
    <row r="1786" spans="1:12" ht="14.4" customHeight="1" x14ac:dyDescent="0.3">
      <c r="A1786"/>
      <c r="L1786"/>
    </row>
    <row r="1787" spans="1:12" ht="14.4" customHeight="1" x14ac:dyDescent="0.3">
      <c r="A1787"/>
      <c r="L1787"/>
    </row>
    <row r="1788" spans="1:12" ht="14.4" customHeight="1" x14ac:dyDescent="0.3">
      <c r="A1788"/>
      <c r="L1788"/>
    </row>
    <row r="1789" spans="1:12" ht="14.4" customHeight="1" x14ac:dyDescent="0.3">
      <c r="A1789"/>
      <c r="L1789"/>
    </row>
    <row r="1790" spans="1:12" ht="14.4" customHeight="1" x14ac:dyDescent="0.3">
      <c r="A1790"/>
      <c r="L1790"/>
    </row>
    <row r="1791" spans="1:12" ht="14.4" customHeight="1" x14ac:dyDescent="0.3">
      <c r="A1791"/>
      <c r="L1791"/>
    </row>
    <row r="1792" spans="1:12" ht="14.4" customHeight="1" x14ac:dyDescent="0.3">
      <c r="A1792"/>
      <c r="L1792"/>
    </row>
    <row r="1793" spans="1:12" ht="14.4" customHeight="1" x14ac:dyDescent="0.3">
      <c r="A1793"/>
      <c r="L1793"/>
    </row>
    <row r="1794" spans="1:12" ht="14.4" customHeight="1" x14ac:dyDescent="0.3">
      <c r="A1794"/>
      <c r="L1794"/>
    </row>
    <row r="1795" spans="1:12" ht="14.4" customHeight="1" x14ac:dyDescent="0.3">
      <c r="A1795"/>
      <c r="L1795"/>
    </row>
    <row r="1796" spans="1:12" ht="14.4" customHeight="1" x14ac:dyDescent="0.3">
      <c r="A1796"/>
      <c r="L1796"/>
    </row>
    <row r="1797" spans="1:12" ht="14.4" customHeight="1" x14ac:dyDescent="0.3">
      <c r="A1797"/>
      <c r="L1797"/>
    </row>
    <row r="1798" spans="1:12" ht="14.4" customHeight="1" x14ac:dyDescent="0.3">
      <c r="A1798"/>
      <c r="L1798"/>
    </row>
    <row r="1799" spans="1:12" ht="14.4" customHeight="1" x14ac:dyDescent="0.3">
      <c r="A1799"/>
      <c r="L1799"/>
    </row>
    <row r="1800" spans="1:12" ht="14.4" customHeight="1" x14ac:dyDescent="0.3">
      <c r="A1800"/>
      <c r="L1800"/>
    </row>
    <row r="1801" spans="1:12" ht="14.4" customHeight="1" x14ac:dyDescent="0.3">
      <c r="A1801"/>
      <c r="L1801"/>
    </row>
    <row r="1802" spans="1:12" ht="14.4" customHeight="1" x14ac:dyDescent="0.3">
      <c r="A1802"/>
      <c r="L1802"/>
    </row>
    <row r="1803" spans="1:12" ht="14.4" customHeight="1" x14ac:dyDescent="0.3">
      <c r="A1803"/>
      <c r="L1803"/>
    </row>
    <row r="1804" spans="1:12" ht="14.4" customHeight="1" x14ac:dyDescent="0.3">
      <c r="A1804"/>
      <c r="L1804"/>
    </row>
    <row r="1805" spans="1:12" ht="14.4" customHeight="1" x14ac:dyDescent="0.3">
      <c r="A1805"/>
      <c r="L1805"/>
    </row>
    <row r="1806" spans="1:12" ht="14.4" customHeight="1" x14ac:dyDescent="0.3">
      <c r="A1806"/>
      <c r="L1806"/>
    </row>
    <row r="1807" spans="1:12" ht="14.4" customHeight="1" x14ac:dyDescent="0.3">
      <c r="A1807"/>
      <c r="L1807"/>
    </row>
    <row r="1808" spans="1:12" ht="14.4" customHeight="1" x14ac:dyDescent="0.3">
      <c r="A1808"/>
      <c r="L1808"/>
    </row>
    <row r="1809" spans="1:12" ht="14.4" customHeight="1" x14ac:dyDescent="0.3">
      <c r="A1809"/>
      <c r="L1809"/>
    </row>
    <row r="1810" spans="1:12" ht="14.4" customHeight="1" x14ac:dyDescent="0.3">
      <c r="A1810"/>
      <c r="L1810"/>
    </row>
    <row r="1811" spans="1:12" ht="14.4" customHeight="1" x14ac:dyDescent="0.3">
      <c r="A1811"/>
      <c r="L1811"/>
    </row>
    <row r="1812" spans="1:12" ht="14.4" customHeight="1" x14ac:dyDescent="0.3">
      <c r="A1812"/>
      <c r="L1812"/>
    </row>
    <row r="1813" spans="1:12" ht="14.4" customHeight="1" x14ac:dyDescent="0.3">
      <c r="A1813"/>
      <c r="L1813"/>
    </row>
    <row r="1814" spans="1:12" ht="14.4" customHeight="1" x14ac:dyDescent="0.3">
      <c r="A1814"/>
      <c r="L1814"/>
    </row>
    <row r="1815" spans="1:12" ht="14.4" customHeight="1" x14ac:dyDescent="0.3">
      <c r="A1815"/>
      <c r="L1815"/>
    </row>
    <row r="1816" spans="1:12" ht="14.4" customHeight="1" x14ac:dyDescent="0.3">
      <c r="A1816"/>
      <c r="L1816"/>
    </row>
    <row r="1817" spans="1:12" ht="14.4" customHeight="1" x14ac:dyDescent="0.3">
      <c r="A1817"/>
      <c r="L1817"/>
    </row>
    <row r="1818" spans="1:12" ht="14.4" customHeight="1" x14ac:dyDescent="0.3">
      <c r="A1818"/>
      <c r="L1818"/>
    </row>
    <row r="1819" spans="1:12" ht="14.4" customHeight="1" x14ac:dyDescent="0.3">
      <c r="A1819"/>
      <c r="L1819"/>
    </row>
    <row r="1820" spans="1:12" ht="14.4" customHeight="1" x14ac:dyDescent="0.3">
      <c r="A1820"/>
      <c r="L1820"/>
    </row>
    <row r="1821" spans="1:12" ht="14.4" customHeight="1" x14ac:dyDescent="0.3">
      <c r="A1821"/>
      <c r="L1821"/>
    </row>
    <row r="1822" spans="1:12" ht="14.4" customHeight="1" x14ac:dyDescent="0.3">
      <c r="A1822"/>
      <c r="L1822"/>
    </row>
    <row r="1823" spans="1:12" ht="14.4" customHeight="1" x14ac:dyDescent="0.3">
      <c r="A1823"/>
      <c r="L1823"/>
    </row>
    <row r="1824" spans="1:12" ht="14.4" customHeight="1" x14ac:dyDescent="0.3">
      <c r="A1824"/>
      <c r="L1824"/>
    </row>
    <row r="1825" spans="1:12" ht="14.4" customHeight="1" x14ac:dyDescent="0.3">
      <c r="A1825"/>
      <c r="L1825"/>
    </row>
    <row r="1826" spans="1:12" ht="14.4" customHeight="1" x14ac:dyDescent="0.3">
      <c r="A1826"/>
      <c r="L1826"/>
    </row>
    <row r="1827" spans="1:12" ht="14.4" customHeight="1" x14ac:dyDescent="0.3">
      <c r="A1827"/>
      <c r="L1827"/>
    </row>
    <row r="1828" spans="1:12" ht="14.4" customHeight="1" x14ac:dyDescent="0.3">
      <c r="A1828"/>
      <c r="L1828"/>
    </row>
    <row r="1829" spans="1:12" ht="14.4" customHeight="1" x14ac:dyDescent="0.3">
      <c r="A1829"/>
      <c r="L1829"/>
    </row>
    <row r="1830" spans="1:12" ht="14.4" customHeight="1" x14ac:dyDescent="0.3">
      <c r="A1830"/>
      <c r="L1830"/>
    </row>
    <row r="1831" spans="1:12" ht="14.4" customHeight="1" x14ac:dyDescent="0.3">
      <c r="A1831"/>
      <c r="L1831"/>
    </row>
    <row r="1832" spans="1:12" ht="14.4" customHeight="1" x14ac:dyDescent="0.3">
      <c r="A1832"/>
      <c r="L1832"/>
    </row>
    <row r="1833" spans="1:12" ht="14.4" customHeight="1" x14ac:dyDescent="0.3">
      <c r="A1833"/>
      <c r="L1833"/>
    </row>
    <row r="1834" spans="1:12" ht="14.4" customHeight="1" x14ac:dyDescent="0.3">
      <c r="A1834"/>
      <c r="L1834"/>
    </row>
    <row r="1835" spans="1:12" ht="14.4" customHeight="1" x14ac:dyDescent="0.3">
      <c r="A1835"/>
      <c r="L1835"/>
    </row>
    <row r="1836" spans="1:12" ht="14.4" customHeight="1" x14ac:dyDescent="0.3">
      <c r="A1836"/>
      <c r="L1836"/>
    </row>
    <row r="1837" spans="1:12" ht="14.4" customHeight="1" x14ac:dyDescent="0.3">
      <c r="A1837"/>
      <c r="L1837"/>
    </row>
    <row r="1838" spans="1:12" ht="14.4" customHeight="1" x14ac:dyDescent="0.3">
      <c r="A1838"/>
      <c r="L1838"/>
    </row>
    <row r="1839" spans="1:12" ht="14.4" customHeight="1" x14ac:dyDescent="0.3">
      <c r="A1839"/>
      <c r="L1839"/>
    </row>
    <row r="1840" spans="1:12" ht="14.4" customHeight="1" x14ac:dyDescent="0.3">
      <c r="A1840"/>
      <c r="L1840"/>
    </row>
    <row r="1841" spans="1:12" ht="14.4" customHeight="1" x14ac:dyDescent="0.3">
      <c r="A1841"/>
      <c r="L1841"/>
    </row>
    <row r="1842" spans="1:12" ht="14.4" customHeight="1" x14ac:dyDescent="0.3">
      <c r="A1842"/>
      <c r="L1842"/>
    </row>
    <row r="1843" spans="1:12" ht="14.4" customHeight="1" x14ac:dyDescent="0.3">
      <c r="A1843"/>
      <c r="L1843"/>
    </row>
    <row r="1844" spans="1:12" ht="14.4" customHeight="1" x14ac:dyDescent="0.3">
      <c r="A1844"/>
      <c r="L1844"/>
    </row>
    <row r="1845" spans="1:12" ht="14.4" customHeight="1" x14ac:dyDescent="0.3">
      <c r="A1845"/>
      <c r="L1845"/>
    </row>
    <row r="1846" spans="1:12" ht="14.4" customHeight="1" x14ac:dyDescent="0.3">
      <c r="A1846"/>
      <c r="L1846"/>
    </row>
    <row r="1847" spans="1:12" ht="14.4" customHeight="1" x14ac:dyDescent="0.3">
      <c r="A1847"/>
      <c r="L1847"/>
    </row>
    <row r="1848" spans="1:12" ht="14.4" customHeight="1" x14ac:dyDescent="0.3">
      <c r="A1848"/>
      <c r="L1848"/>
    </row>
    <row r="1849" spans="1:12" ht="14.4" customHeight="1" x14ac:dyDescent="0.3">
      <c r="A1849"/>
      <c r="L1849"/>
    </row>
    <row r="1850" spans="1:12" ht="14.4" customHeight="1" x14ac:dyDescent="0.3">
      <c r="A1850"/>
      <c r="L1850"/>
    </row>
    <row r="1851" spans="1:12" ht="14.4" customHeight="1" x14ac:dyDescent="0.3">
      <c r="A1851"/>
      <c r="L1851"/>
    </row>
    <row r="1852" spans="1:12" ht="14.4" customHeight="1" x14ac:dyDescent="0.3">
      <c r="A1852"/>
      <c r="L1852"/>
    </row>
    <row r="1853" spans="1:12" ht="14.4" customHeight="1" x14ac:dyDescent="0.3">
      <c r="A1853"/>
      <c r="L1853"/>
    </row>
    <row r="1854" spans="1:12" ht="14.4" customHeight="1" x14ac:dyDescent="0.3">
      <c r="A1854"/>
      <c r="L1854"/>
    </row>
    <row r="1855" spans="1:12" ht="14.4" customHeight="1" x14ac:dyDescent="0.3">
      <c r="A1855"/>
      <c r="L1855"/>
    </row>
    <row r="1856" spans="1:12" ht="14.4" customHeight="1" x14ac:dyDescent="0.3">
      <c r="A1856"/>
      <c r="L1856"/>
    </row>
    <row r="1857" spans="1:12" ht="14.4" customHeight="1" x14ac:dyDescent="0.3">
      <c r="A1857"/>
      <c r="L1857"/>
    </row>
    <row r="1858" spans="1:12" ht="14.4" customHeight="1" x14ac:dyDescent="0.3">
      <c r="A1858"/>
      <c r="L1858"/>
    </row>
    <row r="1859" spans="1:12" ht="14.4" customHeight="1" x14ac:dyDescent="0.3">
      <c r="A1859"/>
      <c r="L1859"/>
    </row>
    <row r="1860" spans="1:12" ht="14.4" customHeight="1" x14ac:dyDescent="0.3">
      <c r="A1860"/>
      <c r="L1860"/>
    </row>
    <row r="1861" spans="1:12" ht="14.4" customHeight="1" x14ac:dyDescent="0.3">
      <c r="A1861"/>
      <c r="L1861"/>
    </row>
    <row r="1862" spans="1:12" ht="14.4" customHeight="1" x14ac:dyDescent="0.3">
      <c r="A1862"/>
      <c r="L1862"/>
    </row>
    <row r="1863" spans="1:12" ht="14.4" customHeight="1" x14ac:dyDescent="0.3">
      <c r="A1863"/>
      <c r="L1863"/>
    </row>
    <row r="1864" spans="1:12" ht="14.4" customHeight="1" x14ac:dyDescent="0.3">
      <c r="A1864"/>
      <c r="L1864"/>
    </row>
    <row r="1865" spans="1:12" ht="14.4" customHeight="1" x14ac:dyDescent="0.3">
      <c r="A1865"/>
      <c r="L1865"/>
    </row>
    <row r="1866" spans="1:12" ht="14.4" customHeight="1" x14ac:dyDescent="0.3">
      <c r="A1866"/>
      <c r="L1866"/>
    </row>
    <row r="1867" spans="1:12" ht="14.4" customHeight="1" x14ac:dyDescent="0.3">
      <c r="A1867"/>
      <c r="L1867"/>
    </row>
    <row r="1868" spans="1:12" ht="14.4" customHeight="1" x14ac:dyDescent="0.3">
      <c r="A1868"/>
      <c r="L1868"/>
    </row>
    <row r="1869" spans="1:12" ht="14.4" customHeight="1" x14ac:dyDescent="0.3">
      <c r="A1869"/>
      <c r="L1869"/>
    </row>
    <row r="1870" spans="1:12" ht="14.4" customHeight="1" x14ac:dyDescent="0.3">
      <c r="A1870"/>
      <c r="L1870"/>
    </row>
    <row r="1871" spans="1:12" ht="14.4" customHeight="1" x14ac:dyDescent="0.3">
      <c r="A1871"/>
      <c r="L1871"/>
    </row>
    <row r="1872" spans="1:12" ht="14.4" customHeight="1" x14ac:dyDescent="0.3">
      <c r="A1872"/>
      <c r="L1872"/>
    </row>
    <row r="1873" spans="1:12" ht="14.4" customHeight="1" x14ac:dyDescent="0.3">
      <c r="A1873"/>
      <c r="L1873"/>
    </row>
    <row r="1874" spans="1:12" ht="14.4" customHeight="1" x14ac:dyDescent="0.3">
      <c r="A1874"/>
      <c r="L1874"/>
    </row>
    <row r="1875" spans="1:12" ht="14.4" customHeight="1" x14ac:dyDescent="0.3">
      <c r="A1875"/>
      <c r="L1875"/>
    </row>
    <row r="1876" spans="1:12" ht="14.4" customHeight="1" x14ac:dyDescent="0.3">
      <c r="A1876"/>
      <c r="L1876"/>
    </row>
    <row r="1877" spans="1:12" ht="14.4" customHeight="1" x14ac:dyDescent="0.3">
      <c r="A1877"/>
      <c r="L1877"/>
    </row>
    <row r="1878" spans="1:12" ht="14.4" customHeight="1" x14ac:dyDescent="0.3">
      <c r="A1878"/>
      <c r="L1878"/>
    </row>
    <row r="1879" spans="1:12" ht="14.4" customHeight="1" x14ac:dyDescent="0.3">
      <c r="A1879"/>
      <c r="L1879"/>
    </row>
    <row r="1880" spans="1:12" ht="14.4" customHeight="1" x14ac:dyDescent="0.3">
      <c r="A1880"/>
      <c r="L1880"/>
    </row>
    <row r="1881" spans="1:12" ht="14.4" customHeight="1" x14ac:dyDescent="0.3">
      <c r="A1881"/>
      <c r="L1881"/>
    </row>
    <row r="1882" spans="1:12" ht="14.4" customHeight="1" x14ac:dyDescent="0.3">
      <c r="A1882"/>
      <c r="L1882"/>
    </row>
    <row r="1883" spans="1:12" ht="14.4" customHeight="1" x14ac:dyDescent="0.3">
      <c r="A1883"/>
      <c r="L1883"/>
    </row>
    <row r="1884" spans="1:12" ht="14.4" customHeight="1" x14ac:dyDescent="0.3">
      <c r="A1884"/>
      <c r="L1884"/>
    </row>
    <row r="1885" spans="1:12" ht="14.4" customHeight="1" x14ac:dyDescent="0.3">
      <c r="A1885"/>
      <c r="L1885"/>
    </row>
    <row r="1886" spans="1:12" ht="14.4" customHeight="1" x14ac:dyDescent="0.3">
      <c r="A1886"/>
      <c r="L1886"/>
    </row>
    <row r="1887" spans="1:12" ht="14.4" customHeight="1" x14ac:dyDescent="0.3">
      <c r="A1887"/>
      <c r="L1887"/>
    </row>
    <row r="1888" spans="1:12" ht="14.4" customHeight="1" x14ac:dyDescent="0.3">
      <c r="A1888"/>
      <c r="L1888"/>
    </row>
    <row r="1889" spans="1:12" ht="14.4" customHeight="1" x14ac:dyDescent="0.3">
      <c r="A1889"/>
      <c r="L1889"/>
    </row>
    <row r="1890" spans="1:12" ht="14.4" customHeight="1" x14ac:dyDescent="0.3">
      <c r="A1890"/>
      <c r="L1890"/>
    </row>
    <row r="1891" spans="1:12" ht="14.4" customHeight="1" x14ac:dyDescent="0.3">
      <c r="A1891"/>
      <c r="L1891"/>
    </row>
    <row r="1892" spans="1:12" ht="14.4" customHeight="1" x14ac:dyDescent="0.3">
      <c r="A1892"/>
      <c r="L1892"/>
    </row>
    <row r="1893" spans="1:12" ht="14.4" customHeight="1" x14ac:dyDescent="0.3">
      <c r="A1893"/>
      <c r="L1893"/>
    </row>
    <row r="1894" spans="1:12" ht="14.4" customHeight="1" x14ac:dyDescent="0.3">
      <c r="A1894"/>
      <c r="L1894"/>
    </row>
    <row r="1895" spans="1:12" ht="14.4" customHeight="1" x14ac:dyDescent="0.3">
      <c r="A1895"/>
      <c r="L1895"/>
    </row>
    <row r="1896" spans="1:12" ht="14.4" customHeight="1" x14ac:dyDescent="0.3">
      <c r="A1896"/>
      <c r="L1896"/>
    </row>
    <row r="1897" spans="1:12" ht="14.4" customHeight="1" x14ac:dyDescent="0.3">
      <c r="A1897"/>
      <c r="L1897"/>
    </row>
    <row r="1898" spans="1:12" ht="14.4" customHeight="1" x14ac:dyDescent="0.3">
      <c r="A1898"/>
      <c r="L1898"/>
    </row>
    <row r="1899" spans="1:12" ht="14.4" customHeight="1" x14ac:dyDescent="0.3">
      <c r="A1899"/>
      <c r="L1899"/>
    </row>
    <row r="1900" spans="1:12" ht="14.4" customHeight="1" x14ac:dyDescent="0.3">
      <c r="A1900"/>
      <c r="L1900"/>
    </row>
    <row r="1901" spans="1:12" ht="14.4" customHeight="1" x14ac:dyDescent="0.3">
      <c r="A1901"/>
      <c r="L1901"/>
    </row>
    <row r="1902" spans="1:12" ht="14.4" customHeight="1" x14ac:dyDescent="0.3">
      <c r="A1902"/>
      <c r="L1902"/>
    </row>
    <row r="1903" spans="1:12" ht="14.4" customHeight="1" x14ac:dyDescent="0.3">
      <c r="A1903"/>
      <c r="L1903"/>
    </row>
    <row r="1904" spans="1:12" ht="14.4" customHeight="1" x14ac:dyDescent="0.3">
      <c r="A1904"/>
      <c r="L1904"/>
    </row>
    <row r="1905" spans="1:12" ht="14.4" customHeight="1" x14ac:dyDescent="0.3">
      <c r="A1905"/>
      <c r="L1905"/>
    </row>
    <row r="1906" spans="1:12" ht="14.4" customHeight="1" x14ac:dyDescent="0.3">
      <c r="A1906"/>
      <c r="L1906"/>
    </row>
    <row r="1907" spans="1:12" ht="14.4" customHeight="1" x14ac:dyDescent="0.3">
      <c r="A1907"/>
      <c r="L1907"/>
    </row>
    <row r="1908" spans="1:12" ht="14.4" customHeight="1" x14ac:dyDescent="0.3">
      <c r="A1908"/>
      <c r="L1908"/>
    </row>
    <row r="1909" spans="1:12" ht="14.4" customHeight="1" x14ac:dyDescent="0.3">
      <c r="A1909"/>
      <c r="L1909"/>
    </row>
    <row r="1910" spans="1:12" ht="14.4" customHeight="1" x14ac:dyDescent="0.3">
      <c r="A1910"/>
      <c r="L1910"/>
    </row>
    <row r="1911" spans="1:12" ht="14.4" customHeight="1" x14ac:dyDescent="0.3">
      <c r="A1911"/>
      <c r="L1911"/>
    </row>
    <row r="1912" spans="1:12" ht="14.4" customHeight="1" x14ac:dyDescent="0.3">
      <c r="A1912"/>
      <c r="L1912"/>
    </row>
    <row r="1913" spans="1:12" ht="14.4" customHeight="1" x14ac:dyDescent="0.3">
      <c r="A1913"/>
      <c r="L1913"/>
    </row>
    <row r="1914" spans="1:12" ht="14.4" customHeight="1" x14ac:dyDescent="0.3">
      <c r="A1914"/>
      <c r="L1914"/>
    </row>
    <row r="1915" spans="1:12" ht="14.4" customHeight="1" x14ac:dyDescent="0.3">
      <c r="A1915"/>
      <c r="L1915"/>
    </row>
    <row r="1916" spans="1:12" ht="14.4" customHeight="1" x14ac:dyDescent="0.3">
      <c r="A1916"/>
      <c r="L1916"/>
    </row>
    <row r="1917" spans="1:12" ht="14.4" customHeight="1" x14ac:dyDescent="0.3">
      <c r="A1917"/>
      <c r="L1917"/>
    </row>
    <row r="1918" spans="1:12" ht="14.4" customHeight="1" x14ac:dyDescent="0.3">
      <c r="A1918"/>
      <c r="L1918"/>
    </row>
    <row r="1919" spans="1:12" ht="14.4" customHeight="1" x14ac:dyDescent="0.3">
      <c r="A1919"/>
      <c r="L1919"/>
    </row>
    <row r="1920" spans="1:12" ht="14.4" customHeight="1" x14ac:dyDescent="0.3">
      <c r="A1920"/>
      <c r="L1920"/>
    </row>
    <row r="1921" spans="1:12" ht="14.4" customHeight="1" x14ac:dyDescent="0.3">
      <c r="A1921"/>
      <c r="L1921"/>
    </row>
    <row r="1922" spans="1:12" ht="14.4" customHeight="1" x14ac:dyDescent="0.3">
      <c r="A1922"/>
      <c r="L1922"/>
    </row>
    <row r="1923" spans="1:12" ht="14.4" customHeight="1" x14ac:dyDescent="0.3">
      <c r="A1923"/>
      <c r="L1923"/>
    </row>
    <row r="1924" spans="1:12" ht="14.4" customHeight="1" x14ac:dyDescent="0.3">
      <c r="A1924"/>
      <c r="L1924"/>
    </row>
    <row r="1925" spans="1:12" ht="14.4" customHeight="1" x14ac:dyDescent="0.3">
      <c r="A1925"/>
      <c r="L1925"/>
    </row>
    <row r="1926" spans="1:12" ht="14.4" customHeight="1" x14ac:dyDescent="0.3">
      <c r="A1926"/>
      <c r="L1926"/>
    </row>
    <row r="1927" spans="1:12" ht="14.4" customHeight="1" x14ac:dyDescent="0.3">
      <c r="A1927"/>
      <c r="L1927"/>
    </row>
    <row r="1928" spans="1:12" ht="14.4" customHeight="1" x14ac:dyDescent="0.3">
      <c r="A1928"/>
      <c r="L1928"/>
    </row>
    <row r="1929" spans="1:12" ht="14.4" customHeight="1" x14ac:dyDescent="0.3">
      <c r="A1929"/>
      <c r="L1929"/>
    </row>
    <row r="1930" spans="1:12" ht="14.4" customHeight="1" x14ac:dyDescent="0.3">
      <c r="A1930"/>
      <c r="L1930"/>
    </row>
    <row r="1931" spans="1:12" ht="14.4" customHeight="1" x14ac:dyDescent="0.3">
      <c r="A1931"/>
      <c r="L1931"/>
    </row>
    <row r="1932" spans="1:12" ht="14.4" customHeight="1" x14ac:dyDescent="0.3">
      <c r="A1932"/>
      <c r="L1932"/>
    </row>
    <row r="1933" spans="1:12" ht="14.4" customHeight="1" x14ac:dyDescent="0.3">
      <c r="A1933"/>
      <c r="L1933"/>
    </row>
    <row r="1934" spans="1:12" ht="14.4" customHeight="1" x14ac:dyDescent="0.3">
      <c r="A1934"/>
      <c r="L1934"/>
    </row>
    <row r="1935" spans="1:12" ht="14.4" customHeight="1" x14ac:dyDescent="0.3">
      <c r="A1935"/>
      <c r="L1935"/>
    </row>
    <row r="1936" spans="1:12" ht="14.4" customHeight="1" x14ac:dyDescent="0.3">
      <c r="A1936"/>
      <c r="L1936"/>
    </row>
    <row r="1937" spans="1:12" ht="14.4" customHeight="1" x14ac:dyDescent="0.3">
      <c r="A1937"/>
      <c r="L1937"/>
    </row>
    <row r="1938" spans="1:12" ht="14.4" customHeight="1" x14ac:dyDescent="0.3">
      <c r="A1938"/>
      <c r="L1938"/>
    </row>
    <row r="1939" spans="1:12" ht="14.4" customHeight="1" x14ac:dyDescent="0.3">
      <c r="A1939"/>
      <c r="L1939"/>
    </row>
    <row r="1940" spans="1:12" ht="14.4" customHeight="1" x14ac:dyDescent="0.3">
      <c r="A1940"/>
      <c r="L1940"/>
    </row>
    <row r="1941" spans="1:12" ht="14.4" customHeight="1" x14ac:dyDescent="0.3">
      <c r="A1941"/>
      <c r="L1941"/>
    </row>
    <row r="1942" spans="1:12" ht="14.4" customHeight="1" x14ac:dyDescent="0.3">
      <c r="A1942"/>
      <c r="L1942"/>
    </row>
    <row r="1943" spans="1:12" ht="14.4" customHeight="1" x14ac:dyDescent="0.3">
      <c r="A1943"/>
      <c r="L1943"/>
    </row>
    <row r="1944" spans="1:12" ht="14.4" customHeight="1" x14ac:dyDescent="0.3">
      <c r="A1944"/>
      <c r="L1944"/>
    </row>
    <row r="1945" spans="1:12" ht="14.4" customHeight="1" x14ac:dyDescent="0.3">
      <c r="A1945"/>
      <c r="L1945"/>
    </row>
    <row r="1946" spans="1:12" ht="14.4" customHeight="1" x14ac:dyDescent="0.3">
      <c r="A1946"/>
      <c r="L1946"/>
    </row>
    <row r="1947" spans="1:12" ht="14.4" customHeight="1" x14ac:dyDescent="0.3">
      <c r="A1947"/>
      <c r="L1947"/>
    </row>
    <row r="1948" spans="1:12" ht="14.4" customHeight="1" x14ac:dyDescent="0.3">
      <c r="A1948"/>
      <c r="L1948"/>
    </row>
    <row r="1949" spans="1:12" ht="14.4" customHeight="1" x14ac:dyDescent="0.3">
      <c r="A1949"/>
      <c r="L1949"/>
    </row>
    <row r="1950" spans="1:12" ht="14.4" customHeight="1" x14ac:dyDescent="0.3">
      <c r="A1950"/>
      <c r="L1950"/>
    </row>
    <row r="1951" spans="1:12" ht="14.4" customHeight="1" x14ac:dyDescent="0.3">
      <c r="A1951"/>
      <c r="L1951"/>
    </row>
    <row r="1952" spans="1:12" ht="14.4" customHeight="1" x14ac:dyDescent="0.3">
      <c r="A1952"/>
      <c r="L1952"/>
    </row>
    <row r="1953" spans="1:12" ht="14.4" customHeight="1" x14ac:dyDescent="0.3">
      <c r="A1953"/>
      <c r="L1953"/>
    </row>
    <row r="1954" spans="1:12" ht="14.4" customHeight="1" x14ac:dyDescent="0.3">
      <c r="A1954"/>
      <c r="L1954"/>
    </row>
    <row r="1955" spans="1:12" ht="14.4" customHeight="1" x14ac:dyDescent="0.3">
      <c r="A1955"/>
      <c r="L1955"/>
    </row>
    <row r="1956" spans="1:12" ht="14.4" customHeight="1" x14ac:dyDescent="0.3">
      <c r="A1956"/>
      <c r="L1956"/>
    </row>
    <row r="1957" spans="1:12" ht="14.4" customHeight="1" x14ac:dyDescent="0.3">
      <c r="A1957"/>
      <c r="L1957"/>
    </row>
    <row r="1958" spans="1:12" ht="14.4" customHeight="1" x14ac:dyDescent="0.3">
      <c r="A1958"/>
      <c r="L1958"/>
    </row>
    <row r="1959" spans="1:12" ht="14.4" customHeight="1" x14ac:dyDescent="0.3">
      <c r="A1959"/>
      <c r="L1959"/>
    </row>
    <row r="1960" spans="1:12" ht="14.4" customHeight="1" x14ac:dyDescent="0.3">
      <c r="A1960"/>
      <c r="L1960"/>
    </row>
    <row r="1961" spans="1:12" ht="14.4" customHeight="1" x14ac:dyDescent="0.3">
      <c r="A1961"/>
      <c r="L1961"/>
    </row>
    <row r="1962" spans="1:12" ht="14.4" customHeight="1" x14ac:dyDescent="0.3">
      <c r="A1962"/>
      <c r="L1962"/>
    </row>
    <row r="1963" spans="1:12" ht="14.4" customHeight="1" x14ac:dyDescent="0.3">
      <c r="A1963"/>
      <c r="L1963"/>
    </row>
    <row r="1964" spans="1:12" ht="14.4" customHeight="1" x14ac:dyDescent="0.3">
      <c r="A1964"/>
      <c r="L1964"/>
    </row>
    <row r="1965" spans="1:12" ht="14.4" customHeight="1" x14ac:dyDescent="0.3">
      <c r="A1965"/>
      <c r="L1965"/>
    </row>
    <row r="1966" spans="1:12" ht="14.4" customHeight="1" x14ac:dyDescent="0.3">
      <c r="A1966"/>
      <c r="L1966"/>
    </row>
    <row r="1967" spans="1:12" ht="14.4" customHeight="1" x14ac:dyDescent="0.3">
      <c r="A1967"/>
      <c r="L1967"/>
    </row>
    <row r="1968" spans="1:12" ht="14.4" customHeight="1" x14ac:dyDescent="0.3">
      <c r="A1968"/>
      <c r="L1968"/>
    </row>
    <row r="1969" spans="1:12" ht="14.4" customHeight="1" x14ac:dyDescent="0.3">
      <c r="A1969"/>
      <c r="L1969"/>
    </row>
    <row r="1970" spans="1:12" ht="14.4" customHeight="1" x14ac:dyDescent="0.3">
      <c r="A1970"/>
      <c r="L1970"/>
    </row>
    <row r="1971" spans="1:12" ht="14.4" customHeight="1" x14ac:dyDescent="0.3">
      <c r="A1971"/>
      <c r="L1971"/>
    </row>
    <row r="1972" spans="1:12" ht="14.4" customHeight="1" x14ac:dyDescent="0.3">
      <c r="A1972"/>
      <c r="L1972"/>
    </row>
    <row r="1973" spans="1:12" ht="14.4" customHeight="1" x14ac:dyDescent="0.3">
      <c r="A1973"/>
      <c r="L1973"/>
    </row>
    <row r="1974" spans="1:12" ht="14.4" customHeight="1" x14ac:dyDescent="0.3">
      <c r="A1974"/>
      <c r="L1974"/>
    </row>
    <row r="1975" spans="1:12" ht="14.4" customHeight="1" x14ac:dyDescent="0.3">
      <c r="A1975"/>
      <c r="L1975"/>
    </row>
    <row r="1976" spans="1:12" ht="14.4" customHeight="1" x14ac:dyDescent="0.3">
      <c r="A1976"/>
      <c r="L1976"/>
    </row>
    <row r="1977" spans="1:12" ht="14.4" customHeight="1" x14ac:dyDescent="0.3">
      <c r="A1977"/>
      <c r="L1977"/>
    </row>
    <row r="1978" spans="1:12" ht="14.4" customHeight="1" x14ac:dyDescent="0.3">
      <c r="A1978"/>
      <c r="L1978"/>
    </row>
    <row r="1979" spans="1:12" ht="14.4" customHeight="1" x14ac:dyDescent="0.3">
      <c r="A1979"/>
      <c r="L1979"/>
    </row>
    <row r="1980" spans="1:12" ht="14.4" customHeight="1" x14ac:dyDescent="0.3">
      <c r="A1980"/>
      <c r="L1980"/>
    </row>
    <row r="1981" spans="1:12" ht="14.4" customHeight="1" x14ac:dyDescent="0.3">
      <c r="A1981"/>
      <c r="L1981"/>
    </row>
    <row r="1982" spans="1:12" ht="14.4" customHeight="1" x14ac:dyDescent="0.3">
      <c r="A1982"/>
      <c r="L1982"/>
    </row>
    <row r="1983" spans="1:12" ht="14.4" customHeight="1" x14ac:dyDescent="0.3">
      <c r="A1983"/>
      <c r="L1983"/>
    </row>
    <row r="1984" spans="1:12" ht="14.4" customHeight="1" x14ac:dyDescent="0.3">
      <c r="A1984"/>
      <c r="L1984"/>
    </row>
    <row r="1985" spans="1:12" ht="14.4" customHeight="1" x14ac:dyDescent="0.3">
      <c r="A1985"/>
      <c r="L1985"/>
    </row>
    <row r="1986" spans="1:12" ht="14.4" customHeight="1" x14ac:dyDescent="0.3">
      <c r="A1986"/>
      <c r="L1986"/>
    </row>
    <row r="1987" spans="1:12" ht="14.4" customHeight="1" x14ac:dyDescent="0.3">
      <c r="A1987"/>
      <c r="L1987"/>
    </row>
    <row r="1988" spans="1:12" ht="14.4" customHeight="1" x14ac:dyDescent="0.3">
      <c r="A1988"/>
      <c r="L1988"/>
    </row>
    <row r="1989" spans="1:12" ht="14.4" customHeight="1" x14ac:dyDescent="0.3">
      <c r="A1989"/>
      <c r="L1989"/>
    </row>
    <row r="1990" spans="1:12" ht="14.4" customHeight="1" x14ac:dyDescent="0.3">
      <c r="A1990"/>
      <c r="L1990"/>
    </row>
    <row r="1991" spans="1:12" ht="14.4" customHeight="1" x14ac:dyDescent="0.3">
      <c r="A1991"/>
      <c r="L1991"/>
    </row>
    <row r="1992" spans="1:12" ht="14.4" customHeight="1" x14ac:dyDescent="0.3">
      <c r="A1992"/>
      <c r="L1992"/>
    </row>
    <row r="1993" spans="1:12" ht="14.4" customHeight="1" x14ac:dyDescent="0.3">
      <c r="A1993"/>
      <c r="L1993"/>
    </row>
    <row r="1994" spans="1:12" ht="14.4" customHeight="1" x14ac:dyDescent="0.3">
      <c r="A1994"/>
      <c r="L1994"/>
    </row>
    <row r="1995" spans="1:12" ht="14.4" customHeight="1" x14ac:dyDescent="0.3">
      <c r="A1995"/>
      <c r="L1995"/>
    </row>
    <row r="1996" spans="1:12" ht="14.4" customHeight="1" x14ac:dyDescent="0.3">
      <c r="A1996"/>
      <c r="L1996"/>
    </row>
    <row r="1997" spans="1:12" ht="14.4" customHeight="1" x14ac:dyDescent="0.3">
      <c r="A1997"/>
      <c r="L1997"/>
    </row>
    <row r="1998" spans="1:12" ht="14.4" customHeight="1" x14ac:dyDescent="0.3">
      <c r="A1998"/>
      <c r="L1998"/>
    </row>
    <row r="1999" spans="1:12" ht="14.4" customHeight="1" x14ac:dyDescent="0.3">
      <c r="A1999"/>
      <c r="L1999"/>
    </row>
    <row r="2000" spans="1:12" ht="14.4" customHeight="1" x14ac:dyDescent="0.3">
      <c r="A2000"/>
      <c r="L2000"/>
    </row>
    <row r="2001" spans="1:12" ht="14.4" customHeight="1" x14ac:dyDescent="0.3">
      <c r="A2001"/>
      <c r="L2001"/>
    </row>
    <row r="2002" spans="1:12" ht="14.4" customHeight="1" x14ac:dyDescent="0.3">
      <c r="A2002"/>
      <c r="L2002"/>
    </row>
    <row r="2003" spans="1:12" ht="14.4" customHeight="1" x14ac:dyDescent="0.3">
      <c r="A2003"/>
      <c r="L2003"/>
    </row>
    <row r="2004" spans="1:12" ht="14.4" customHeight="1" x14ac:dyDescent="0.3">
      <c r="A2004"/>
      <c r="L2004"/>
    </row>
    <row r="2005" spans="1:12" ht="14.4" customHeight="1" x14ac:dyDescent="0.3">
      <c r="A2005"/>
      <c r="L2005"/>
    </row>
    <row r="2006" spans="1:12" ht="14.4" customHeight="1" x14ac:dyDescent="0.3">
      <c r="A2006"/>
      <c r="L2006"/>
    </row>
    <row r="2007" spans="1:12" ht="14.4" customHeight="1" x14ac:dyDescent="0.3">
      <c r="A2007"/>
      <c r="L2007"/>
    </row>
    <row r="2008" spans="1:12" ht="14.4" customHeight="1" x14ac:dyDescent="0.3">
      <c r="A2008"/>
      <c r="L2008"/>
    </row>
    <row r="2009" spans="1:12" ht="14.4" customHeight="1" x14ac:dyDescent="0.3">
      <c r="A2009"/>
      <c r="L2009"/>
    </row>
    <row r="2010" spans="1:12" ht="14.4" customHeight="1" x14ac:dyDescent="0.3">
      <c r="A2010"/>
      <c r="L2010"/>
    </row>
    <row r="2011" spans="1:12" ht="14.4" customHeight="1" x14ac:dyDescent="0.3">
      <c r="A2011"/>
      <c r="L2011"/>
    </row>
    <row r="2012" spans="1:12" ht="14.4" customHeight="1" x14ac:dyDescent="0.3">
      <c r="A2012"/>
      <c r="L2012"/>
    </row>
    <row r="2013" spans="1:12" ht="14.4" customHeight="1" x14ac:dyDescent="0.3">
      <c r="A2013"/>
      <c r="L2013"/>
    </row>
    <row r="2014" spans="1:12" ht="14.4" customHeight="1" x14ac:dyDescent="0.3">
      <c r="A2014"/>
      <c r="L2014"/>
    </row>
    <row r="2015" spans="1:12" ht="14.4" customHeight="1" x14ac:dyDescent="0.3">
      <c r="A2015"/>
      <c r="L2015"/>
    </row>
    <row r="2016" spans="1:12" ht="14.4" customHeight="1" x14ac:dyDescent="0.3">
      <c r="A2016"/>
      <c r="L2016"/>
    </row>
    <row r="2017" spans="1:12" ht="14.4" customHeight="1" x14ac:dyDescent="0.3">
      <c r="A2017"/>
      <c r="L2017"/>
    </row>
    <row r="2018" spans="1:12" ht="14.4" customHeight="1" x14ac:dyDescent="0.3">
      <c r="A2018"/>
      <c r="L2018"/>
    </row>
    <row r="2019" spans="1:12" ht="14.4" customHeight="1" x14ac:dyDescent="0.3">
      <c r="A2019"/>
      <c r="L2019"/>
    </row>
    <row r="2020" spans="1:12" ht="14.4" customHeight="1" x14ac:dyDescent="0.3">
      <c r="A2020"/>
      <c r="L2020"/>
    </row>
    <row r="2021" spans="1:12" ht="14.4" customHeight="1" x14ac:dyDescent="0.3">
      <c r="A2021"/>
      <c r="L2021"/>
    </row>
    <row r="2022" spans="1:12" ht="14.4" customHeight="1" x14ac:dyDescent="0.3">
      <c r="A2022"/>
      <c r="L2022"/>
    </row>
    <row r="2023" spans="1:12" ht="14.4" customHeight="1" x14ac:dyDescent="0.3">
      <c r="A2023"/>
      <c r="L2023"/>
    </row>
    <row r="2024" spans="1:12" ht="14.4" customHeight="1" x14ac:dyDescent="0.3">
      <c r="A2024"/>
      <c r="L2024"/>
    </row>
    <row r="2025" spans="1:12" ht="14.4" customHeight="1" x14ac:dyDescent="0.3">
      <c r="A2025"/>
      <c r="L2025"/>
    </row>
    <row r="2026" spans="1:12" ht="14.4" customHeight="1" x14ac:dyDescent="0.3">
      <c r="A2026"/>
      <c r="L2026"/>
    </row>
    <row r="2027" spans="1:12" ht="14.4" customHeight="1" x14ac:dyDescent="0.3">
      <c r="A2027"/>
      <c r="L2027"/>
    </row>
    <row r="2028" spans="1:12" ht="14.4" customHeight="1" x14ac:dyDescent="0.3">
      <c r="A2028"/>
      <c r="L2028"/>
    </row>
    <row r="2029" spans="1:12" ht="14.4" customHeight="1" x14ac:dyDescent="0.3">
      <c r="A2029"/>
      <c r="L2029"/>
    </row>
    <row r="2030" spans="1:12" ht="14.4" customHeight="1" x14ac:dyDescent="0.3">
      <c r="A2030"/>
      <c r="L2030"/>
    </row>
    <row r="2031" spans="1:12" ht="14.4" customHeight="1" x14ac:dyDescent="0.3">
      <c r="A2031"/>
      <c r="L2031"/>
    </row>
    <row r="2032" spans="1:12" ht="14.4" customHeight="1" x14ac:dyDescent="0.3">
      <c r="A2032"/>
      <c r="L2032"/>
    </row>
    <row r="2033" spans="1:12" ht="14.4" customHeight="1" x14ac:dyDescent="0.3">
      <c r="A2033"/>
      <c r="L2033"/>
    </row>
    <row r="2034" spans="1:12" ht="14.4" customHeight="1" x14ac:dyDescent="0.3">
      <c r="A2034"/>
      <c r="L2034"/>
    </row>
    <row r="2035" spans="1:12" ht="14.4" customHeight="1" x14ac:dyDescent="0.3">
      <c r="A2035"/>
      <c r="L2035"/>
    </row>
    <row r="2036" spans="1:12" ht="14.4" customHeight="1" x14ac:dyDescent="0.3">
      <c r="A2036"/>
      <c r="L2036"/>
    </row>
    <row r="2037" spans="1:12" ht="14.4" customHeight="1" x14ac:dyDescent="0.3">
      <c r="A2037"/>
      <c r="L2037"/>
    </row>
    <row r="2038" spans="1:12" ht="14.4" customHeight="1" x14ac:dyDescent="0.3">
      <c r="A2038"/>
      <c r="L2038"/>
    </row>
    <row r="2039" spans="1:12" ht="14.4" customHeight="1" x14ac:dyDescent="0.3">
      <c r="A2039"/>
      <c r="L2039"/>
    </row>
    <row r="2040" spans="1:12" ht="14.4" customHeight="1" x14ac:dyDescent="0.3">
      <c r="A2040"/>
      <c r="L2040"/>
    </row>
    <row r="2041" spans="1:12" ht="14.4" customHeight="1" x14ac:dyDescent="0.3">
      <c r="A2041"/>
      <c r="L2041"/>
    </row>
    <row r="2042" spans="1:12" ht="14.4" customHeight="1" x14ac:dyDescent="0.3">
      <c r="A2042"/>
      <c r="L2042"/>
    </row>
    <row r="2043" spans="1:12" ht="14.4" customHeight="1" x14ac:dyDescent="0.3">
      <c r="A2043"/>
      <c r="L2043"/>
    </row>
    <row r="2044" spans="1:12" ht="14.4" customHeight="1" x14ac:dyDescent="0.3">
      <c r="A2044"/>
      <c r="L2044"/>
    </row>
    <row r="2045" spans="1:12" ht="14.4" customHeight="1" x14ac:dyDescent="0.3">
      <c r="A2045"/>
      <c r="L2045"/>
    </row>
    <row r="2046" spans="1:12" ht="14.4" customHeight="1" x14ac:dyDescent="0.3">
      <c r="A2046"/>
      <c r="L2046"/>
    </row>
    <row r="2047" spans="1:12" ht="14.4" customHeight="1" x14ac:dyDescent="0.3">
      <c r="A2047"/>
      <c r="L2047"/>
    </row>
    <row r="2048" spans="1:12" ht="14.4" customHeight="1" x14ac:dyDescent="0.3">
      <c r="A2048"/>
      <c r="L2048"/>
    </row>
    <row r="2049" spans="1:12" ht="14.4" customHeight="1" x14ac:dyDescent="0.3">
      <c r="A2049"/>
      <c r="L2049"/>
    </row>
    <row r="2050" spans="1:12" ht="14.4" customHeight="1" x14ac:dyDescent="0.3">
      <c r="A2050"/>
      <c r="L2050"/>
    </row>
    <row r="2051" spans="1:12" ht="14.4" customHeight="1" x14ac:dyDescent="0.3">
      <c r="A2051"/>
      <c r="L2051"/>
    </row>
    <row r="2052" spans="1:12" ht="14.4" customHeight="1" x14ac:dyDescent="0.3">
      <c r="A2052"/>
      <c r="L2052"/>
    </row>
    <row r="2053" spans="1:12" ht="14.4" customHeight="1" x14ac:dyDescent="0.3">
      <c r="A2053"/>
      <c r="L2053"/>
    </row>
    <row r="2054" spans="1:12" ht="14.4" customHeight="1" x14ac:dyDescent="0.3">
      <c r="A2054"/>
      <c r="L2054"/>
    </row>
    <row r="2055" spans="1:12" ht="14.4" customHeight="1" x14ac:dyDescent="0.3">
      <c r="A2055"/>
      <c r="L2055"/>
    </row>
    <row r="2056" spans="1:12" ht="14.4" customHeight="1" x14ac:dyDescent="0.3">
      <c r="A2056"/>
      <c r="L2056"/>
    </row>
    <row r="2057" spans="1:12" ht="14.4" customHeight="1" x14ac:dyDescent="0.3">
      <c r="A2057"/>
      <c r="L2057"/>
    </row>
    <row r="2058" spans="1:12" ht="14.4" customHeight="1" x14ac:dyDescent="0.3">
      <c r="A2058"/>
      <c r="L2058"/>
    </row>
    <row r="2059" spans="1:12" ht="14.4" customHeight="1" x14ac:dyDescent="0.3">
      <c r="A2059"/>
      <c r="L2059"/>
    </row>
    <row r="2060" spans="1:12" ht="14.4" customHeight="1" x14ac:dyDescent="0.3">
      <c r="A2060"/>
      <c r="L2060"/>
    </row>
    <row r="2061" spans="1:12" ht="14.4" customHeight="1" x14ac:dyDescent="0.3">
      <c r="A2061"/>
      <c r="L2061"/>
    </row>
    <row r="2062" spans="1:12" ht="14.4" customHeight="1" x14ac:dyDescent="0.3">
      <c r="A2062"/>
      <c r="L2062"/>
    </row>
    <row r="2063" spans="1:12" ht="14.4" customHeight="1" x14ac:dyDescent="0.3">
      <c r="A2063"/>
      <c r="L2063"/>
    </row>
    <row r="2064" spans="1:12" ht="14.4" customHeight="1" x14ac:dyDescent="0.3">
      <c r="A2064"/>
      <c r="L2064"/>
    </row>
    <row r="2065" spans="1:12" ht="14.4" customHeight="1" x14ac:dyDescent="0.3">
      <c r="A2065"/>
      <c r="L2065"/>
    </row>
    <row r="2066" spans="1:12" ht="14.4" customHeight="1" x14ac:dyDescent="0.3">
      <c r="A2066"/>
      <c r="L2066"/>
    </row>
    <row r="2067" spans="1:12" ht="14.4" customHeight="1" x14ac:dyDescent="0.3">
      <c r="A2067"/>
      <c r="L2067"/>
    </row>
    <row r="2068" spans="1:12" ht="14.4" customHeight="1" x14ac:dyDescent="0.3">
      <c r="A2068"/>
      <c r="L2068"/>
    </row>
    <row r="2069" spans="1:12" ht="14.4" customHeight="1" x14ac:dyDescent="0.3">
      <c r="A2069"/>
      <c r="L2069"/>
    </row>
    <row r="2070" spans="1:12" ht="14.4" customHeight="1" x14ac:dyDescent="0.3">
      <c r="A2070"/>
      <c r="L2070"/>
    </row>
    <row r="2071" spans="1:12" ht="14.4" customHeight="1" x14ac:dyDescent="0.3">
      <c r="A2071"/>
      <c r="L2071"/>
    </row>
    <row r="2072" spans="1:12" ht="14.4" customHeight="1" x14ac:dyDescent="0.3">
      <c r="A2072"/>
      <c r="L2072"/>
    </row>
    <row r="2073" spans="1:12" ht="14.4" customHeight="1" x14ac:dyDescent="0.3">
      <c r="A2073"/>
      <c r="L2073"/>
    </row>
    <row r="2074" spans="1:12" ht="14.4" customHeight="1" x14ac:dyDescent="0.3">
      <c r="A2074"/>
      <c r="L2074"/>
    </row>
    <row r="2075" spans="1:12" ht="14.4" customHeight="1" x14ac:dyDescent="0.3">
      <c r="A2075"/>
      <c r="L2075"/>
    </row>
    <row r="2076" spans="1:12" ht="14.4" customHeight="1" x14ac:dyDescent="0.3">
      <c r="A2076"/>
      <c r="L2076"/>
    </row>
    <row r="2077" spans="1:12" ht="14.4" customHeight="1" x14ac:dyDescent="0.3">
      <c r="A2077"/>
      <c r="L2077"/>
    </row>
    <row r="2078" spans="1:12" ht="14.4" customHeight="1" x14ac:dyDescent="0.3">
      <c r="A2078"/>
      <c r="L2078"/>
    </row>
    <row r="2079" spans="1:12" ht="14.4" customHeight="1" x14ac:dyDescent="0.3">
      <c r="A2079"/>
      <c r="L2079"/>
    </row>
    <row r="2080" spans="1:12" ht="14.4" customHeight="1" x14ac:dyDescent="0.3">
      <c r="A2080"/>
      <c r="L2080"/>
    </row>
    <row r="2081" spans="1:12" ht="14.4" customHeight="1" x14ac:dyDescent="0.3">
      <c r="A2081"/>
      <c r="L2081"/>
    </row>
    <row r="2082" spans="1:12" ht="14.4" customHeight="1" x14ac:dyDescent="0.3">
      <c r="A2082"/>
      <c r="L2082"/>
    </row>
    <row r="2083" spans="1:12" ht="14.4" customHeight="1" x14ac:dyDescent="0.3">
      <c r="A2083"/>
      <c r="L2083"/>
    </row>
    <row r="2084" spans="1:12" ht="14.4" customHeight="1" x14ac:dyDescent="0.3">
      <c r="A2084"/>
      <c r="L2084"/>
    </row>
    <row r="2085" spans="1:12" ht="14.4" customHeight="1" x14ac:dyDescent="0.3">
      <c r="A2085"/>
      <c r="L2085"/>
    </row>
    <row r="2086" spans="1:12" ht="14.4" customHeight="1" x14ac:dyDescent="0.3">
      <c r="A2086"/>
      <c r="L2086"/>
    </row>
    <row r="2087" spans="1:12" ht="14.4" customHeight="1" x14ac:dyDescent="0.3">
      <c r="A2087"/>
      <c r="L2087"/>
    </row>
    <row r="2088" spans="1:12" ht="14.4" customHeight="1" x14ac:dyDescent="0.3">
      <c r="A2088"/>
      <c r="L2088"/>
    </row>
    <row r="2089" spans="1:12" ht="14.4" customHeight="1" x14ac:dyDescent="0.3">
      <c r="A2089"/>
      <c r="L2089"/>
    </row>
    <row r="2090" spans="1:12" ht="14.4" customHeight="1" x14ac:dyDescent="0.3">
      <c r="A2090"/>
      <c r="L2090"/>
    </row>
    <row r="2091" spans="1:12" ht="14.4" customHeight="1" x14ac:dyDescent="0.3">
      <c r="A2091"/>
      <c r="L2091"/>
    </row>
    <row r="2092" spans="1:12" ht="14.4" customHeight="1" x14ac:dyDescent="0.3">
      <c r="A2092"/>
      <c r="L2092"/>
    </row>
    <row r="2093" spans="1:12" ht="14.4" customHeight="1" x14ac:dyDescent="0.3">
      <c r="A2093"/>
      <c r="L2093"/>
    </row>
    <row r="2094" spans="1:12" ht="14.4" customHeight="1" x14ac:dyDescent="0.3">
      <c r="A2094"/>
      <c r="L2094"/>
    </row>
    <row r="2095" spans="1:12" ht="14.4" customHeight="1" x14ac:dyDescent="0.3">
      <c r="A2095"/>
      <c r="L2095"/>
    </row>
    <row r="2096" spans="1:12" ht="14.4" customHeight="1" x14ac:dyDescent="0.3">
      <c r="A2096"/>
      <c r="L2096"/>
    </row>
    <row r="2097" spans="1:12" ht="14.4" customHeight="1" x14ac:dyDescent="0.3">
      <c r="A2097"/>
      <c r="L2097"/>
    </row>
    <row r="2098" spans="1:12" ht="14.4" customHeight="1" x14ac:dyDescent="0.3">
      <c r="A2098"/>
      <c r="L2098"/>
    </row>
    <row r="2099" spans="1:12" ht="14.4" customHeight="1" x14ac:dyDescent="0.3">
      <c r="A2099"/>
      <c r="L2099"/>
    </row>
    <row r="2100" spans="1:12" ht="14.4" customHeight="1" x14ac:dyDescent="0.3">
      <c r="A2100"/>
      <c r="L2100"/>
    </row>
    <row r="2101" spans="1:12" ht="14.4" customHeight="1" x14ac:dyDescent="0.3">
      <c r="A2101"/>
      <c r="L2101"/>
    </row>
    <row r="2102" spans="1:12" ht="14.4" customHeight="1" x14ac:dyDescent="0.3">
      <c r="A2102"/>
      <c r="L2102"/>
    </row>
    <row r="2103" spans="1:12" ht="14.4" customHeight="1" x14ac:dyDescent="0.3">
      <c r="A2103"/>
      <c r="L2103"/>
    </row>
    <row r="2104" spans="1:12" ht="14.4" customHeight="1" x14ac:dyDescent="0.3">
      <c r="A2104"/>
      <c r="L2104"/>
    </row>
    <row r="2105" spans="1:12" ht="14.4" customHeight="1" x14ac:dyDescent="0.3">
      <c r="A2105"/>
      <c r="L2105"/>
    </row>
    <row r="2106" spans="1:12" ht="14.4" customHeight="1" x14ac:dyDescent="0.3">
      <c r="A2106"/>
      <c r="L2106"/>
    </row>
    <row r="2107" spans="1:12" ht="14.4" customHeight="1" x14ac:dyDescent="0.3">
      <c r="A2107"/>
      <c r="L2107"/>
    </row>
    <row r="2108" spans="1:12" ht="14.4" customHeight="1" x14ac:dyDescent="0.3">
      <c r="A2108"/>
      <c r="L2108"/>
    </row>
    <row r="2109" spans="1:12" ht="14.4" customHeight="1" x14ac:dyDescent="0.3">
      <c r="A2109"/>
      <c r="L2109"/>
    </row>
    <row r="2110" spans="1:12" ht="14.4" customHeight="1" x14ac:dyDescent="0.3">
      <c r="A2110"/>
      <c r="L2110"/>
    </row>
    <row r="2111" spans="1:12" ht="14.4" customHeight="1" x14ac:dyDescent="0.3">
      <c r="A2111"/>
      <c r="L2111"/>
    </row>
    <row r="2112" spans="1:12" ht="14.4" customHeight="1" x14ac:dyDescent="0.3">
      <c r="A2112"/>
      <c r="L2112"/>
    </row>
    <row r="2113" spans="1:12" ht="14.4" customHeight="1" x14ac:dyDescent="0.3">
      <c r="A2113"/>
      <c r="L2113"/>
    </row>
    <row r="2114" spans="1:12" ht="14.4" customHeight="1" x14ac:dyDescent="0.3">
      <c r="A2114"/>
      <c r="L2114"/>
    </row>
    <row r="2115" spans="1:12" ht="14.4" customHeight="1" x14ac:dyDescent="0.3">
      <c r="A2115"/>
      <c r="L2115"/>
    </row>
    <row r="2116" spans="1:12" ht="14.4" customHeight="1" x14ac:dyDescent="0.3">
      <c r="A2116"/>
      <c r="L2116"/>
    </row>
    <row r="2117" spans="1:12" ht="14.4" customHeight="1" x14ac:dyDescent="0.3">
      <c r="A2117"/>
      <c r="L2117"/>
    </row>
    <row r="2118" spans="1:12" ht="14.4" customHeight="1" x14ac:dyDescent="0.3">
      <c r="A2118"/>
      <c r="L2118"/>
    </row>
    <row r="2119" spans="1:12" ht="14.4" customHeight="1" x14ac:dyDescent="0.3">
      <c r="A2119"/>
      <c r="L2119"/>
    </row>
    <row r="2120" spans="1:12" ht="14.4" customHeight="1" x14ac:dyDescent="0.3">
      <c r="A2120"/>
      <c r="L2120"/>
    </row>
    <row r="2121" spans="1:12" ht="14.4" customHeight="1" x14ac:dyDescent="0.3">
      <c r="A2121"/>
      <c r="L2121"/>
    </row>
    <row r="2122" spans="1:12" ht="14.4" customHeight="1" x14ac:dyDescent="0.3">
      <c r="A2122"/>
      <c r="L2122"/>
    </row>
    <row r="2123" spans="1:12" ht="14.4" customHeight="1" x14ac:dyDescent="0.3">
      <c r="A2123"/>
      <c r="L2123"/>
    </row>
    <row r="2124" spans="1:12" ht="14.4" customHeight="1" x14ac:dyDescent="0.3">
      <c r="A2124"/>
      <c r="L2124"/>
    </row>
    <row r="2125" spans="1:12" ht="14.4" customHeight="1" x14ac:dyDescent="0.3">
      <c r="A2125"/>
      <c r="L2125"/>
    </row>
    <row r="2126" spans="1:12" ht="14.4" customHeight="1" x14ac:dyDescent="0.3">
      <c r="A2126"/>
      <c r="L2126"/>
    </row>
    <row r="2127" spans="1:12" ht="14.4" customHeight="1" x14ac:dyDescent="0.3">
      <c r="A2127"/>
      <c r="L2127"/>
    </row>
    <row r="2128" spans="1:12" ht="14.4" customHeight="1" x14ac:dyDescent="0.3">
      <c r="A2128"/>
      <c r="L2128"/>
    </row>
    <row r="2129" spans="1:12" ht="14.4" customHeight="1" x14ac:dyDescent="0.3">
      <c r="A2129"/>
      <c r="L2129"/>
    </row>
    <row r="2130" spans="1:12" ht="14.4" customHeight="1" x14ac:dyDescent="0.3">
      <c r="A2130"/>
      <c r="L2130"/>
    </row>
    <row r="2131" spans="1:12" ht="14.4" customHeight="1" x14ac:dyDescent="0.3">
      <c r="A2131"/>
      <c r="L2131"/>
    </row>
    <row r="2132" spans="1:12" ht="14.4" customHeight="1" x14ac:dyDescent="0.3">
      <c r="A2132"/>
      <c r="L2132"/>
    </row>
    <row r="2133" spans="1:12" ht="14.4" customHeight="1" x14ac:dyDescent="0.3">
      <c r="A2133"/>
      <c r="L2133"/>
    </row>
    <row r="2134" spans="1:12" ht="14.4" customHeight="1" x14ac:dyDescent="0.3">
      <c r="A2134"/>
      <c r="L2134"/>
    </row>
    <row r="2135" spans="1:12" ht="14.4" customHeight="1" x14ac:dyDescent="0.3">
      <c r="A2135"/>
      <c r="L2135"/>
    </row>
    <row r="2136" spans="1:12" ht="14.4" customHeight="1" x14ac:dyDescent="0.3">
      <c r="A2136"/>
      <c r="L2136"/>
    </row>
    <row r="2137" spans="1:12" ht="14.4" customHeight="1" x14ac:dyDescent="0.3">
      <c r="A2137"/>
      <c r="L2137"/>
    </row>
    <row r="2138" spans="1:12" ht="14.4" customHeight="1" x14ac:dyDescent="0.3">
      <c r="A2138"/>
      <c r="L2138"/>
    </row>
    <row r="2139" spans="1:12" ht="14.4" customHeight="1" x14ac:dyDescent="0.3">
      <c r="A2139"/>
      <c r="L2139"/>
    </row>
    <row r="2140" spans="1:12" ht="14.4" customHeight="1" x14ac:dyDescent="0.3">
      <c r="A2140"/>
      <c r="L2140"/>
    </row>
    <row r="2141" spans="1:12" ht="14.4" customHeight="1" x14ac:dyDescent="0.3">
      <c r="A2141"/>
      <c r="L2141"/>
    </row>
    <row r="2142" spans="1:12" ht="14.4" customHeight="1" x14ac:dyDescent="0.3">
      <c r="A2142"/>
      <c r="L2142"/>
    </row>
    <row r="2143" spans="1:12" ht="14.4" customHeight="1" x14ac:dyDescent="0.3">
      <c r="A2143"/>
      <c r="L2143"/>
    </row>
    <row r="2144" spans="1:12" ht="14.4" customHeight="1" x14ac:dyDescent="0.3">
      <c r="A2144"/>
      <c r="L2144"/>
    </row>
    <row r="2145" spans="1:12" ht="14.4" customHeight="1" x14ac:dyDescent="0.3">
      <c r="A2145"/>
      <c r="L2145"/>
    </row>
    <row r="2146" spans="1:12" ht="14.4" customHeight="1" x14ac:dyDescent="0.3">
      <c r="A2146"/>
      <c r="L2146"/>
    </row>
    <row r="2147" spans="1:12" ht="14.4" customHeight="1" x14ac:dyDescent="0.3">
      <c r="A2147"/>
      <c r="L2147"/>
    </row>
    <row r="2148" spans="1:12" ht="14.4" customHeight="1" x14ac:dyDescent="0.3">
      <c r="A2148"/>
      <c r="L2148"/>
    </row>
    <row r="2149" spans="1:12" ht="14.4" customHeight="1" x14ac:dyDescent="0.3">
      <c r="A2149"/>
      <c r="L2149"/>
    </row>
    <row r="2150" spans="1:12" ht="14.4" customHeight="1" x14ac:dyDescent="0.3">
      <c r="A2150"/>
      <c r="L2150"/>
    </row>
    <row r="2151" spans="1:12" ht="14.4" customHeight="1" x14ac:dyDescent="0.3">
      <c r="A2151"/>
      <c r="L2151"/>
    </row>
    <row r="2152" spans="1:12" ht="14.4" customHeight="1" x14ac:dyDescent="0.3">
      <c r="A2152"/>
      <c r="L2152"/>
    </row>
    <row r="2153" spans="1:12" ht="14.4" customHeight="1" x14ac:dyDescent="0.3">
      <c r="A2153"/>
      <c r="L2153"/>
    </row>
    <row r="2154" spans="1:12" ht="14.4" customHeight="1" x14ac:dyDescent="0.3">
      <c r="A2154"/>
      <c r="L2154"/>
    </row>
    <row r="2155" spans="1:12" ht="14.4" customHeight="1" x14ac:dyDescent="0.3">
      <c r="A2155"/>
      <c r="L2155"/>
    </row>
    <row r="2156" spans="1:12" ht="14.4" customHeight="1" x14ac:dyDescent="0.3">
      <c r="A2156"/>
      <c r="L2156"/>
    </row>
    <row r="2157" spans="1:12" ht="14.4" customHeight="1" x14ac:dyDescent="0.3">
      <c r="A2157"/>
      <c r="L2157"/>
    </row>
    <row r="2158" spans="1:12" ht="14.4" customHeight="1" x14ac:dyDescent="0.3">
      <c r="A2158"/>
      <c r="L2158"/>
    </row>
    <row r="2159" spans="1:12" ht="14.4" customHeight="1" x14ac:dyDescent="0.3">
      <c r="A2159"/>
      <c r="L2159"/>
    </row>
    <row r="2160" spans="1:12" ht="14.4" customHeight="1" x14ac:dyDescent="0.3">
      <c r="A2160"/>
      <c r="L2160"/>
    </row>
    <row r="2161" spans="1:12" ht="14.4" customHeight="1" x14ac:dyDescent="0.3">
      <c r="A2161"/>
      <c r="L2161"/>
    </row>
    <row r="2162" spans="1:12" ht="14.4" customHeight="1" x14ac:dyDescent="0.3">
      <c r="A2162"/>
      <c r="L2162"/>
    </row>
    <row r="2163" spans="1:12" ht="14.4" customHeight="1" x14ac:dyDescent="0.3">
      <c r="A2163"/>
      <c r="L2163"/>
    </row>
    <row r="2164" spans="1:12" ht="14.4" customHeight="1" x14ac:dyDescent="0.3">
      <c r="A2164"/>
      <c r="L2164"/>
    </row>
    <row r="2165" spans="1:12" ht="14.4" customHeight="1" x14ac:dyDescent="0.3">
      <c r="A2165"/>
      <c r="L2165"/>
    </row>
    <row r="2166" spans="1:12" ht="14.4" customHeight="1" x14ac:dyDescent="0.3">
      <c r="A2166"/>
      <c r="L2166"/>
    </row>
    <row r="2167" spans="1:12" ht="14.4" customHeight="1" x14ac:dyDescent="0.3">
      <c r="A2167"/>
      <c r="L2167"/>
    </row>
    <row r="2168" spans="1:12" ht="14.4" customHeight="1" x14ac:dyDescent="0.3">
      <c r="A2168"/>
      <c r="L2168"/>
    </row>
    <row r="2169" spans="1:12" ht="14.4" customHeight="1" x14ac:dyDescent="0.3">
      <c r="A2169"/>
      <c r="L2169"/>
    </row>
    <row r="2170" spans="1:12" ht="14.4" customHeight="1" x14ac:dyDescent="0.3">
      <c r="A2170"/>
      <c r="L2170"/>
    </row>
    <row r="2171" spans="1:12" ht="14.4" customHeight="1" x14ac:dyDescent="0.3">
      <c r="A2171"/>
      <c r="L2171"/>
    </row>
    <row r="2172" spans="1:12" ht="14.4" customHeight="1" x14ac:dyDescent="0.3">
      <c r="A2172"/>
      <c r="L2172"/>
    </row>
    <row r="2173" spans="1:12" ht="14.4" customHeight="1" x14ac:dyDescent="0.3">
      <c r="A2173"/>
      <c r="L2173"/>
    </row>
    <row r="2174" spans="1:12" ht="14.4" customHeight="1" x14ac:dyDescent="0.3">
      <c r="A2174"/>
      <c r="L2174"/>
    </row>
    <row r="2175" spans="1:12" ht="14.4" customHeight="1" x14ac:dyDescent="0.3">
      <c r="A2175"/>
      <c r="L2175"/>
    </row>
    <row r="2176" spans="1:12" ht="14.4" customHeight="1" x14ac:dyDescent="0.3">
      <c r="A2176"/>
      <c r="L2176"/>
    </row>
    <row r="2177" spans="1:12" ht="14.4" customHeight="1" x14ac:dyDescent="0.3">
      <c r="A2177"/>
      <c r="L2177"/>
    </row>
    <row r="2178" spans="1:12" ht="14.4" customHeight="1" x14ac:dyDescent="0.3">
      <c r="A2178"/>
      <c r="L2178"/>
    </row>
    <row r="2179" spans="1:12" ht="14.4" customHeight="1" x14ac:dyDescent="0.3">
      <c r="A2179"/>
      <c r="L2179"/>
    </row>
    <row r="2180" spans="1:12" ht="14.4" customHeight="1" x14ac:dyDescent="0.3">
      <c r="A2180"/>
      <c r="L2180"/>
    </row>
    <row r="2181" spans="1:12" ht="14.4" customHeight="1" x14ac:dyDescent="0.3">
      <c r="A2181"/>
      <c r="L2181"/>
    </row>
    <row r="2182" spans="1:12" ht="14.4" customHeight="1" x14ac:dyDescent="0.3">
      <c r="A2182"/>
      <c r="L2182"/>
    </row>
    <row r="2183" spans="1:12" ht="14.4" customHeight="1" x14ac:dyDescent="0.3">
      <c r="A2183"/>
      <c r="L2183"/>
    </row>
    <row r="2184" spans="1:12" ht="14.4" customHeight="1" x14ac:dyDescent="0.3">
      <c r="A2184"/>
      <c r="L2184"/>
    </row>
    <row r="2185" spans="1:12" ht="14.4" customHeight="1" x14ac:dyDescent="0.3">
      <c r="A2185"/>
      <c r="L2185"/>
    </row>
    <row r="2186" spans="1:12" ht="14.4" customHeight="1" x14ac:dyDescent="0.3">
      <c r="A2186"/>
      <c r="L2186"/>
    </row>
    <row r="2187" spans="1:12" ht="14.4" customHeight="1" x14ac:dyDescent="0.3">
      <c r="A2187"/>
      <c r="L2187"/>
    </row>
    <row r="2188" spans="1:12" ht="14.4" customHeight="1" x14ac:dyDescent="0.3">
      <c r="A2188"/>
      <c r="L2188"/>
    </row>
    <row r="2189" spans="1:12" ht="14.4" customHeight="1" x14ac:dyDescent="0.3">
      <c r="A2189"/>
      <c r="L2189"/>
    </row>
    <row r="2190" spans="1:12" ht="14.4" customHeight="1" x14ac:dyDescent="0.3">
      <c r="A2190"/>
      <c r="L2190"/>
    </row>
    <row r="2191" spans="1:12" ht="14.4" customHeight="1" x14ac:dyDescent="0.3">
      <c r="A2191"/>
      <c r="L2191"/>
    </row>
    <row r="2192" spans="1:12" ht="14.4" customHeight="1" x14ac:dyDescent="0.3">
      <c r="A2192"/>
      <c r="L2192"/>
    </row>
    <row r="2193" spans="1:12" ht="14.4" customHeight="1" x14ac:dyDescent="0.3">
      <c r="A2193"/>
      <c r="L2193"/>
    </row>
    <row r="2194" spans="1:12" ht="14.4" customHeight="1" x14ac:dyDescent="0.3">
      <c r="A2194"/>
      <c r="L2194"/>
    </row>
    <row r="2195" spans="1:12" ht="14.4" customHeight="1" x14ac:dyDescent="0.3">
      <c r="A2195"/>
      <c r="L2195"/>
    </row>
    <row r="2196" spans="1:12" ht="14.4" customHeight="1" x14ac:dyDescent="0.3">
      <c r="A2196"/>
      <c r="L2196"/>
    </row>
    <row r="2197" spans="1:12" ht="14.4" customHeight="1" x14ac:dyDescent="0.3">
      <c r="A2197"/>
      <c r="L2197"/>
    </row>
    <row r="2198" spans="1:12" ht="14.4" customHeight="1" x14ac:dyDescent="0.3">
      <c r="A2198"/>
      <c r="L2198"/>
    </row>
    <row r="2199" spans="1:12" ht="14.4" customHeight="1" x14ac:dyDescent="0.3">
      <c r="A2199"/>
      <c r="L2199"/>
    </row>
    <row r="2200" spans="1:12" ht="14.4" customHeight="1" x14ac:dyDescent="0.3">
      <c r="A2200"/>
      <c r="L2200"/>
    </row>
    <row r="2201" spans="1:12" ht="14.4" customHeight="1" x14ac:dyDescent="0.3">
      <c r="A2201"/>
      <c r="L2201"/>
    </row>
    <row r="2202" spans="1:12" ht="14.4" customHeight="1" x14ac:dyDescent="0.3">
      <c r="A2202"/>
      <c r="L2202"/>
    </row>
    <row r="2203" spans="1:12" ht="14.4" customHeight="1" x14ac:dyDescent="0.3">
      <c r="A2203"/>
      <c r="L2203"/>
    </row>
    <row r="2204" spans="1:12" ht="14.4" customHeight="1" x14ac:dyDescent="0.3">
      <c r="A2204"/>
      <c r="L2204"/>
    </row>
    <row r="2205" spans="1:12" ht="14.4" customHeight="1" x14ac:dyDescent="0.3">
      <c r="A2205"/>
      <c r="L2205"/>
    </row>
    <row r="2206" spans="1:12" ht="14.4" customHeight="1" x14ac:dyDescent="0.3">
      <c r="A2206"/>
      <c r="L2206"/>
    </row>
    <row r="2207" spans="1:12" ht="14.4" customHeight="1" x14ac:dyDescent="0.3">
      <c r="A2207"/>
      <c r="L2207"/>
    </row>
    <row r="2208" spans="1:12" ht="14.4" customHeight="1" x14ac:dyDescent="0.3">
      <c r="A2208"/>
      <c r="L2208"/>
    </row>
    <row r="2209" spans="1:12" ht="14.4" customHeight="1" x14ac:dyDescent="0.3">
      <c r="A2209"/>
      <c r="L2209"/>
    </row>
    <row r="2210" spans="1:12" ht="14.4" customHeight="1" x14ac:dyDescent="0.3">
      <c r="A2210"/>
      <c r="L2210"/>
    </row>
    <row r="2211" spans="1:12" ht="14.4" customHeight="1" x14ac:dyDescent="0.3">
      <c r="A2211"/>
      <c r="L2211"/>
    </row>
    <row r="2212" spans="1:12" ht="14.4" customHeight="1" x14ac:dyDescent="0.3">
      <c r="A2212"/>
      <c r="L2212"/>
    </row>
    <row r="2213" spans="1:12" ht="14.4" customHeight="1" x14ac:dyDescent="0.3">
      <c r="A2213"/>
      <c r="L2213"/>
    </row>
    <row r="2214" spans="1:12" ht="14.4" customHeight="1" x14ac:dyDescent="0.3">
      <c r="A2214"/>
      <c r="L2214"/>
    </row>
    <row r="2215" spans="1:12" ht="14.4" customHeight="1" x14ac:dyDescent="0.3">
      <c r="A2215"/>
      <c r="L2215"/>
    </row>
    <row r="2216" spans="1:12" ht="14.4" customHeight="1" x14ac:dyDescent="0.3">
      <c r="A2216"/>
      <c r="L2216"/>
    </row>
    <row r="2217" spans="1:12" ht="14.4" customHeight="1" x14ac:dyDescent="0.3">
      <c r="A2217"/>
      <c r="L2217"/>
    </row>
    <row r="2218" spans="1:12" ht="14.4" customHeight="1" x14ac:dyDescent="0.3">
      <c r="A2218"/>
      <c r="L2218"/>
    </row>
    <row r="2219" spans="1:12" ht="14.4" customHeight="1" x14ac:dyDescent="0.3">
      <c r="A2219"/>
      <c r="L2219"/>
    </row>
    <row r="2220" spans="1:12" ht="14.4" customHeight="1" x14ac:dyDescent="0.3">
      <c r="A2220"/>
      <c r="L2220"/>
    </row>
    <row r="2221" spans="1:12" ht="14.4" customHeight="1" x14ac:dyDescent="0.3">
      <c r="A2221"/>
      <c r="L2221"/>
    </row>
    <row r="2222" spans="1:12" ht="14.4" customHeight="1" x14ac:dyDescent="0.3">
      <c r="A2222"/>
      <c r="L2222"/>
    </row>
    <row r="2223" spans="1:12" ht="14.4" customHeight="1" x14ac:dyDescent="0.3">
      <c r="A2223"/>
      <c r="L2223"/>
    </row>
    <row r="2224" spans="1:12" ht="14.4" customHeight="1" x14ac:dyDescent="0.3">
      <c r="A2224"/>
      <c r="L2224"/>
    </row>
    <row r="2225" spans="1:12" ht="14.4" customHeight="1" x14ac:dyDescent="0.3">
      <c r="A2225"/>
      <c r="L2225"/>
    </row>
    <row r="2226" spans="1:12" ht="14.4" customHeight="1" x14ac:dyDescent="0.3">
      <c r="A2226"/>
      <c r="L2226"/>
    </row>
    <row r="2227" spans="1:12" ht="14.4" customHeight="1" x14ac:dyDescent="0.3">
      <c r="A2227"/>
      <c r="L2227"/>
    </row>
    <row r="2228" spans="1:12" ht="14.4" customHeight="1" x14ac:dyDescent="0.3">
      <c r="A2228"/>
      <c r="L2228"/>
    </row>
    <row r="2229" spans="1:12" ht="14.4" customHeight="1" x14ac:dyDescent="0.3">
      <c r="A2229"/>
      <c r="L2229"/>
    </row>
    <row r="2230" spans="1:12" ht="14.4" customHeight="1" x14ac:dyDescent="0.3">
      <c r="A2230"/>
      <c r="L2230"/>
    </row>
    <row r="2231" spans="1:12" ht="14.4" customHeight="1" x14ac:dyDescent="0.3">
      <c r="A2231"/>
      <c r="L2231"/>
    </row>
    <row r="2232" spans="1:12" ht="14.4" customHeight="1" x14ac:dyDescent="0.3">
      <c r="A2232"/>
      <c r="L2232"/>
    </row>
    <row r="2233" spans="1:12" ht="14.4" customHeight="1" x14ac:dyDescent="0.3">
      <c r="A2233"/>
      <c r="L2233"/>
    </row>
    <row r="2234" spans="1:12" ht="14.4" customHeight="1" x14ac:dyDescent="0.3">
      <c r="A2234"/>
      <c r="L2234"/>
    </row>
    <row r="2235" spans="1:12" ht="14.4" customHeight="1" x14ac:dyDescent="0.3">
      <c r="A2235"/>
      <c r="L2235"/>
    </row>
    <row r="2236" spans="1:12" ht="14.4" customHeight="1" x14ac:dyDescent="0.3">
      <c r="A2236"/>
      <c r="L2236"/>
    </row>
    <row r="2237" spans="1:12" ht="14.4" customHeight="1" x14ac:dyDescent="0.3">
      <c r="A2237"/>
      <c r="L2237"/>
    </row>
    <row r="2238" spans="1:12" ht="14.4" customHeight="1" x14ac:dyDescent="0.3">
      <c r="A2238"/>
      <c r="L2238"/>
    </row>
    <row r="2239" spans="1:12" ht="14.4" customHeight="1" x14ac:dyDescent="0.3">
      <c r="A2239"/>
      <c r="L2239"/>
    </row>
    <row r="2240" spans="1:12" ht="14.4" customHeight="1" x14ac:dyDescent="0.3">
      <c r="A2240"/>
      <c r="L2240"/>
    </row>
    <row r="2241" spans="1:12" ht="14.4" customHeight="1" x14ac:dyDescent="0.3">
      <c r="A2241"/>
      <c r="L2241"/>
    </row>
    <row r="2242" spans="1:12" ht="14.4" customHeight="1" x14ac:dyDescent="0.3">
      <c r="A2242"/>
      <c r="L2242"/>
    </row>
    <row r="2243" spans="1:12" ht="14.4" customHeight="1" x14ac:dyDescent="0.3">
      <c r="A2243"/>
      <c r="L2243"/>
    </row>
    <row r="2244" spans="1:12" ht="14.4" customHeight="1" x14ac:dyDescent="0.3">
      <c r="A2244"/>
      <c r="L2244"/>
    </row>
    <row r="2245" spans="1:12" ht="14.4" customHeight="1" x14ac:dyDescent="0.3">
      <c r="A2245"/>
      <c r="L2245"/>
    </row>
    <row r="2246" spans="1:12" ht="14.4" customHeight="1" x14ac:dyDescent="0.3">
      <c r="A2246"/>
      <c r="L2246"/>
    </row>
    <row r="2247" spans="1:12" ht="14.4" customHeight="1" x14ac:dyDescent="0.3">
      <c r="A2247"/>
      <c r="L2247"/>
    </row>
    <row r="2248" spans="1:12" ht="14.4" customHeight="1" x14ac:dyDescent="0.3">
      <c r="A2248"/>
      <c r="L2248"/>
    </row>
    <row r="2249" spans="1:12" ht="14.4" customHeight="1" x14ac:dyDescent="0.3">
      <c r="A2249"/>
      <c r="L2249"/>
    </row>
    <row r="2250" spans="1:12" ht="14.4" customHeight="1" x14ac:dyDescent="0.3">
      <c r="A2250"/>
      <c r="L2250"/>
    </row>
    <row r="2251" spans="1:12" ht="14.4" customHeight="1" x14ac:dyDescent="0.3">
      <c r="A2251"/>
      <c r="L2251"/>
    </row>
    <row r="2252" spans="1:12" ht="14.4" customHeight="1" x14ac:dyDescent="0.3">
      <c r="A2252"/>
      <c r="L2252"/>
    </row>
    <row r="2253" spans="1:12" ht="14.4" customHeight="1" x14ac:dyDescent="0.3">
      <c r="A2253"/>
      <c r="L2253"/>
    </row>
    <row r="2254" spans="1:12" ht="14.4" customHeight="1" x14ac:dyDescent="0.3">
      <c r="A2254"/>
      <c r="L2254"/>
    </row>
    <row r="2255" spans="1:12" ht="14.4" customHeight="1" x14ac:dyDescent="0.3">
      <c r="A2255"/>
      <c r="L2255"/>
    </row>
    <row r="2256" spans="1:12" ht="14.4" customHeight="1" x14ac:dyDescent="0.3">
      <c r="A2256"/>
      <c r="L2256"/>
    </row>
    <row r="2257" spans="1:12" ht="14.4" customHeight="1" x14ac:dyDescent="0.3">
      <c r="A2257"/>
      <c r="L2257"/>
    </row>
    <row r="2258" spans="1:12" ht="14.4" customHeight="1" x14ac:dyDescent="0.3">
      <c r="A2258"/>
      <c r="L2258"/>
    </row>
    <row r="2259" spans="1:12" ht="14.4" customHeight="1" x14ac:dyDescent="0.3">
      <c r="A2259"/>
      <c r="L2259"/>
    </row>
    <row r="2260" spans="1:12" ht="14.4" customHeight="1" x14ac:dyDescent="0.3">
      <c r="A2260"/>
      <c r="L2260"/>
    </row>
    <row r="2261" spans="1:12" ht="14.4" customHeight="1" x14ac:dyDescent="0.3">
      <c r="A2261"/>
      <c r="L2261"/>
    </row>
    <row r="2262" spans="1:12" ht="14.4" customHeight="1" x14ac:dyDescent="0.3">
      <c r="A2262"/>
      <c r="L2262"/>
    </row>
    <row r="2263" spans="1:12" ht="14.4" customHeight="1" x14ac:dyDescent="0.3">
      <c r="A2263"/>
      <c r="L2263"/>
    </row>
    <row r="2264" spans="1:12" ht="14.4" customHeight="1" x14ac:dyDescent="0.3">
      <c r="A2264"/>
      <c r="L2264"/>
    </row>
    <row r="2265" spans="1:12" ht="14.4" customHeight="1" x14ac:dyDescent="0.3">
      <c r="A2265"/>
      <c r="L2265"/>
    </row>
    <row r="2266" spans="1:12" ht="14.4" customHeight="1" x14ac:dyDescent="0.3">
      <c r="A2266"/>
      <c r="L2266"/>
    </row>
    <row r="2267" spans="1:12" ht="14.4" customHeight="1" x14ac:dyDescent="0.3">
      <c r="A2267"/>
      <c r="L2267"/>
    </row>
    <row r="2268" spans="1:12" ht="14.4" customHeight="1" x14ac:dyDescent="0.3">
      <c r="A2268"/>
      <c r="L2268"/>
    </row>
    <row r="2269" spans="1:12" ht="14.4" customHeight="1" x14ac:dyDescent="0.3">
      <c r="A2269"/>
      <c r="L2269"/>
    </row>
    <row r="2270" spans="1:12" ht="14.4" customHeight="1" x14ac:dyDescent="0.3">
      <c r="A2270"/>
      <c r="L2270"/>
    </row>
    <row r="2271" spans="1:12" ht="14.4" customHeight="1" x14ac:dyDescent="0.3">
      <c r="A2271"/>
      <c r="L2271"/>
    </row>
    <row r="2272" spans="1:12" ht="14.4" customHeight="1" x14ac:dyDescent="0.3">
      <c r="A2272"/>
      <c r="L2272"/>
    </row>
    <row r="2273" spans="1:12" ht="14.4" customHeight="1" x14ac:dyDescent="0.3">
      <c r="A2273"/>
      <c r="L2273"/>
    </row>
    <row r="2274" spans="1:12" ht="14.4" customHeight="1" x14ac:dyDescent="0.3">
      <c r="A2274"/>
      <c r="L2274"/>
    </row>
    <row r="2275" spans="1:12" ht="14.4" customHeight="1" x14ac:dyDescent="0.3">
      <c r="A2275"/>
      <c r="L2275"/>
    </row>
    <row r="2276" spans="1:12" ht="14.4" customHeight="1" x14ac:dyDescent="0.3">
      <c r="A2276"/>
      <c r="L2276"/>
    </row>
    <row r="2277" spans="1:12" ht="14.4" customHeight="1" x14ac:dyDescent="0.3">
      <c r="A2277"/>
      <c r="L2277"/>
    </row>
    <row r="2278" spans="1:12" ht="14.4" customHeight="1" x14ac:dyDescent="0.3">
      <c r="A2278"/>
      <c r="L2278"/>
    </row>
    <row r="2279" spans="1:12" ht="14.4" customHeight="1" x14ac:dyDescent="0.3">
      <c r="A2279"/>
      <c r="L2279"/>
    </row>
    <row r="2280" spans="1:12" ht="14.4" customHeight="1" x14ac:dyDescent="0.3">
      <c r="A2280"/>
      <c r="L2280"/>
    </row>
    <row r="2281" spans="1:12" ht="14.4" customHeight="1" x14ac:dyDescent="0.3">
      <c r="A2281"/>
      <c r="L2281"/>
    </row>
    <row r="2282" spans="1:12" ht="14.4" customHeight="1" x14ac:dyDescent="0.3">
      <c r="A2282"/>
      <c r="L2282"/>
    </row>
    <row r="2283" spans="1:12" ht="14.4" customHeight="1" x14ac:dyDescent="0.3">
      <c r="A2283"/>
      <c r="L2283"/>
    </row>
    <row r="2284" spans="1:12" ht="14.4" customHeight="1" x14ac:dyDescent="0.3">
      <c r="A2284"/>
      <c r="L2284"/>
    </row>
    <row r="2285" spans="1:12" ht="14.4" customHeight="1" x14ac:dyDescent="0.3">
      <c r="A2285"/>
      <c r="L2285"/>
    </row>
    <row r="2286" spans="1:12" ht="14.4" customHeight="1" x14ac:dyDescent="0.3">
      <c r="A2286"/>
      <c r="L2286"/>
    </row>
    <row r="2287" spans="1:12" ht="14.4" customHeight="1" x14ac:dyDescent="0.3">
      <c r="A2287"/>
      <c r="L2287"/>
    </row>
    <row r="2288" spans="1:12" ht="14.4" customHeight="1" x14ac:dyDescent="0.3">
      <c r="A2288"/>
      <c r="L2288"/>
    </row>
    <row r="2289" spans="1:12" ht="14.4" customHeight="1" x14ac:dyDescent="0.3">
      <c r="A2289"/>
      <c r="L2289"/>
    </row>
    <row r="2290" spans="1:12" ht="14.4" customHeight="1" x14ac:dyDescent="0.3">
      <c r="A2290"/>
      <c r="L2290"/>
    </row>
    <row r="2291" spans="1:12" ht="14.4" customHeight="1" x14ac:dyDescent="0.3">
      <c r="A2291"/>
      <c r="L2291"/>
    </row>
    <row r="2292" spans="1:12" ht="14.4" customHeight="1" x14ac:dyDescent="0.3">
      <c r="A2292"/>
      <c r="L2292"/>
    </row>
    <row r="2293" spans="1:12" ht="14.4" customHeight="1" x14ac:dyDescent="0.3">
      <c r="A2293"/>
      <c r="L2293"/>
    </row>
    <row r="2294" spans="1:12" ht="14.4" customHeight="1" x14ac:dyDescent="0.3">
      <c r="A2294"/>
      <c r="L2294"/>
    </row>
    <row r="2295" spans="1:12" ht="14.4" customHeight="1" x14ac:dyDescent="0.3">
      <c r="A2295"/>
      <c r="L2295"/>
    </row>
    <row r="2296" spans="1:12" ht="14.4" customHeight="1" x14ac:dyDescent="0.3">
      <c r="A2296"/>
      <c r="L2296"/>
    </row>
    <row r="2297" spans="1:12" ht="14.4" customHeight="1" x14ac:dyDescent="0.3">
      <c r="A2297"/>
      <c r="L2297"/>
    </row>
    <row r="2298" spans="1:12" ht="14.4" customHeight="1" x14ac:dyDescent="0.3">
      <c r="A2298"/>
      <c r="L2298"/>
    </row>
    <row r="2299" spans="1:12" ht="14.4" customHeight="1" x14ac:dyDescent="0.3">
      <c r="A2299"/>
      <c r="L2299"/>
    </row>
    <row r="2300" spans="1:12" ht="14.4" customHeight="1" x14ac:dyDescent="0.3">
      <c r="A2300"/>
      <c r="L2300"/>
    </row>
    <row r="2301" spans="1:12" ht="14.4" customHeight="1" x14ac:dyDescent="0.3">
      <c r="A2301"/>
      <c r="L2301"/>
    </row>
    <row r="2302" spans="1:12" ht="14.4" customHeight="1" x14ac:dyDescent="0.3">
      <c r="A2302"/>
      <c r="L2302"/>
    </row>
    <row r="2303" spans="1:12" ht="14.4" customHeight="1" x14ac:dyDescent="0.3">
      <c r="A2303"/>
      <c r="L2303"/>
    </row>
    <row r="2304" spans="1:12" ht="14.4" customHeight="1" x14ac:dyDescent="0.3">
      <c r="A2304"/>
      <c r="L2304"/>
    </row>
    <row r="2305" spans="1:12" ht="14.4" customHeight="1" x14ac:dyDescent="0.3">
      <c r="A2305"/>
      <c r="L2305"/>
    </row>
    <row r="2306" spans="1:12" ht="14.4" customHeight="1" x14ac:dyDescent="0.3">
      <c r="A2306"/>
      <c r="L2306"/>
    </row>
    <row r="2307" spans="1:12" ht="14.4" customHeight="1" x14ac:dyDescent="0.3">
      <c r="A2307"/>
      <c r="L2307"/>
    </row>
    <row r="2308" spans="1:12" ht="14.4" customHeight="1" x14ac:dyDescent="0.3">
      <c r="A2308"/>
      <c r="L2308"/>
    </row>
    <row r="2309" spans="1:12" ht="14.4" customHeight="1" x14ac:dyDescent="0.3">
      <c r="A2309"/>
      <c r="L2309"/>
    </row>
    <row r="2310" spans="1:12" ht="14.4" customHeight="1" x14ac:dyDescent="0.3">
      <c r="A2310"/>
      <c r="L2310"/>
    </row>
    <row r="2311" spans="1:12" ht="14.4" customHeight="1" x14ac:dyDescent="0.3">
      <c r="A2311"/>
      <c r="L2311"/>
    </row>
    <row r="2312" spans="1:12" ht="14.4" customHeight="1" x14ac:dyDescent="0.3">
      <c r="A2312"/>
      <c r="L2312"/>
    </row>
    <row r="2313" spans="1:12" ht="14.4" customHeight="1" x14ac:dyDescent="0.3">
      <c r="A2313"/>
      <c r="L2313"/>
    </row>
    <row r="2314" spans="1:12" ht="14.4" customHeight="1" x14ac:dyDescent="0.3">
      <c r="A2314"/>
      <c r="L2314"/>
    </row>
    <row r="2315" spans="1:12" ht="14.4" customHeight="1" x14ac:dyDescent="0.3">
      <c r="A2315"/>
      <c r="L2315"/>
    </row>
    <row r="2316" spans="1:12" ht="14.4" customHeight="1" x14ac:dyDescent="0.3">
      <c r="A2316"/>
      <c r="L2316"/>
    </row>
    <row r="2317" spans="1:12" ht="14.4" customHeight="1" x14ac:dyDescent="0.3">
      <c r="A2317"/>
      <c r="L2317"/>
    </row>
    <row r="2318" spans="1:12" ht="14.4" customHeight="1" x14ac:dyDescent="0.3">
      <c r="A2318"/>
      <c r="L2318"/>
    </row>
    <row r="2319" spans="1:12" ht="14.4" customHeight="1" x14ac:dyDescent="0.3">
      <c r="A2319"/>
      <c r="L2319"/>
    </row>
    <row r="2320" spans="1:12" ht="14.4" customHeight="1" x14ac:dyDescent="0.3">
      <c r="A2320"/>
      <c r="L2320"/>
    </row>
    <row r="2321" spans="1:12" ht="14.4" customHeight="1" x14ac:dyDescent="0.3">
      <c r="A2321"/>
      <c r="L2321"/>
    </row>
    <row r="2322" spans="1:12" ht="14.4" customHeight="1" x14ac:dyDescent="0.3">
      <c r="A2322"/>
      <c r="L2322"/>
    </row>
    <row r="2323" spans="1:12" ht="14.4" customHeight="1" x14ac:dyDescent="0.3">
      <c r="A2323"/>
      <c r="L2323"/>
    </row>
    <row r="2324" spans="1:12" ht="14.4" customHeight="1" x14ac:dyDescent="0.3">
      <c r="A2324"/>
      <c r="L2324"/>
    </row>
    <row r="2325" spans="1:12" ht="14.4" customHeight="1" x14ac:dyDescent="0.3">
      <c r="A2325"/>
      <c r="L2325"/>
    </row>
    <row r="2326" spans="1:12" ht="14.4" customHeight="1" x14ac:dyDescent="0.3">
      <c r="A2326"/>
      <c r="L2326"/>
    </row>
    <row r="2327" spans="1:12" ht="14.4" customHeight="1" x14ac:dyDescent="0.3">
      <c r="A2327"/>
      <c r="L2327"/>
    </row>
    <row r="2328" spans="1:12" ht="14.4" customHeight="1" x14ac:dyDescent="0.3">
      <c r="A2328"/>
      <c r="L2328"/>
    </row>
    <row r="2329" spans="1:12" ht="14.4" customHeight="1" x14ac:dyDescent="0.3">
      <c r="A2329"/>
      <c r="L2329"/>
    </row>
    <row r="2330" spans="1:12" ht="14.4" customHeight="1" x14ac:dyDescent="0.3">
      <c r="A2330"/>
      <c r="L2330"/>
    </row>
    <row r="2331" spans="1:12" ht="14.4" customHeight="1" x14ac:dyDescent="0.3">
      <c r="A2331"/>
      <c r="L2331"/>
    </row>
    <row r="2332" spans="1:12" ht="14.4" customHeight="1" x14ac:dyDescent="0.3">
      <c r="A2332"/>
      <c r="L2332"/>
    </row>
    <row r="2333" spans="1:12" ht="14.4" customHeight="1" x14ac:dyDescent="0.3">
      <c r="A2333"/>
      <c r="L2333"/>
    </row>
    <row r="2334" spans="1:12" ht="14.4" customHeight="1" x14ac:dyDescent="0.3">
      <c r="A2334"/>
      <c r="L2334"/>
    </row>
    <row r="2335" spans="1:12" ht="14.4" customHeight="1" x14ac:dyDescent="0.3">
      <c r="A2335"/>
      <c r="L2335"/>
    </row>
    <row r="2336" spans="1:12" ht="14.4" customHeight="1" x14ac:dyDescent="0.3">
      <c r="A2336"/>
      <c r="L2336"/>
    </row>
    <row r="2337" spans="1:12" ht="14.4" customHeight="1" x14ac:dyDescent="0.3">
      <c r="A2337"/>
      <c r="L2337"/>
    </row>
    <row r="2338" spans="1:12" ht="14.4" customHeight="1" x14ac:dyDescent="0.3">
      <c r="A2338"/>
      <c r="L2338"/>
    </row>
    <row r="2339" spans="1:12" ht="14.4" customHeight="1" x14ac:dyDescent="0.3">
      <c r="A2339"/>
      <c r="L2339"/>
    </row>
    <row r="2340" spans="1:12" ht="14.4" customHeight="1" x14ac:dyDescent="0.3">
      <c r="A2340"/>
      <c r="L2340"/>
    </row>
    <row r="2341" spans="1:12" ht="14.4" customHeight="1" x14ac:dyDescent="0.3">
      <c r="A2341"/>
      <c r="L2341"/>
    </row>
    <row r="2342" spans="1:12" ht="14.4" customHeight="1" x14ac:dyDescent="0.3">
      <c r="A2342"/>
      <c r="L2342"/>
    </row>
    <row r="2343" spans="1:12" ht="14.4" customHeight="1" x14ac:dyDescent="0.3">
      <c r="A2343"/>
      <c r="L2343"/>
    </row>
    <row r="2344" spans="1:12" ht="14.4" customHeight="1" x14ac:dyDescent="0.3">
      <c r="A2344"/>
      <c r="L2344"/>
    </row>
    <row r="2345" spans="1:12" ht="14.4" customHeight="1" x14ac:dyDescent="0.3">
      <c r="A2345"/>
      <c r="L2345"/>
    </row>
    <row r="2346" spans="1:12" ht="14.4" customHeight="1" x14ac:dyDescent="0.3">
      <c r="A2346"/>
      <c r="L2346"/>
    </row>
    <row r="2347" spans="1:12" ht="14.4" customHeight="1" x14ac:dyDescent="0.3">
      <c r="A2347"/>
      <c r="L2347"/>
    </row>
    <row r="2348" spans="1:12" ht="14.4" customHeight="1" x14ac:dyDescent="0.3">
      <c r="A2348"/>
      <c r="L2348"/>
    </row>
    <row r="2349" spans="1:12" ht="14.4" customHeight="1" x14ac:dyDescent="0.3">
      <c r="A2349"/>
      <c r="L2349"/>
    </row>
    <row r="2350" spans="1:12" ht="14.4" customHeight="1" x14ac:dyDescent="0.3">
      <c r="A2350"/>
      <c r="L2350"/>
    </row>
    <row r="2351" spans="1:12" ht="14.4" customHeight="1" x14ac:dyDescent="0.3">
      <c r="A2351"/>
      <c r="L2351"/>
    </row>
    <row r="2352" spans="1:12" ht="14.4" customHeight="1" x14ac:dyDescent="0.3">
      <c r="A2352"/>
      <c r="L2352"/>
    </row>
    <row r="2353" spans="1:12" ht="14.4" customHeight="1" x14ac:dyDescent="0.3">
      <c r="A2353"/>
      <c r="L2353"/>
    </row>
    <row r="2354" spans="1:12" ht="14.4" customHeight="1" x14ac:dyDescent="0.3">
      <c r="A2354"/>
      <c r="L2354"/>
    </row>
    <row r="2355" spans="1:12" ht="14.4" customHeight="1" x14ac:dyDescent="0.3">
      <c r="A2355"/>
      <c r="L2355"/>
    </row>
    <row r="2356" spans="1:12" ht="14.4" customHeight="1" x14ac:dyDescent="0.3">
      <c r="A2356"/>
      <c r="L2356"/>
    </row>
    <row r="2357" spans="1:12" ht="14.4" customHeight="1" x14ac:dyDescent="0.3">
      <c r="A2357"/>
      <c r="L2357"/>
    </row>
    <row r="2358" spans="1:12" ht="14.4" customHeight="1" x14ac:dyDescent="0.3">
      <c r="A2358"/>
      <c r="L2358"/>
    </row>
    <row r="2359" spans="1:12" ht="14.4" customHeight="1" x14ac:dyDescent="0.3">
      <c r="A2359"/>
      <c r="L2359"/>
    </row>
    <row r="2360" spans="1:12" ht="14.4" customHeight="1" x14ac:dyDescent="0.3">
      <c r="A2360"/>
      <c r="L2360"/>
    </row>
    <row r="2361" spans="1:12" ht="14.4" customHeight="1" x14ac:dyDescent="0.3">
      <c r="A2361"/>
      <c r="L2361"/>
    </row>
    <row r="2362" spans="1:12" ht="14.4" customHeight="1" x14ac:dyDescent="0.3">
      <c r="A2362"/>
      <c r="L2362"/>
    </row>
    <row r="2363" spans="1:12" ht="14.4" customHeight="1" x14ac:dyDescent="0.3">
      <c r="A2363"/>
      <c r="L2363"/>
    </row>
    <row r="2364" spans="1:12" ht="14.4" customHeight="1" x14ac:dyDescent="0.3">
      <c r="A2364"/>
      <c r="L2364"/>
    </row>
    <row r="2365" spans="1:12" ht="14.4" customHeight="1" x14ac:dyDescent="0.3">
      <c r="A2365"/>
      <c r="L2365"/>
    </row>
    <row r="2366" spans="1:12" ht="14.4" customHeight="1" x14ac:dyDescent="0.3">
      <c r="A2366"/>
      <c r="L2366"/>
    </row>
    <row r="2367" spans="1:12" ht="14.4" customHeight="1" x14ac:dyDescent="0.3">
      <c r="A2367"/>
      <c r="L2367"/>
    </row>
    <row r="2368" spans="1:12" ht="14.4" customHeight="1" x14ac:dyDescent="0.3">
      <c r="A2368"/>
      <c r="L2368"/>
    </row>
    <row r="2369" spans="1:12" ht="14.4" customHeight="1" x14ac:dyDescent="0.3">
      <c r="A2369"/>
      <c r="L2369"/>
    </row>
    <row r="2370" spans="1:12" ht="14.4" customHeight="1" x14ac:dyDescent="0.3">
      <c r="A2370"/>
      <c r="L2370"/>
    </row>
    <row r="2371" spans="1:12" ht="14.4" customHeight="1" x14ac:dyDescent="0.3">
      <c r="A2371"/>
      <c r="L2371"/>
    </row>
    <row r="2372" spans="1:12" ht="14.4" customHeight="1" x14ac:dyDescent="0.3">
      <c r="A2372"/>
      <c r="L2372"/>
    </row>
    <row r="2373" spans="1:12" ht="14.4" customHeight="1" x14ac:dyDescent="0.3">
      <c r="A2373"/>
      <c r="L2373"/>
    </row>
    <row r="2374" spans="1:12" ht="14.4" customHeight="1" x14ac:dyDescent="0.3">
      <c r="A2374"/>
      <c r="L2374"/>
    </row>
    <row r="2375" spans="1:12" ht="14.4" customHeight="1" x14ac:dyDescent="0.3">
      <c r="A2375"/>
      <c r="L2375"/>
    </row>
    <row r="2376" spans="1:12" ht="14.4" customHeight="1" x14ac:dyDescent="0.3">
      <c r="A2376"/>
      <c r="L2376"/>
    </row>
    <row r="2377" spans="1:12" ht="14.4" customHeight="1" x14ac:dyDescent="0.3">
      <c r="A2377"/>
      <c r="L2377"/>
    </row>
    <row r="2378" spans="1:12" ht="14.4" customHeight="1" x14ac:dyDescent="0.3">
      <c r="A2378"/>
      <c r="L2378"/>
    </row>
    <row r="2379" spans="1:12" ht="14.4" customHeight="1" x14ac:dyDescent="0.3">
      <c r="A2379"/>
      <c r="L2379"/>
    </row>
    <row r="2380" spans="1:12" ht="14.4" customHeight="1" x14ac:dyDescent="0.3">
      <c r="A2380"/>
      <c r="L2380"/>
    </row>
    <row r="2381" spans="1:12" ht="14.4" customHeight="1" x14ac:dyDescent="0.3">
      <c r="A2381"/>
      <c r="L2381"/>
    </row>
    <row r="2382" spans="1:12" ht="14.4" customHeight="1" x14ac:dyDescent="0.3">
      <c r="A2382"/>
      <c r="L2382"/>
    </row>
    <row r="2383" spans="1:12" ht="14.4" customHeight="1" x14ac:dyDescent="0.3">
      <c r="A2383"/>
      <c r="L2383"/>
    </row>
    <row r="2384" spans="1:12" ht="14.4" customHeight="1" x14ac:dyDescent="0.3">
      <c r="A2384"/>
      <c r="L2384"/>
    </row>
    <row r="2385" spans="1:12" ht="14.4" customHeight="1" x14ac:dyDescent="0.3">
      <c r="A2385"/>
      <c r="L2385"/>
    </row>
    <row r="2386" spans="1:12" ht="14.4" customHeight="1" x14ac:dyDescent="0.3">
      <c r="A2386"/>
      <c r="L2386"/>
    </row>
    <row r="2387" spans="1:12" ht="14.4" customHeight="1" x14ac:dyDescent="0.3">
      <c r="A2387"/>
      <c r="L2387"/>
    </row>
    <row r="2388" spans="1:12" ht="14.4" customHeight="1" x14ac:dyDescent="0.3">
      <c r="A2388"/>
      <c r="L2388"/>
    </row>
    <row r="2389" spans="1:12" ht="14.4" customHeight="1" x14ac:dyDescent="0.3">
      <c r="A2389"/>
      <c r="L2389"/>
    </row>
    <row r="2390" spans="1:12" ht="14.4" customHeight="1" x14ac:dyDescent="0.3">
      <c r="A2390"/>
      <c r="L2390"/>
    </row>
    <row r="2391" spans="1:12" ht="14.4" customHeight="1" x14ac:dyDescent="0.3">
      <c r="A2391"/>
      <c r="L2391"/>
    </row>
    <row r="2392" spans="1:12" ht="14.4" customHeight="1" x14ac:dyDescent="0.3">
      <c r="A2392"/>
      <c r="L2392"/>
    </row>
    <row r="2393" spans="1:12" ht="14.4" customHeight="1" x14ac:dyDescent="0.3">
      <c r="A2393"/>
      <c r="L2393"/>
    </row>
    <row r="2394" spans="1:12" ht="14.4" customHeight="1" x14ac:dyDescent="0.3">
      <c r="A2394"/>
      <c r="L2394"/>
    </row>
    <row r="2395" spans="1:12" ht="14.4" customHeight="1" x14ac:dyDescent="0.3">
      <c r="A2395"/>
      <c r="L2395"/>
    </row>
    <row r="2396" spans="1:12" ht="14.4" customHeight="1" x14ac:dyDescent="0.3">
      <c r="A2396"/>
      <c r="L2396"/>
    </row>
    <row r="2397" spans="1:12" ht="14.4" customHeight="1" x14ac:dyDescent="0.3">
      <c r="A2397"/>
      <c r="L2397"/>
    </row>
    <row r="2398" spans="1:12" ht="14.4" customHeight="1" x14ac:dyDescent="0.3">
      <c r="A2398"/>
      <c r="L2398"/>
    </row>
    <row r="2399" spans="1:12" ht="14.4" customHeight="1" x14ac:dyDescent="0.3">
      <c r="A2399"/>
      <c r="L2399"/>
    </row>
    <row r="2400" spans="1:12" ht="14.4" customHeight="1" x14ac:dyDescent="0.3">
      <c r="A2400"/>
      <c r="L2400"/>
    </row>
    <row r="2401" spans="1:12" ht="14.4" customHeight="1" x14ac:dyDescent="0.3">
      <c r="A2401"/>
      <c r="L2401"/>
    </row>
    <row r="2402" spans="1:12" ht="14.4" customHeight="1" x14ac:dyDescent="0.3">
      <c r="A2402"/>
      <c r="L2402"/>
    </row>
    <row r="2403" spans="1:12" ht="14.4" customHeight="1" x14ac:dyDescent="0.3">
      <c r="A2403"/>
      <c r="L2403"/>
    </row>
    <row r="2404" spans="1:12" ht="14.4" customHeight="1" x14ac:dyDescent="0.3">
      <c r="A2404"/>
      <c r="L2404"/>
    </row>
    <row r="2405" spans="1:12" ht="14.4" customHeight="1" x14ac:dyDescent="0.3">
      <c r="A2405"/>
      <c r="L2405"/>
    </row>
    <row r="2406" spans="1:12" ht="14.4" customHeight="1" x14ac:dyDescent="0.3">
      <c r="A2406"/>
      <c r="L2406"/>
    </row>
    <row r="2407" spans="1:12" ht="14.4" customHeight="1" x14ac:dyDescent="0.3">
      <c r="A2407"/>
      <c r="L2407"/>
    </row>
    <row r="2408" spans="1:12" ht="14.4" customHeight="1" x14ac:dyDescent="0.3">
      <c r="A2408"/>
      <c r="L2408"/>
    </row>
    <row r="2409" spans="1:12" ht="14.4" customHeight="1" x14ac:dyDescent="0.3">
      <c r="A2409"/>
      <c r="L2409"/>
    </row>
    <row r="2410" spans="1:12" ht="14.4" customHeight="1" x14ac:dyDescent="0.3">
      <c r="A2410"/>
      <c r="L2410"/>
    </row>
    <row r="2411" spans="1:12" ht="14.4" customHeight="1" x14ac:dyDescent="0.3">
      <c r="A2411"/>
      <c r="L2411"/>
    </row>
    <row r="2412" spans="1:12" ht="14.4" customHeight="1" x14ac:dyDescent="0.3">
      <c r="A2412"/>
      <c r="L2412"/>
    </row>
    <row r="2413" spans="1:12" ht="14.4" customHeight="1" x14ac:dyDescent="0.3">
      <c r="A2413"/>
      <c r="L2413"/>
    </row>
    <row r="2414" spans="1:12" ht="14.4" customHeight="1" x14ac:dyDescent="0.3">
      <c r="A2414"/>
      <c r="L2414"/>
    </row>
    <row r="2415" spans="1:12" ht="14.4" customHeight="1" x14ac:dyDescent="0.3">
      <c r="A2415"/>
      <c r="L2415"/>
    </row>
    <row r="2416" spans="1:12" ht="14.4" customHeight="1" x14ac:dyDescent="0.3">
      <c r="A2416"/>
      <c r="L2416"/>
    </row>
    <row r="2417" spans="1:12" ht="14.4" customHeight="1" x14ac:dyDescent="0.3">
      <c r="A2417"/>
      <c r="L2417"/>
    </row>
    <row r="2418" spans="1:12" ht="14.4" customHeight="1" x14ac:dyDescent="0.3">
      <c r="A2418"/>
      <c r="L2418"/>
    </row>
    <row r="2419" spans="1:12" ht="14.4" customHeight="1" x14ac:dyDescent="0.3">
      <c r="A2419"/>
      <c r="L2419"/>
    </row>
    <row r="2420" spans="1:12" ht="14.4" customHeight="1" x14ac:dyDescent="0.3">
      <c r="A2420"/>
      <c r="L2420"/>
    </row>
    <row r="2421" spans="1:12" ht="14.4" customHeight="1" x14ac:dyDescent="0.3">
      <c r="A2421"/>
      <c r="L2421"/>
    </row>
    <row r="2422" spans="1:12" ht="14.4" customHeight="1" x14ac:dyDescent="0.3">
      <c r="A2422"/>
      <c r="L2422"/>
    </row>
    <row r="2423" spans="1:12" ht="14.4" customHeight="1" x14ac:dyDescent="0.3">
      <c r="A2423"/>
      <c r="L2423"/>
    </row>
    <row r="2424" spans="1:12" ht="14.4" customHeight="1" x14ac:dyDescent="0.3">
      <c r="A2424"/>
      <c r="L2424"/>
    </row>
    <row r="2425" spans="1:12" ht="14.4" customHeight="1" x14ac:dyDescent="0.3">
      <c r="A2425"/>
      <c r="L2425"/>
    </row>
    <row r="2426" spans="1:12" ht="14.4" customHeight="1" x14ac:dyDescent="0.3">
      <c r="A2426"/>
      <c r="L2426"/>
    </row>
    <row r="2427" spans="1:12" ht="14.4" customHeight="1" x14ac:dyDescent="0.3">
      <c r="A2427"/>
      <c r="L2427"/>
    </row>
    <row r="2428" spans="1:12" ht="14.4" customHeight="1" x14ac:dyDescent="0.3">
      <c r="A2428"/>
      <c r="L2428"/>
    </row>
    <row r="2429" spans="1:12" ht="14.4" customHeight="1" x14ac:dyDescent="0.3">
      <c r="A2429"/>
      <c r="L2429"/>
    </row>
    <row r="2430" spans="1:12" ht="14.4" customHeight="1" x14ac:dyDescent="0.3">
      <c r="A2430"/>
      <c r="L2430"/>
    </row>
    <row r="2431" spans="1:12" ht="14.4" customHeight="1" x14ac:dyDescent="0.3">
      <c r="A2431"/>
      <c r="L2431"/>
    </row>
    <row r="2432" spans="1:12" ht="14.4" customHeight="1" x14ac:dyDescent="0.3">
      <c r="A2432"/>
      <c r="L2432"/>
    </row>
    <row r="2433" spans="1:12" ht="14.4" customHeight="1" x14ac:dyDescent="0.3">
      <c r="A2433"/>
      <c r="L2433"/>
    </row>
    <row r="2434" spans="1:12" ht="14.4" customHeight="1" x14ac:dyDescent="0.3">
      <c r="A2434"/>
      <c r="L2434"/>
    </row>
    <row r="2435" spans="1:12" ht="14.4" customHeight="1" x14ac:dyDescent="0.3">
      <c r="A2435"/>
      <c r="L2435"/>
    </row>
    <row r="2436" spans="1:12" ht="14.4" customHeight="1" x14ac:dyDescent="0.3">
      <c r="A2436"/>
      <c r="L2436"/>
    </row>
    <row r="2437" spans="1:12" ht="14.4" customHeight="1" x14ac:dyDescent="0.3">
      <c r="A2437"/>
      <c r="L2437"/>
    </row>
    <row r="2438" spans="1:12" ht="14.4" customHeight="1" x14ac:dyDescent="0.3">
      <c r="A2438"/>
      <c r="L2438"/>
    </row>
    <row r="2439" spans="1:12" ht="14.4" customHeight="1" x14ac:dyDescent="0.3">
      <c r="A2439"/>
      <c r="L2439"/>
    </row>
    <row r="2440" spans="1:12" ht="14.4" customHeight="1" x14ac:dyDescent="0.3">
      <c r="A2440"/>
      <c r="L2440"/>
    </row>
    <row r="2441" spans="1:12" ht="14.4" customHeight="1" x14ac:dyDescent="0.3">
      <c r="A2441"/>
      <c r="L2441"/>
    </row>
    <row r="2442" spans="1:12" ht="14.4" customHeight="1" x14ac:dyDescent="0.3">
      <c r="A2442"/>
      <c r="L2442"/>
    </row>
    <row r="2443" spans="1:12" ht="14.4" customHeight="1" x14ac:dyDescent="0.3">
      <c r="A2443"/>
      <c r="L2443"/>
    </row>
    <row r="2444" spans="1:12" ht="14.4" customHeight="1" x14ac:dyDescent="0.3">
      <c r="A2444"/>
      <c r="L2444"/>
    </row>
    <row r="2445" spans="1:12" ht="14.4" customHeight="1" x14ac:dyDescent="0.3">
      <c r="A2445"/>
      <c r="L2445"/>
    </row>
    <row r="2446" spans="1:12" ht="14.4" customHeight="1" x14ac:dyDescent="0.3">
      <c r="A2446"/>
      <c r="L2446"/>
    </row>
    <row r="2447" spans="1:12" ht="14.4" customHeight="1" x14ac:dyDescent="0.3">
      <c r="A2447"/>
      <c r="L2447"/>
    </row>
    <row r="2448" spans="1:12" ht="14.4" customHeight="1" x14ac:dyDescent="0.3">
      <c r="A2448"/>
      <c r="L2448"/>
    </row>
    <row r="2449" spans="1:12" ht="14.4" customHeight="1" x14ac:dyDescent="0.3">
      <c r="A2449"/>
      <c r="L2449"/>
    </row>
    <row r="2450" spans="1:12" ht="14.4" customHeight="1" x14ac:dyDescent="0.3">
      <c r="A2450"/>
      <c r="L2450"/>
    </row>
    <row r="2451" spans="1:12" ht="14.4" customHeight="1" x14ac:dyDescent="0.3">
      <c r="A2451"/>
      <c r="L2451"/>
    </row>
    <row r="2452" spans="1:12" ht="14.4" customHeight="1" x14ac:dyDescent="0.3">
      <c r="A2452"/>
      <c r="L2452"/>
    </row>
    <row r="2453" spans="1:12" ht="14.4" customHeight="1" x14ac:dyDescent="0.3">
      <c r="A2453"/>
      <c r="L2453"/>
    </row>
    <row r="2454" spans="1:12" ht="14.4" customHeight="1" x14ac:dyDescent="0.3">
      <c r="A2454"/>
      <c r="L2454"/>
    </row>
    <row r="2455" spans="1:12" ht="14.4" customHeight="1" x14ac:dyDescent="0.3">
      <c r="A2455"/>
      <c r="L2455"/>
    </row>
    <row r="2456" spans="1:12" ht="14.4" customHeight="1" x14ac:dyDescent="0.3">
      <c r="A2456"/>
      <c r="L2456"/>
    </row>
    <row r="2457" spans="1:12" ht="14.4" customHeight="1" x14ac:dyDescent="0.3">
      <c r="A2457"/>
      <c r="L2457"/>
    </row>
    <row r="2458" spans="1:12" ht="14.4" customHeight="1" x14ac:dyDescent="0.3">
      <c r="A2458"/>
      <c r="L2458"/>
    </row>
    <row r="2459" spans="1:12" ht="14.4" customHeight="1" x14ac:dyDescent="0.3">
      <c r="A2459"/>
      <c r="L2459"/>
    </row>
    <row r="2460" spans="1:12" ht="14.4" customHeight="1" x14ac:dyDescent="0.3">
      <c r="A2460"/>
      <c r="L2460"/>
    </row>
    <row r="2461" spans="1:12" ht="14.4" customHeight="1" x14ac:dyDescent="0.3">
      <c r="A2461"/>
      <c r="L2461"/>
    </row>
    <row r="2462" spans="1:12" ht="14.4" customHeight="1" x14ac:dyDescent="0.3">
      <c r="A2462"/>
      <c r="L2462"/>
    </row>
    <row r="2463" spans="1:12" ht="14.4" customHeight="1" x14ac:dyDescent="0.3">
      <c r="A2463"/>
      <c r="L2463"/>
    </row>
    <row r="2464" spans="1:12" ht="14.4" customHeight="1" x14ac:dyDescent="0.3">
      <c r="A2464"/>
      <c r="L2464"/>
    </row>
    <row r="2465" spans="1:12" ht="14.4" customHeight="1" x14ac:dyDescent="0.3">
      <c r="A2465"/>
      <c r="L2465"/>
    </row>
    <row r="2466" spans="1:12" ht="14.4" customHeight="1" x14ac:dyDescent="0.3">
      <c r="A2466"/>
      <c r="L2466"/>
    </row>
    <row r="2467" spans="1:12" ht="14.4" customHeight="1" x14ac:dyDescent="0.3">
      <c r="A2467"/>
      <c r="L2467"/>
    </row>
    <row r="2468" spans="1:12" ht="14.4" customHeight="1" x14ac:dyDescent="0.3">
      <c r="A2468"/>
      <c r="L2468"/>
    </row>
    <row r="2469" spans="1:12" ht="14.4" customHeight="1" x14ac:dyDescent="0.3">
      <c r="A2469"/>
      <c r="L2469"/>
    </row>
    <row r="2470" spans="1:12" ht="14.4" customHeight="1" x14ac:dyDescent="0.3">
      <c r="A2470"/>
      <c r="L2470"/>
    </row>
    <row r="2471" spans="1:12" ht="14.4" customHeight="1" x14ac:dyDescent="0.3">
      <c r="A2471"/>
      <c r="L2471"/>
    </row>
    <row r="2472" spans="1:12" ht="14.4" customHeight="1" x14ac:dyDescent="0.3">
      <c r="A2472"/>
      <c r="L2472"/>
    </row>
    <row r="2473" spans="1:12" ht="14.4" customHeight="1" x14ac:dyDescent="0.3">
      <c r="A2473"/>
      <c r="L2473"/>
    </row>
    <row r="2474" spans="1:12" ht="14.4" customHeight="1" x14ac:dyDescent="0.3">
      <c r="A2474"/>
      <c r="L2474"/>
    </row>
    <row r="2475" spans="1:12" ht="14.4" customHeight="1" x14ac:dyDescent="0.3">
      <c r="A2475"/>
      <c r="L2475"/>
    </row>
    <row r="2476" spans="1:12" ht="14.4" customHeight="1" x14ac:dyDescent="0.3">
      <c r="A2476"/>
      <c r="L2476"/>
    </row>
    <row r="2477" spans="1:12" ht="14.4" customHeight="1" x14ac:dyDescent="0.3">
      <c r="A2477"/>
      <c r="L2477"/>
    </row>
    <row r="2478" spans="1:12" ht="14.4" customHeight="1" x14ac:dyDescent="0.3">
      <c r="A2478"/>
      <c r="L2478"/>
    </row>
    <row r="2479" spans="1:12" ht="14.4" customHeight="1" x14ac:dyDescent="0.3">
      <c r="A2479"/>
      <c r="L2479"/>
    </row>
    <row r="2480" spans="1:12" ht="14.4" customHeight="1" x14ac:dyDescent="0.3">
      <c r="A2480"/>
      <c r="L2480"/>
    </row>
    <row r="2481" spans="1:12" ht="14.4" customHeight="1" x14ac:dyDescent="0.3">
      <c r="A2481"/>
      <c r="L2481"/>
    </row>
    <row r="2482" spans="1:12" ht="14.4" customHeight="1" x14ac:dyDescent="0.3">
      <c r="A2482"/>
      <c r="L2482"/>
    </row>
    <row r="2483" spans="1:12" ht="14.4" customHeight="1" x14ac:dyDescent="0.3">
      <c r="A2483"/>
      <c r="L2483"/>
    </row>
    <row r="2484" spans="1:12" ht="14.4" customHeight="1" x14ac:dyDescent="0.3">
      <c r="A2484"/>
      <c r="L2484"/>
    </row>
    <row r="2485" spans="1:12" ht="14.4" customHeight="1" x14ac:dyDescent="0.3">
      <c r="A2485"/>
      <c r="L2485"/>
    </row>
    <row r="2486" spans="1:12" ht="14.4" customHeight="1" x14ac:dyDescent="0.3">
      <c r="A2486"/>
      <c r="L2486"/>
    </row>
    <row r="2487" spans="1:12" ht="14.4" customHeight="1" x14ac:dyDescent="0.3">
      <c r="A2487"/>
      <c r="L2487"/>
    </row>
    <row r="2488" spans="1:12" ht="14.4" customHeight="1" x14ac:dyDescent="0.3">
      <c r="A2488"/>
      <c r="L2488"/>
    </row>
    <row r="2489" spans="1:12" ht="14.4" customHeight="1" x14ac:dyDescent="0.3">
      <c r="A2489"/>
      <c r="L2489"/>
    </row>
    <row r="2490" spans="1:12" ht="14.4" customHeight="1" x14ac:dyDescent="0.3">
      <c r="A2490"/>
      <c r="L2490"/>
    </row>
    <row r="2491" spans="1:12" ht="14.4" customHeight="1" x14ac:dyDescent="0.3">
      <c r="A2491"/>
      <c r="L2491"/>
    </row>
    <row r="2492" spans="1:12" ht="14.4" customHeight="1" x14ac:dyDescent="0.3">
      <c r="A2492"/>
      <c r="L2492"/>
    </row>
    <row r="2493" spans="1:12" ht="14.4" customHeight="1" x14ac:dyDescent="0.3">
      <c r="A2493"/>
      <c r="L2493"/>
    </row>
    <row r="2494" spans="1:12" ht="14.4" customHeight="1" x14ac:dyDescent="0.3">
      <c r="A2494"/>
      <c r="L2494"/>
    </row>
    <row r="2495" spans="1:12" ht="14.4" customHeight="1" x14ac:dyDescent="0.3">
      <c r="A2495"/>
      <c r="L2495"/>
    </row>
    <row r="2496" spans="1:12" ht="14.4" customHeight="1" x14ac:dyDescent="0.3">
      <c r="A2496"/>
      <c r="L2496"/>
    </row>
    <row r="2497" spans="1:12" ht="14.4" customHeight="1" x14ac:dyDescent="0.3">
      <c r="A2497"/>
      <c r="L2497"/>
    </row>
    <row r="2498" spans="1:12" ht="14.4" customHeight="1" x14ac:dyDescent="0.3">
      <c r="A2498"/>
      <c r="L2498"/>
    </row>
    <row r="2499" spans="1:12" ht="14.4" customHeight="1" x14ac:dyDescent="0.3">
      <c r="A2499"/>
      <c r="L2499"/>
    </row>
    <row r="2500" spans="1:12" ht="14.4" customHeight="1" x14ac:dyDescent="0.3">
      <c r="A2500"/>
      <c r="L2500"/>
    </row>
    <row r="2501" spans="1:12" ht="14.4" customHeight="1" x14ac:dyDescent="0.3">
      <c r="A2501"/>
      <c r="L2501"/>
    </row>
    <row r="2502" spans="1:12" ht="14.4" customHeight="1" x14ac:dyDescent="0.3">
      <c r="A2502"/>
      <c r="L2502"/>
    </row>
    <row r="2503" spans="1:12" ht="14.4" customHeight="1" x14ac:dyDescent="0.3">
      <c r="A2503"/>
      <c r="L2503"/>
    </row>
    <row r="2504" spans="1:12" ht="14.4" customHeight="1" x14ac:dyDescent="0.3">
      <c r="A2504"/>
      <c r="L2504"/>
    </row>
    <row r="2505" spans="1:12" ht="14.4" customHeight="1" x14ac:dyDescent="0.3">
      <c r="A2505"/>
      <c r="L2505"/>
    </row>
    <row r="2506" spans="1:12" ht="14.4" customHeight="1" x14ac:dyDescent="0.3">
      <c r="A2506"/>
      <c r="L2506"/>
    </row>
    <row r="2507" spans="1:12" ht="14.4" customHeight="1" x14ac:dyDescent="0.3">
      <c r="A2507"/>
      <c r="L2507"/>
    </row>
    <row r="2508" spans="1:12" ht="14.4" customHeight="1" x14ac:dyDescent="0.3">
      <c r="A2508"/>
      <c r="L2508"/>
    </row>
    <row r="2509" spans="1:12" ht="14.4" customHeight="1" x14ac:dyDescent="0.3">
      <c r="A2509"/>
      <c r="L2509"/>
    </row>
    <row r="2510" spans="1:12" ht="14.4" customHeight="1" x14ac:dyDescent="0.3">
      <c r="A2510"/>
      <c r="L2510"/>
    </row>
    <row r="2511" spans="1:12" ht="14.4" customHeight="1" x14ac:dyDescent="0.3">
      <c r="A2511"/>
      <c r="L2511"/>
    </row>
    <row r="2512" spans="1:12" ht="14.4" customHeight="1" x14ac:dyDescent="0.3">
      <c r="A2512"/>
      <c r="L2512"/>
    </row>
    <row r="2513" spans="1:12" ht="14.4" customHeight="1" x14ac:dyDescent="0.3">
      <c r="A2513"/>
      <c r="L2513"/>
    </row>
    <row r="2514" spans="1:12" ht="14.4" customHeight="1" x14ac:dyDescent="0.3">
      <c r="A2514"/>
      <c r="L2514"/>
    </row>
    <row r="2515" spans="1:12" ht="14.4" customHeight="1" x14ac:dyDescent="0.3">
      <c r="A2515"/>
      <c r="L2515"/>
    </row>
    <row r="2516" spans="1:12" ht="14.4" customHeight="1" x14ac:dyDescent="0.3">
      <c r="A2516"/>
      <c r="L2516"/>
    </row>
    <row r="2517" spans="1:12" ht="14.4" customHeight="1" x14ac:dyDescent="0.3">
      <c r="A2517"/>
      <c r="L2517"/>
    </row>
    <row r="2518" spans="1:12" ht="14.4" customHeight="1" x14ac:dyDescent="0.3">
      <c r="A2518"/>
      <c r="L2518"/>
    </row>
    <row r="2519" spans="1:12" ht="14.4" customHeight="1" x14ac:dyDescent="0.3">
      <c r="A2519"/>
      <c r="L2519"/>
    </row>
    <row r="2520" spans="1:12" ht="14.4" customHeight="1" x14ac:dyDescent="0.3">
      <c r="A2520"/>
      <c r="L2520"/>
    </row>
    <row r="2521" spans="1:12" ht="14.4" customHeight="1" x14ac:dyDescent="0.3">
      <c r="A2521"/>
      <c r="L2521"/>
    </row>
    <row r="2522" spans="1:12" ht="14.4" customHeight="1" x14ac:dyDescent="0.3">
      <c r="A2522"/>
      <c r="L2522"/>
    </row>
    <row r="2523" spans="1:12" ht="14.4" customHeight="1" x14ac:dyDescent="0.3">
      <c r="A2523"/>
      <c r="L2523"/>
    </row>
    <row r="2524" spans="1:12" ht="14.4" customHeight="1" x14ac:dyDescent="0.3">
      <c r="A2524"/>
      <c r="L2524"/>
    </row>
    <row r="2525" spans="1:12" ht="14.4" customHeight="1" x14ac:dyDescent="0.3">
      <c r="A2525"/>
      <c r="L2525"/>
    </row>
    <row r="2526" spans="1:12" ht="14.4" customHeight="1" x14ac:dyDescent="0.3">
      <c r="A2526"/>
      <c r="L2526"/>
    </row>
    <row r="2527" spans="1:12" ht="14.4" customHeight="1" x14ac:dyDescent="0.3">
      <c r="A2527"/>
      <c r="L2527"/>
    </row>
    <row r="2528" spans="1:12" ht="14.4" customHeight="1" x14ac:dyDescent="0.3">
      <c r="A2528"/>
      <c r="L2528"/>
    </row>
    <row r="2529" spans="1:12" ht="14.4" customHeight="1" x14ac:dyDescent="0.3">
      <c r="A2529"/>
      <c r="L2529"/>
    </row>
    <row r="2530" spans="1:12" ht="14.4" customHeight="1" x14ac:dyDescent="0.3">
      <c r="A2530"/>
      <c r="L2530"/>
    </row>
    <row r="2531" spans="1:12" ht="14.4" customHeight="1" x14ac:dyDescent="0.3">
      <c r="A2531"/>
      <c r="L2531"/>
    </row>
    <row r="2532" spans="1:12" ht="14.4" customHeight="1" x14ac:dyDescent="0.3">
      <c r="A2532"/>
      <c r="L2532"/>
    </row>
    <row r="2533" spans="1:12" ht="14.4" customHeight="1" x14ac:dyDescent="0.3">
      <c r="A2533"/>
      <c r="L2533"/>
    </row>
    <row r="2534" spans="1:12" ht="14.4" customHeight="1" x14ac:dyDescent="0.3">
      <c r="A2534"/>
      <c r="L2534"/>
    </row>
    <row r="2535" spans="1:12" ht="14.4" customHeight="1" x14ac:dyDescent="0.3">
      <c r="A2535"/>
      <c r="L2535"/>
    </row>
    <row r="2536" spans="1:12" ht="14.4" customHeight="1" x14ac:dyDescent="0.3">
      <c r="A2536"/>
      <c r="L2536"/>
    </row>
    <row r="2537" spans="1:12" ht="14.4" customHeight="1" x14ac:dyDescent="0.3">
      <c r="A2537"/>
      <c r="L2537"/>
    </row>
    <row r="2538" spans="1:12" ht="14.4" customHeight="1" x14ac:dyDescent="0.3">
      <c r="A2538"/>
      <c r="L2538"/>
    </row>
    <row r="2539" spans="1:12" ht="14.4" customHeight="1" x14ac:dyDescent="0.3">
      <c r="A2539"/>
      <c r="L2539"/>
    </row>
    <row r="2540" spans="1:12" ht="14.4" customHeight="1" x14ac:dyDescent="0.3">
      <c r="A2540"/>
      <c r="L2540"/>
    </row>
    <row r="2541" spans="1:12" ht="14.4" customHeight="1" x14ac:dyDescent="0.3">
      <c r="A2541"/>
      <c r="L2541"/>
    </row>
    <row r="2542" spans="1:12" ht="14.4" customHeight="1" x14ac:dyDescent="0.3">
      <c r="A2542"/>
      <c r="L2542"/>
    </row>
    <row r="2543" spans="1:12" ht="14.4" customHeight="1" x14ac:dyDescent="0.3">
      <c r="A2543"/>
      <c r="L2543"/>
    </row>
    <row r="2544" spans="1:12" ht="14.4" customHeight="1" x14ac:dyDescent="0.3">
      <c r="A2544"/>
      <c r="L2544"/>
    </row>
    <row r="2545" spans="1:12" ht="14.4" customHeight="1" x14ac:dyDescent="0.3">
      <c r="A2545"/>
      <c r="L2545"/>
    </row>
    <row r="2546" spans="1:12" ht="14.4" customHeight="1" x14ac:dyDescent="0.3">
      <c r="A2546"/>
      <c r="L2546"/>
    </row>
    <row r="2547" spans="1:12" ht="14.4" customHeight="1" x14ac:dyDescent="0.3">
      <c r="A2547"/>
      <c r="L2547"/>
    </row>
    <row r="2548" spans="1:12" ht="14.4" customHeight="1" x14ac:dyDescent="0.3">
      <c r="A2548"/>
      <c r="L2548"/>
    </row>
    <row r="2549" spans="1:12" ht="14.4" customHeight="1" x14ac:dyDescent="0.3">
      <c r="A2549"/>
      <c r="L2549"/>
    </row>
    <row r="2550" spans="1:12" ht="14.4" customHeight="1" x14ac:dyDescent="0.3">
      <c r="A2550"/>
      <c r="L2550"/>
    </row>
    <row r="2551" spans="1:12" ht="14.4" customHeight="1" x14ac:dyDescent="0.3">
      <c r="A2551"/>
      <c r="L2551"/>
    </row>
    <row r="2552" spans="1:12" ht="14.4" customHeight="1" x14ac:dyDescent="0.3">
      <c r="A2552"/>
      <c r="L2552"/>
    </row>
    <row r="2553" spans="1:12" ht="14.4" customHeight="1" x14ac:dyDescent="0.3">
      <c r="A2553"/>
      <c r="L2553"/>
    </row>
    <row r="2554" spans="1:12" ht="14.4" customHeight="1" x14ac:dyDescent="0.3">
      <c r="A2554"/>
      <c r="L2554"/>
    </row>
    <row r="2555" spans="1:12" ht="14.4" customHeight="1" x14ac:dyDescent="0.3">
      <c r="A2555"/>
      <c r="L2555"/>
    </row>
    <row r="2556" spans="1:12" ht="14.4" customHeight="1" x14ac:dyDescent="0.3">
      <c r="A2556"/>
      <c r="L2556"/>
    </row>
    <row r="2557" spans="1:12" ht="14.4" customHeight="1" x14ac:dyDescent="0.3">
      <c r="A2557"/>
      <c r="L2557"/>
    </row>
    <row r="2558" spans="1:12" ht="14.4" customHeight="1" x14ac:dyDescent="0.3">
      <c r="A2558"/>
      <c r="L2558"/>
    </row>
    <row r="2559" spans="1:12" ht="14.4" customHeight="1" x14ac:dyDescent="0.3">
      <c r="A2559"/>
      <c r="L2559"/>
    </row>
    <row r="2560" spans="1:12" ht="14.4" customHeight="1" x14ac:dyDescent="0.3">
      <c r="A2560"/>
      <c r="L2560"/>
    </row>
    <row r="2561" spans="1:12" ht="14.4" customHeight="1" x14ac:dyDescent="0.3">
      <c r="A2561"/>
      <c r="L2561"/>
    </row>
    <row r="2562" spans="1:12" ht="14.4" customHeight="1" x14ac:dyDescent="0.3">
      <c r="A2562"/>
      <c r="L2562"/>
    </row>
    <row r="2563" spans="1:12" ht="14.4" customHeight="1" x14ac:dyDescent="0.3">
      <c r="A2563"/>
      <c r="L2563"/>
    </row>
    <row r="2564" spans="1:12" ht="14.4" customHeight="1" x14ac:dyDescent="0.3">
      <c r="A2564"/>
      <c r="L2564"/>
    </row>
    <row r="2565" spans="1:12" ht="14.4" customHeight="1" x14ac:dyDescent="0.3">
      <c r="A2565"/>
      <c r="L2565"/>
    </row>
    <row r="2566" spans="1:12" ht="14.4" customHeight="1" x14ac:dyDescent="0.3">
      <c r="A2566"/>
      <c r="L2566"/>
    </row>
    <row r="2567" spans="1:12" ht="14.4" customHeight="1" x14ac:dyDescent="0.3">
      <c r="A2567"/>
      <c r="L2567"/>
    </row>
    <row r="2568" spans="1:12" ht="14.4" customHeight="1" x14ac:dyDescent="0.3">
      <c r="A2568"/>
      <c r="L2568"/>
    </row>
    <row r="2569" spans="1:12" ht="14.4" customHeight="1" x14ac:dyDescent="0.3">
      <c r="A2569"/>
      <c r="L2569"/>
    </row>
    <row r="2570" spans="1:12" ht="14.4" customHeight="1" x14ac:dyDescent="0.3">
      <c r="A2570"/>
      <c r="L2570"/>
    </row>
    <row r="2571" spans="1:12" ht="14.4" customHeight="1" x14ac:dyDescent="0.3">
      <c r="A2571"/>
      <c r="L2571"/>
    </row>
    <row r="2572" spans="1:12" ht="14.4" customHeight="1" x14ac:dyDescent="0.3">
      <c r="A2572"/>
      <c r="L2572"/>
    </row>
    <row r="2573" spans="1:12" ht="14.4" customHeight="1" x14ac:dyDescent="0.3">
      <c r="A2573"/>
      <c r="L2573"/>
    </row>
    <row r="2574" spans="1:12" ht="14.4" customHeight="1" x14ac:dyDescent="0.3">
      <c r="A2574"/>
      <c r="L2574"/>
    </row>
    <row r="2575" spans="1:12" ht="14.4" customHeight="1" x14ac:dyDescent="0.3">
      <c r="A2575"/>
      <c r="L2575"/>
    </row>
    <row r="2576" spans="1:12" ht="14.4" customHeight="1" x14ac:dyDescent="0.3">
      <c r="A2576"/>
      <c r="L2576"/>
    </row>
    <row r="2577" spans="1:12" ht="14.4" customHeight="1" x14ac:dyDescent="0.3">
      <c r="A2577"/>
      <c r="L2577"/>
    </row>
    <row r="2578" spans="1:12" ht="14.4" customHeight="1" x14ac:dyDescent="0.3">
      <c r="A2578"/>
      <c r="L2578"/>
    </row>
    <row r="2579" spans="1:12" ht="14.4" customHeight="1" x14ac:dyDescent="0.3">
      <c r="A2579"/>
      <c r="L2579"/>
    </row>
    <row r="2580" spans="1:12" ht="14.4" customHeight="1" x14ac:dyDescent="0.3">
      <c r="A2580"/>
      <c r="L2580"/>
    </row>
    <row r="2581" spans="1:12" ht="14.4" customHeight="1" x14ac:dyDescent="0.3">
      <c r="A2581"/>
      <c r="L2581"/>
    </row>
    <row r="2582" spans="1:12" ht="14.4" customHeight="1" x14ac:dyDescent="0.3">
      <c r="A2582"/>
      <c r="L2582"/>
    </row>
    <row r="2583" spans="1:12" ht="14.4" customHeight="1" x14ac:dyDescent="0.3">
      <c r="A2583"/>
      <c r="L2583"/>
    </row>
    <row r="2584" spans="1:12" ht="14.4" customHeight="1" x14ac:dyDescent="0.3">
      <c r="A2584"/>
      <c r="L2584"/>
    </row>
    <row r="2585" spans="1:12" ht="14.4" customHeight="1" x14ac:dyDescent="0.3">
      <c r="A2585"/>
      <c r="L2585"/>
    </row>
    <row r="2586" spans="1:12" ht="14.4" customHeight="1" x14ac:dyDescent="0.3">
      <c r="A2586"/>
      <c r="L2586"/>
    </row>
    <row r="2587" spans="1:12" ht="14.4" customHeight="1" x14ac:dyDescent="0.3">
      <c r="A2587"/>
      <c r="L2587"/>
    </row>
    <row r="2588" spans="1:12" ht="14.4" customHeight="1" x14ac:dyDescent="0.3">
      <c r="A2588"/>
      <c r="L2588"/>
    </row>
    <row r="2589" spans="1:12" ht="14.4" customHeight="1" x14ac:dyDescent="0.3">
      <c r="A2589"/>
      <c r="L2589"/>
    </row>
    <row r="2590" spans="1:12" ht="14.4" customHeight="1" x14ac:dyDescent="0.3">
      <c r="A2590"/>
      <c r="L2590"/>
    </row>
    <row r="2591" spans="1:12" ht="14.4" customHeight="1" x14ac:dyDescent="0.3">
      <c r="A2591"/>
      <c r="L2591"/>
    </row>
    <row r="2592" spans="1:12" ht="14.4" customHeight="1" x14ac:dyDescent="0.3">
      <c r="A2592"/>
      <c r="L2592"/>
    </row>
    <row r="2593" spans="1:12" ht="14.4" customHeight="1" x14ac:dyDescent="0.3">
      <c r="A2593"/>
      <c r="L2593"/>
    </row>
    <row r="2594" spans="1:12" ht="14.4" customHeight="1" x14ac:dyDescent="0.3">
      <c r="A2594"/>
      <c r="L2594"/>
    </row>
    <row r="2595" spans="1:12" ht="14.4" customHeight="1" x14ac:dyDescent="0.3">
      <c r="A2595"/>
      <c r="L2595"/>
    </row>
    <row r="2596" spans="1:12" ht="14.4" customHeight="1" x14ac:dyDescent="0.3">
      <c r="A2596"/>
      <c r="L2596"/>
    </row>
    <row r="2597" spans="1:12" ht="14.4" customHeight="1" x14ac:dyDescent="0.3">
      <c r="A2597"/>
      <c r="L2597"/>
    </row>
    <row r="2598" spans="1:12" ht="14.4" customHeight="1" x14ac:dyDescent="0.3">
      <c r="A2598"/>
      <c r="L2598"/>
    </row>
    <row r="2599" spans="1:12" ht="14.4" customHeight="1" x14ac:dyDescent="0.3">
      <c r="A2599"/>
      <c r="L2599"/>
    </row>
    <row r="2600" spans="1:12" ht="14.4" customHeight="1" x14ac:dyDescent="0.3">
      <c r="A2600"/>
      <c r="L2600"/>
    </row>
    <row r="2601" spans="1:12" ht="14.4" customHeight="1" x14ac:dyDescent="0.3">
      <c r="A2601"/>
      <c r="L2601"/>
    </row>
    <row r="2602" spans="1:12" ht="14.4" customHeight="1" x14ac:dyDescent="0.3">
      <c r="A2602"/>
      <c r="L2602"/>
    </row>
    <row r="2603" spans="1:12" ht="14.4" customHeight="1" x14ac:dyDescent="0.3">
      <c r="A2603"/>
      <c r="L2603"/>
    </row>
    <row r="2604" spans="1:12" ht="14.4" customHeight="1" x14ac:dyDescent="0.3">
      <c r="A2604"/>
      <c r="L2604"/>
    </row>
    <row r="2605" spans="1:12" ht="14.4" customHeight="1" x14ac:dyDescent="0.3">
      <c r="A2605"/>
      <c r="L2605"/>
    </row>
    <row r="2606" spans="1:12" ht="14.4" customHeight="1" x14ac:dyDescent="0.3">
      <c r="A2606"/>
      <c r="L2606"/>
    </row>
    <row r="2607" spans="1:12" ht="14.4" customHeight="1" x14ac:dyDescent="0.3">
      <c r="A2607"/>
      <c r="L2607"/>
    </row>
    <row r="2608" spans="1:12" ht="14.4" customHeight="1" x14ac:dyDescent="0.3">
      <c r="A2608"/>
      <c r="L2608"/>
    </row>
    <row r="2609" spans="1:12" ht="14.4" customHeight="1" x14ac:dyDescent="0.3">
      <c r="A2609"/>
      <c r="L2609"/>
    </row>
    <row r="2610" spans="1:12" ht="14.4" customHeight="1" x14ac:dyDescent="0.3">
      <c r="A2610"/>
      <c r="L2610"/>
    </row>
    <row r="2611" spans="1:12" ht="14.4" customHeight="1" x14ac:dyDescent="0.3">
      <c r="A2611"/>
      <c r="L2611"/>
    </row>
    <row r="2612" spans="1:12" ht="14.4" customHeight="1" x14ac:dyDescent="0.3">
      <c r="A2612"/>
      <c r="L2612"/>
    </row>
    <row r="2613" spans="1:12" ht="14.4" customHeight="1" x14ac:dyDescent="0.3">
      <c r="A2613"/>
      <c r="L2613"/>
    </row>
    <row r="2614" spans="1:12" ht="14.4" customHeight="1" x14ac:dyDescent="0.3">
      <c r="A2614"/>
      <c r="L2614"/>
    </row>
    <row r="2615" spans="1:12" ht="14.4" customHeight="1" x14ac:dyDescent="0.3">
      <c r="A2615"/>
      <c r="L2615"/>
    </row>
    <row r="2616" spans="1:12" ht="14.4" customHeight="1" x14ac:dyDescent="0.3">
      <c r="A2616"/>
      <c r="L2616"/>
    </row>
    <row r="2617" spans="1:12" ht="14.4" customHeight="1" x14ac:dyDescent="0.3">
      <c r="A2617"/>
      <c r="L2617"/>
    </row>
    <row r="2618" spans="1:12" ht="14.4" customHeight="1" x14ac:dyDescent="0.3">
      <c r="A2618"/>
      <c r="L2618"/>
    </row>
    <row r="2619" spans="1:12" ht="14.4" customHeight="1" x14ac:dyDescent="0.3">
      <c r="A2619"/>
      <c r="L2619"/>
    </row>
    <row r="2620" spans="1:12" ht="14.4" customHeight="1" x14ac:dyDescent="0.3">
      <c r="A2620"/>
      <c r="L2620"/>
    </row>
    <row r="2621" spans="1:12" ht="14.4" customHeight="1" x14ac:dyDescent="0.3">
      <c r="A2621"/>
      <c r="L2621"/>
    </row>
    <row r="2622" spans="1:12" ht="14.4" customHeight="1" x14ac:dyDescent="0.3">
      <c r="A2622"/>
      <c r="L2622"/>
    </row>
    <row r="2623" spans="1:12" ht="14.4" customHeight="1" x14ac:dyDescent="0.3">
      <c r="A2623"/>
      <c r="L2623"/>
    </row>
    <row r="2624" spans="1:12" ht="14.4" customHeight="1" x14ac:dyDescent="0.3">
      <c r="A2624"/>
      <c r="L2624"/>
    </row>
    <row r="2625" spans="1:12" ht="14.4" customHeight="1" x14ac:dyDescent="0.3">
      <c r="A2625"/>
      <c r="L2625"/>
    </row>
    <row r="2626" spans="1:12" ht="14.4" customHeight="1" x14ac:dyDescent="0.3">
      <c r="A2626"/>
      <c r="L2626"/>
    </row>
    <row r="2627" spans="1:12" ht="14.4" customHeight="1" x14ac:dyDescent="0.3">
      <c r="A2627"/>
      <c r="L2627"/>
    </row>
    <row r="2628" spans="1:12" ht="14.4" customHeight="1" x14ac:dyDescent="0.3">
      <c r="A2628"/>
      <c r="L2628"/>
    </row>
    <row r="2629" spans="1:12" ht="14.4" customHeight="1" x14ac:dyDescent="0.3">
      <c r="A2629"/>
      <c r="L2629"/>
    </row>
    <row r="2630" spans="1:12" ht="14.4" customHeight="1" x14ac:dyDescent="0.3">
      <c r="A2630"/>
      <c r="L2630"/>
    </row>
    <row r="2631" spans="1:12" ht="14.4" customHeight="1" x14ac:dyDescent="0.3">
      <c r="A2631"/>
      <c r="L2631"/>
    </row>
    <row r="2632" spans="1:12" ht="14.4" customHeight="1" x14ac:dyDescent="0.3">
      <c r="A2632"/>
      <c r="L2632"/>
    </row>
    <row r="2633" spans="1:12" ht="14.4" customHeight="1" x14ac:dyDescent="0.3">
      <c r="A2633"/>
      <c r="L2633"/>
    </row>
    <row r="2634" spans="1:12" ht="14.4" customHeight="1" x14ac:dyDescent="0.3">
      <c r="A2634"/>
      <c r="L2634"/>
    </row>
    <row r="2635" spans="1:12" ht="14.4" customHeight="1" x14ac:dyDescent="0.3">
      <c r="A2635"/>
      <c r="L2635"/>
    </row>
    <row r="2636" spans="1:12" ht="14.4" customHeight="1" x14ac:dyDescent="0.3">
      <c r="A2636"/>
      <c r="L2636"/>
    </row>
    <row r="2637" spans="1:12" ht="14.4" customHeight="1" x14ac:dyDescent="0.3">
      <c r="A2637"/>
      <c r="L2637"/>
    </row>
    <row r="2638" spans="1:12" ht="14.4" customHeight="1" x14ac:dyDescent="0.3">
      <c r="A2638"/>
      <c r="L2638"/>
    </row>
    <row r="2639" spans="1:12" ht="14.4" customHeight="1" x14ac:dyDescent="0.3">
      <c r="A2639"/>
      <c r="L2639"/>
    </row>
    <row r="2640" spans="1:12" ht="14.4" customHeight="1" x14ac:dyDescent="0.3">
      <c r="A2640"/>
      <c r="L2640"/>
    </row>
    <row r="2641" spans="1:12" ht="14.4" customHeight="1" x14ac:dyDescent="0.3">
      <c r="A2641"/>
      <c r="L2641"/>
    </row>
    <row r="2642" spans="1:12" ht="14.4" customHeight="1" x14ac:dyDescent="0.3">
      <c r="A2642"/>
      <c r="L2642"/>
    </row>
    <row r="2643" spans="1:12" ht="14.4" customHeight="1" x14ac:dyDescent="0.3">
      <c r="A2643"/>
      <c r="L2643"/>
    </row>
    <row r="2644" spans="1:12" ht="14.4" customHeight="1" x14ac:dyDescent="0.3">
      <c r="A2644"/>
      <c r="L2644"/>
    </row>
    <row r="2645" spans="1:12" ht="14.4" customHeight="1" x14ac:dyDescent="0.3">
      <c r="A2645"/>
      <c r="L2645"/>
    </row>
    <row r="2646" spans="1:12" ht="14.4" customHeight="1" x14ac:dyDescent="0.3">
      <c r="A2646"/>
      <c r="L2646"/>
    </row>
    <row r="2647" spans="1:12" ht="14.4" customHeight="1" x14ac:dyDescent="0.3">
      <c r="A2647"/>
      <c r="L2647"/>
    </row>
    <row r="2648" spans="1:12" ht="14.4" customHeight="1" x14ac:dyDescent="0.3">
      <c r="A2648"/>
      <c r="L2648"/>
    </row>
    <row r="2649" spans="1:12" ht="14.4" customHeight="1" x14ac:dyDescent="0.3">
      <c r="A2649"/>
      <c r="L2649"/>
    </row>
    <row r="2650" spans="1:12" ht="14.4" customHeight="1" x14ac:dyDescent="0.3">
      <c r="A2650"/>
      <c r="L2650"/>
    </row>
    <row r="2651" spans="1:12" ht="14.4" customHeight="1" x14ac:dyDescent="0.3">
      <c r="A2651"/>
      <c r="L2651"/>
    </row>
    <row r="2652" spans="1:12" ht="14.4" customHeight="1" x14ac:dyDescent="0.3">
      <c r="A2652"/>
      <c r="L2652"/>
    </row>
    <row r="2653" spans="1:12" ht="14.4" customHeight="1" x14ac:dyDescent="0.3">
      <c r="A2653"/>
      <c r="L2653"/>
    </row>
    <row r="2654" spans="1:12" ht="14.4" customHeight="1" x14ac:dyDescent="0.3">
      <c r="A2654"/>
      <c r="L2654"/>
    </row>
    <row r="2655" spans="1:12" ht="14.4" customHeight="1" x14ac:dyDescent="0.3">
      <c r="A2655"/>
      <c r="L2655"/>
    </row>
    <row r="2656" spans="1:12" ht="14.4" customHeight="1" x14ac:dyDescent="0.3">
      <c r="A2656"/>
      <c r="L2656"/>
    </row>
    <row r="2657" spans="1:12" ht="14.4" customHeight="1" x14ac:dyDescent="0.3">
      <c r="A2657"/>
      <c r="L2657"/>
    </row>
    <row r="2658" spans="1:12" ht="14.4" customHeight="1" x14ac:dyDescent="0.3">
      <c r="A2658"/>
      <c r="L2658"/>
    </row>
    <row r="2659" spans="1:12" ht="14.4" customHeight="1" x14ac:dyDescent="0.3">
      <c r="A2659"/>
      <c r="L2659"/>
    </row>
    <row r="2660" spans="1:12" ht="14.4" customHeight="1" x14ac:dyDescent="0.3">
      <c r="A2660"/>
      <c r="L2660"/>
    </row>
    <row r="2661" spans="1:12" ht="14.4" customHeight="1" x14ac:dyDescent="0.3">
      <c r="A2661"/>
      <c r="L2661"/>
    </row>
    <row r="2662" spans="1:12" ht="14.4" customHeight="1" x14ac:dyDescent="0.3">
      <c r="A2662"/>
      <c r="L2662"/>
    </row>
    <row r="2663" spans="1:12" ht="14.4" customHeight="1" x14ac:dyDescent="0.3">
      <c r="A2663"/>
      <c r="L2663"/>
    </row>
    <row r="2664" spans="1:12" ht="14.4" customHeight="1" x14ac:dyDescent="0.3">
      <c r="A2664"/>
      <c r="L2664"/>
    </row>
    <row r="2665" spans="1:12" ht="14.4" customHeight="1" x14ac:dyDescent="0.3">
      <c r="A2665"/>
      <c r="L2665"/>
    </row>
    <row r="2666" spans="1:12" ht="14.4" customHeight="1" x14ac:dyDescent="0.3">
      <c r="A2666"/>
      <c r="L2666"/>
    </row>
    <row r="2667" spans="1:12" ht="14.4" customHeight="1" x14ac:dyDescent="0.3">
      <c r="A2667"/>
      <c r="L2667"/>
    </row>
    <row r="2668" spans="1:12" ht="14.4" customHeight="1" x14ac:dyDescent="0.3">
      <c r="A2668"/>
      <c r="L2668"/>
    </row>
    <row r="2669" spans="1:12" ht="14.4" customHeight="1" x14ac:dyDescent="0.3">
      <c r="A2669"/>
      <c r="L2669"/>
    </row>
    <row r="2670" spans="1:12" ht="14.4" customHeight="1" x14ac:dyDescent="0.3">
      <c r="A2670"/>
      <c r="L2670"/>
    </row>
    <row r="2671" spans="1:12" ht="14.4" customHeight="1" x14ac:dyDescent="0.3">
      <c r="A2671"/>
      <c r="L2671"/>
    </row>
    <row r="2672" spans="1:12" ht="14.4" customHeight="1" x14ac:dyDescent="0.3">
      <c r="A2672"/>
      <c r="L2672"/>
    </row>
    <row r="2673" spans="1:12" ht="14.4" customHeight="1" x14ac:dyDescent="0.3">
      <c r="A2673"/>
      <c r="L2673"/>
    </row>
    <row r="2674" spans="1:12" ht="14.4" customHeight="1" x14ac:dyDescent="0.3">
      <c r="A2674"/>
      <c r="L2674"/>
    </row>
    <row r="2675" spans="1:12" ht="14.4" customHeight="1" x14ac:dyDescent="0.3">
      <c r="A2675"/>
      <c r="L2675"/>
    </row>
    <row r="2676" spans="1:12" ht="14.4" customHeight="1" x14ac:dyDescent="0.3">
      <c r="A2676"/>
      <c r="L2676"/>
    </row>
    <row r="2677" spans="1:12" ht="14.4" customHeight="1" x14ac:dyDescent="0.3">
      <c r="A2677"/>
      <c r="L2677"/>
    </row>
    <row r="2678" spans="1:12" ht="14.4" customHeight="1" x14ac:dyDescent="0.3">
      <c r="A2678"/>
      <c r="L2678"/>
    </row>
    <row r="2679" spans="1:12" ht="14.4" customHeight="1" x14ac:dyDescent="0.3">
      <c r="A2679"/>
      <c r="L2679"/>
    </row>
    <row r="2680" spans="1:12" ht="14.4" customHeight="1" x14ac:dyDescent="0.3">
      <c r="A2680"/>
      <c r="L2680"/>
    </row>
    <row r="2681" spans="1:12" ht="14.4" customHeight="1" x14ac:dyDescent="0.3">
      <c r="A2681"/>
      <c r="L2681"/>
    </row>
    <row r="2682" spans="1:12" ht="14.4" customHeight="1" x14ac:dyDescent="0.3">
      <c r="A2682"/>
      <c r="L2682"/>
    </row>
    <row r="2683" spans="1:12" ht="14.4" customHeight="1" x14ac:dyDescent="0.3">
      <c r="A2683"/>
      <c r="L2683"/>
    </row>
    <row r="2684" spans="1:12" ht="14.4" customHeight="1" x14ac:dyDescent="0.3">
      <c r="A2684"/>
      <c r="L2684"/>
    </row>
    <row r="2685" spans="1:12" ht="14.4" customHeight="1" x14ac:dyDescent="0.3">
      <c r="A2685"/>
      <c r="L2685"/>
    </row>
    <row r="2686" spans="1:12" ht="14.4" customHeight="1" x14ac:dyDescent="0.3">
      <c r="A2686"/>
      <c r="L2686"/>
    </row>
    <row r="2687" spans="1:12" ht="14.4" customHeight="1" x14ac:dyDescent="0.3">
      <c r="A2687"/>
      <c r="L2687"/>
    </row>
    <row r="2688" spans="1:12" ht="14.4" customHeight="1" x14ac:dyDescent="0.3">
      <c r="A2688"/>
      <c r="L2688"/>
    </row>
    <row r="2689" spans="1:12" ht="14.4" customHeight="1" x14ac:dyDescent="0.3">
      <c r="A2689"/>
      <c r="L2689"/>
    </row>
    <row r="2690" spans="1:12" ht="14.4" customHeight="1" x14ac:dyDescent="0.3">
      <c r="A2690"/>
      <c r="L2690"/>
    </row>
    <row r="2691" spans="1:12" ht="14.4" customHeight="1" x14ac:dyDescent="0.3">
      <c r="A2691"/>
      <c r="L2691"/>
    </row>
    <row r="2692" spans="1:12" ht="14.4" customHeight="1" x14ac:dyDescent="0.3">
      <c r="A2692"/>
      <c r="L2692"/>
    </row>
    <row r="2693" spans="1:12" ht="14.4" customHeight="1" x14ac:dyDescent="0.3">
      <c r="A2693"/>
      <c r="L2693"/>
    </row>
    <row r="2694" spans="1:12" ht="14.4" customHeight="1" x14ac:dyDescent="0.3">
      <c r="A2694"/>
      <c r="L2694"/>
    </row>
    <row r="2695" spans="1:12" ht="14.4" customHeight="1" x14ac:dyDescent="0.3">
      <c r="A2695"/>
      <c r="L2695"/>
    </row>
    <row r="2696" spans="1:12" ht="14.4" customHeight="1" x14ac:dyDescent="0.3">
      <c r="A2696"/>
      <c r="L2696"/>
    </row>
    <row r="2697" spans="1:12" ht="14.4" customHeight="1" x14ac:dyDescent="0.3">
      <c r="A2697"/>
      <c r="L2697"/>
    </row>
    <row r="2698" spans="1:12" ht="14.4" customHeight="1" x14ac:dyDescent="0.3">
      <c r="A2698"/>
      <c r="L2698"/>
    </row>
    <row r="2699" spans="1:12" ht="14.4" customHeight="1" x14ac:dyDescent="0.3">
      <c r="A2699"/>
      <c r="L2699"/>
    </row>
    <row r="2700" spans="1:12" ht="14.4" customHeight="1" x14ac:dyDescent="0.3">
      <c r="A2700"/>
      <c r="L2700"/>
    </row>
    <row r="2701" spans="1:12" ht="14.4" customHeight="1" x14ac:dyDescent="0.3">
      <c r="A2701"/>
      <c r="L2701"/>
    </row>
    <row r="2702" spans="1:12" ht="14.4" customHeight="1" x14ac:dyDescent="0.3">
      <c r="A2702"/>
      <c r="L2702"/>
    </row>
    <row r="2703" spans="1:12" ht="14.4" customHeight="1" x14ac:dyDescent="0.3">
      <c r="A2703"/>
      <c r="L2703"/>
    </row>
    <row r="2704" spans="1:12" ht="14.4" customHeight="1" x14ac:dyDescent="0.3">
      <c r="A2704"/>
      <c r="L2704"/>
    </row>
    <row r="2705" spans="1:12" ht="14.4" customHeight="1" x14ac:dyDescent="0.3">
      <c r="A2705"/>
      <c r="L2705"/>
    </row>
    <row r="2706" spans="1:12" ht="14.4" customHeight="1" x14ac:dyDescent="0.3">
      <c r="A2706"/>
      <c r="L2706"/>
    </row>
    <row r="2707" spans="1:12" ht="14.4" customHeight="1" x14ac:dyDescent="0.3">
      <c r="A2707"/>
      <c r="L2707"/>
    </row>
    <row r="2708" spans="1:12" ht="14.4" customHeight="1" x14ac:dyDescent="0.3">
      <c r="A2708"/>
      <c r="L2708"/>
    </row>
    <row r="2709" spans="1:12" ht="14.4" customHeight="1" x14ac:dyDescent="0.3">
      <c r="A2709"/>
      <c r="L2709"/>
    </row>
    <row r="2710" spans="1:12" ht="14.4" customHeight="1" x14ac:dyDescent="0.3">
      <c r="A2710"/>
      <c r="L2710"/>
    </row>
    <row r="2711" spans="1:12" ht="14.4" customHeight="1" x14ac:dyDescent="0.3">
      <c r="A2711"/>
      <c r="L2711"/>
    </row>
    <row r="2712" spans="1:12" ht="14.4" customHeight="1" x14ac:dyDescent="0.3">
      <c r="A2712"/>
      <c r="L2712"/>
    </row>
    <row r="2713" spans="1:12" ht="14.4" customHeight="1" x14ac:dyDescent="0.3">
      <c r="A2713"/>
      <c r="L2713"/>
    </row>
    <row r="2714" spans="1:12" ht="14.4" customHeight="1" x14ac:dyDescent="0.3">
      <c r="A2714"/>
      <c r="L2714"/>
    </row>
    <row r="2715" spans="1:12" ht="14.4" customHeight="1" x14ac:dyDescent="0.3">
      <c r="A2715"/>
      <c r="L2715"/>
    </row>
    <row r="2716" spans="1:12" ht="14.4" customHeight="1" x14ac:dyDescent="0.3">
      <c r="A2716"/>
      <c r="L2716"/>
    </row>
    <row r="2717" spans="1:12" ht="14.4" customHeight="1" x14ac:dyDescent="0.3">
      <c r="A2717"/>
      <c r="L2717"/>
    </row>
    <row r="2718" spans="1:12" ht="14.4" customHeight="1" x14ac:dyDescent="0.3">
      <c r="A2718"/>
      <c r="L2718"/>
    </row>
    <row r="2719" spans="1:12" ht="14.4" customHeight="1" x14ac:dyDescent="0.3">
      <c r="A2719"/>
      <c r="L2719"/>
    </row>
    <row r="2720" spans="1:12" ht="14.4" customHeight="1" x14ac:dyDescent="0.3">
      <c r="A2720"/>
      <c r="L2720"/>
    </row>
    <row r="2721" spans="1:12" ht="14.4" customHeight="1" x14ac:dyDescent="0.3">
      <c r="A2721"/>
      <c r="L2721"/>
    </row>
    <row r="2722" spans="1:12" ht="14.4" customHeight="1" x14ac:dyDescent="0.3">
      <c r="A2722"/>
      <c r="L2722"/>
    </row>
    <row r="2723" spans="1:12" ht="14.4" customHeight="1" x14ac:dyDescent="0.3">
      <c r="A2723"/>
      <c r="L2723"/>
    </row>
    <row r="2724" spans="1:12" ht="14.4" customHeight="1" x14ac:dyDescent="0.3">
      <c r="A2724"/>
      <c r="L2724"/>
    </row>
    <row r="2725" spans="1:12" ht="14.4" customHeight="1" x14ac:dyDescent="0.3">
      <c r="A2725"/>
      <c r="L2725"/>
    </row>
    <row r="2726" spans="1:12" ht="14.4" customHeight="1" x14ac:dyDescent="0.3">
      <c r="A2726"/>
      <c r="L2726"/>
    </row>
    <row r="2727" spans="1:12" ht="14.4" customHeight="1" x14ac:dyDescent="0.3">
      <c r="A2727"/>
      <c r="L2727"/>
    </row>
    <row r="2728" spans="1:12" ht="14.4" customHeight="1" x14ac:dyDescent="0.3">
      <c r="A2728"/>
      <c r="L2728"/>
    </row>
    <row r="2729" spans="1:12" ht="14.4" customHeight="1" x14ac:dyDescent="0.3">
      <c r="A2729"/>
      <c r="L2729"/>
    </row>
    <row r="2730" spans="1:12" ht="14.4" customHeight="1" x14ac:dyDescent="0.3">
      <c r="A2730"/>
      <c r="L2730"/>
    </row>
    <row r="2731" spans="1:12" ht="14.4" customHeight="1" x14ac:dyDescent="0.3">
      <c r="A2731"/>
      <c r="L2731"/>
    </row>
    <row r="2732" spans="1:12" ht="14.4" customHeight="1" x14ac:dyDescent="0.3">
      <c r="A2732"/>
      <c r="L2732"/>
    </row>
    <row r="2733" spans="1:12" ht="14.4" customHeight="1" x14ac:dyDescent="0.3">
      <c r="A2733"/>
      <c r="L2733"/>
    </row>
    <row r="2734" spans="1:12" ht="14.4" customHeight="1" x14ac:dyDescent="0.3">
      <c r="A2734"/>
      <c r="L2734"/>
    </row>
    <row r="2735" spans="1:12" ht="14.4" customHeight="1" x14ac:dyDescent="0.3">
      <c r="A2735"/>
      <c r="L2735"/>
    </row>
    <row r="2736" spans="1:12" ht="14.4" customHeight="1" x14ac:dyDescent="0.3">
      <c r="A2736"/>
      <c r="L2736"/>
    </row>
    <row r="2737" spans="1:12" ht="14.4" customHeight="1" x14ac:dyDescent="0.3">
      <c r="A2737"/>
      <c r="L2737"/>
    </row>
    <row r="2738" spans="1:12" ht="14.4" customHeight="1" x14ac:dyDescent="0.3">
      <c r="A2738"/>
      <c r="L2738"/>
    </row>
    <row r="2739" spans="1:12" ht="14.4" customHeight="1" x14ac:dyDescent="0.3">
      <c r="A2739"/>
      <c r="L2739"/>
    </row>
    <row r="2740" spans="1:12" ht="14.4" customHeight="1" x14ac:dyDescent="0.3">
      <c r="A2740"/>
      <c r="L2740"/>
    </row>
    <row r="2741" spans="1:12" ht="14.4" customHeight="1" x14ac:dyDescent="0.3">
      <c r="A2741"/>
      <c r="L2741"/>
    </row>
    <row r="2742" spans="1:12" ht="14.4" customHeight="1" x14ac:dyDescent="0.3">
      <c r="A2742"/>
      <c r="L2742"/>
    </row>
    <row r="2743" spans="1:12" ht="14.4" customHeight="1" x14ac:dyDescent="0.3">
      <c r="A2743"/>
      <c r="L2743"/>
    </row>
    <row r="2744" spans="1:12" ht="14.4" customHeight="1" x14ac:dyDescent="0.3">
      <c r="A2744"/>
      <c r="L2744"/>
    </row>
    <row r="2745" spans="1:12" ht="14.4" customHeight="1" x14ac:dyDescent="0.3">
      <c r="A2745"/>
      <c r="L2745"/>
    </row>
    <row r="2746" spans="1:12" ht="14.4" customHeight="1" x14ac:dyDescent="0.3">
      <c r="A2746"/>
      <c r="L2746"/>
    </row>
    <row r="2747" spans="1:12" ht="14.4" customHeight="1" x14ac:dyDescent="0.3">
      <c r="A2747"/>
      <c r="L2747"/>
    </row>
    <row r="2748" spans="1:12" ht="14.4" customHeight="1" x14ac:dyDescent="0.3">
      <c r="A2748"/>
      <c r="L2748"/>
    </row>
    <row r="2749" spans="1:12" ht="14.4" customHeight="1" x14ac:dyDescent="0.3">
      <c r="A2749"/>
      <c r="L2749"/>
    </row>
    <row r="2750" spans="1:12" ht="14.4" customHeight="1" x14ac:dyDescent="0.3">
      <c r="A2750"/>
      <c r="L2750"/>
    </row>
    <row r="2751" spans="1:12" ht="14.4" customHeight="1" x14ac:dyDescent="0.3">
      <c r="A2751"/>
      <c r="L2751"/>
    </row>
    <row r="2752" spans="1:12" ht="14.4" customHeight="1" x14ac:dyDescent="0.3">
      <c r="A2752"/>
      <c r="L2752"/>
    </row>
    <row r="2753" spans="1:12" ht="14.4" customHeight="1" x14ac:dyDescent="0.3">
      <c r="A2753"/>
      <c r="L2753"/>
    </row>
    <row r="2754" spans="1:12" ht="14.4" customHeight="1" x14ac:dyDescent="0.3">
      <c r="A2754"/>
      <c r="L2754"/>
    </row>
    <row r="2755" spans="1:12" ht="14.4" customHeight="1" x14ac:dyDescent="0.3">
      <c r="A2755"/>
      <c r="L2755"/>
    </row>
    <row r="2756" spans="1:12" ht="14.4" customHeight="1" x14ac:dyDescent="0.3">
      <c r="A2756"/>
      <c r="L2756"/>
    </row>
    <row r="2757" spans="1:12" ht="14.4" customHeight="1" x14ac:dyDescent="0.3">
      <c r="A2757"/>
      <c r="L2757"/>
    </row>
    <row r="2758" spans="1:12" ht="14.4" customHeight="1" x14ac:dyDescent="0.3">
      <c r="A2758"/>
      <c r="L2758"/>
    </row>
    <row r="2759" spans="1:12" ht="14.4" customHeight="1" x14ac:dyDescent="0.3">
      <c r="A2759"/>
      <c r="L2759"/>
    </row>
    <row r="2760" spans="1:12" ht="14.4" customHeight="1" x14ac:dyDescent="0.3">
      <c r="A2760"/>
      <c r="L2760"/>
    </row>
    <row r="2761" spans="1:12" ht="14.4" customHeight="1" x14ac:dyDescent="0.3">
      <c r="A2761"/>
      <c r="L2761"/>
    </row>
    <row r="2762" spans="1:12" ht="14.4" customHeight="1" x14ac:dyDescent="0.3">
      <c r="A2762"/>
      <c r="L2762"/>
    </row>
    <row r="2763" spans="1:12" ht="14.4" customHeight="1" x14ac:dyDescent="0.3">
      <c r="A2763"/>
      <c r="L2763"/>
    </row>
    <row r="2764" spans="1:12" ht="14.4" customHeight="1" x14ac:dyDescent="0.3">
      <c r="A2764"/>
      <c r="L2764"/>
    </row>
    <row r="2765" spans="1:12" ht="14.4" customHeight="1" x14ac:dyDescent="0.3">
      <c r="A2765"/>
      <c r="L2765"/>
    </row>
    <row r="2766" spans="1:12" ht="14.4" customHeight="1" x14ac:dyDescent="0.3">
      <c r="A2766"/>
      <c r="L2766"/>
    </row>
    <row r="2767" spans="1:12" ht="14.4" customHeight="1" x14ac:dyDescent="0.3">
      <c r="A2767"/>
      <c r="L2767"/>
    </row>
    <row r="2768" spans="1:12" ht="14.4" customHeight="1" x14ac:dyDescent="0.3">
      <c r="A2768"/>
      <c r="L2768"/>
    </row>
    <row r="2769" spans="1:12" ht="14.4" customHeight="1" x14ac:dyDescent="0.3">
      <c r="A2769"/>
      <c r="L2769"/>
    </row>
    <row r="2770" spans="1:12" ht="14.4" customHeight="1" x14ac:dyDescent="0.3">
      <c r="A2770"/>
      <c r="L2770"/>
    </row>
    <row r="2771" spans="1:12" ht="14.4" customHeight="1" x14ac:dyDescent="0.3">
      <c r="A2771"/>
      <c r="L2771"/>
    </row>
    <row r="2772" spans="1:12" ht="14.4" customHeight="1" x14ac:dyDescent="0.3">
      <c r="A2772"/>
      <c r="L2772"/>
    </row>
    <row r="2773" spans="1:12" ht="14.4" customHeight="1" x14ac:dyDescent="0.3">
      <c r="A2773"/>
      <c r="L2773"/>
    </row>
    <row r="2774" spans="1:12" ht="14.4" customHeight="1" x14ac:dyDescent="0.3">
      <c r="A2774"/>
      <c r="L2774"/>
    </row>
    <row r="2775" spans="1:12" ht="14.4" customHeight="1" x14ac:dyDescent="0.3">
      <c r="A2775"/>
      <c r="L2775"/>
    </row>
    <row r="2776" spans="1:12" ht="14.4" customHeight="1" x14ac:dyDescent="0.3">
      <c r="A2776"/>
      <c r="L2776"/>
    </row>
    <row r="2777" spans="1:12" ht="14.4" customHeight="1" x14ac:dyDescent="0.3">
      <c r="A2777"/>
      <c r="L2777"/>
    </row>
    <row r="2778" spans="1:12" ht="14.4" customHeight="1" x14ac:dyDescent="0.3">
      <c r="A2778"/>
      <c r="L2778"/>
    </row>
    <row r="2779" spans="1:12" ht="14.4" customHeight="1" x14ac:dyDescent="0.3">
      <c r="A2779"/>
      <c r="L2779"/>
    </row>
    <row r="2780" spans="1:12" ht="14.4" customHeight="1" x14ac:dyDescent="0.3">
      <c r="A2780"/>
      <c r="L2780"/>
    </row>
    <row r="2781" spans="1:12" ht="14.4" customHeight="1" x14ac:dyDescent="0.3">
      <c r="A2781"/>
      <c r="L2781"/>
    </row>
    <row r="2782" spans="1:12" ht="14.4" customHeight="1" x14ac:dyDescent="0.3">
      <c r="A2782"/>
      <c r="L2782"/>
    </row>
    <row r="2783" spans="1:12" ht="14.4" customHeight="1" x14ac:dyDescent="0.3">
      <c r="A2783"/>
      <c r="L2783"/>
    </row>
    <row r="2784" spans="1:12" ht="14.4" customHeight="1" x14ac:dyDescent="0.3">
      <c r="A2784"/>
      <c r="L2784"/>
    </row>
    <row r="2785" spans="1:12" ht="14.4" customHeight="1" x14ac:dyDescent="0.3">
      <c r="A2785"/>
      <c r="L2785"/>
    </row>
    <row r="2786" spans="1:12" ht="14.4" customHeight="1" x14ac:dyDescent="0.3">
      <c r="A2786"/>
      <c r="L2786"/>
    </row>
    <row r="2787" spans="1:12" ht="14.4" customHeight="1" x14ac:dyDescent="0.3">
      <c r="A2787"/>
      <c r="L2787"/>
    </row>
    <row r="2788" spans="1:12" ht="14.4" customHeight="1" x14ac:dyDescent="0.3">
      <c r="A2788"/>
      <c r="L2788"/>
    </row>
    <row r="2789" spans="1:12" ht="14.4" customHeight="1" x14ac:dyDescent="0.3">
      <c r="A2789"/>
      <c r="L2789"/>
    </row>
    <row r="2790" spans="1:12" ht="14.4" customHeight="1" x14ac:dyDescent="0.3">
      <c r="A2790"/>
      <c r="L2790"/>
    </row>
    <row r="2791" spans="1:12" ht="14.4" customHeight="1" x14ac:dyDescent="0.3">
      <c r="A2791"/>
      <c r="L2791"/>
    </row>
    <row r="2792" spans="1:12" ht="14.4" customHeight="1" x14ac:dyDescent="0.3">
      <c r="A2792"/>
      <c r="L2792"/>
    </row>
    <row r="2793" spans="1:12" ht="14.4" customHeight="1" x14ac:dyDescent="0.3">
      <c r="A2793"/>
      <c r="L2793"/>
    </row>
    <row r="2794" spans="1:12" ht="14.4" customHeight="1" x14ac:dyDescent="0.3">
      <c r="A2794"/>
      <c r="L2794"/>
    </row>
    <row r="2795" spans="1:12" ht="14.4" customHeight="1" x14ac:dyDescent="0.3">
      <c r="A2795"/>
      <c r="L2795"/>
    </row>
    <row r="2796" spans="1:12" ht="14.4" customHeight="1" x14ac:dyDescent="0.3">
      <c r="A2796"/>
      <c r="L2796"/>
    </row>
    <row r="2797" spans="1:12" ht="14.4" customHeight="1" x14ac:dyDescent="0.3">
      <c r="A2797"/>
      <c r="L2797"/>
    </row>
    <row r="2798" spans="1:12" ht="14.4" customHeight="1" x14ac:dyDescent="0.3">
      <c r="A2798"/>
      <c r="L2798"/>
    </row>
    <row r="2799" spans="1:12" ht="14.4" customHeight="1" x14ac:dyDescent="0.3">
      <c r="A2799"/>
      <c r="L2799"/>
    </row>
    <row r="2800" spans="1:12" ht="14.4" customHeight="1" x14ac:dyDescent="0.3">
      <c r="A2800"/>
      <c r="L2800"/>
    </row>
    <row r="2801" spans="1:12" ht="14.4" customHeight="1" x14ac:dyDescent="0.3">
      <c r="A2801"/>
      <c r="L2801"/>
    </row>
    <row r="2802" spans="1:12" ht="14.4" customHeight="1" x14ac:dyDescent="0.3">
      <c r="A2802"/>
      <c r="L2802"/>
    </row>
    <row r="2803" spans="1:12" ht="14.4" customHeight="1" x14ac:dyDescent="0.3">
      <c r="A2803"/>
      <c r="L2803"/>
    </row>
    <row r="2804" spans="1:12" ht="14.4" customHeight="1" x14ac:dyDescent="0.3">
      <c r="A2804"/>
      <c r="L2804"/>
    </row>
    <row r="2805" spans="1:12" ht="14.4" customHeight="1" x14ac:dyDescent="0.3">
      <c r="A2805"/>
      <c r="L2805"/>
    </row>
    <row r="2806" spans="1:12" ht="14.4" customHeight="1" x14ac:dyDescent="0.3">
      <c r="A2806"/>
      <c r="L2806"/>
    </row>
    <row r="2807" spans="1:12" ht="14.4" customHeight="1" x14ac:dyDescent="0.3">
      <c r="A2807"/>
      <c r="L2807"/>
    </row>
    <row r="2808" spans="1:12" ht="14.4" customHeight="1" x14ac:dyDescent="0.3">
      <c r="A2808"/>
      <c r="L2808"/>
    </row>
    <row r="2809" spans="1:12" ht="14.4" customHeight="1" x14ac:dyDescent="0.3">
      <c r="A2809"/>
      <c r="L2809"/>
    </row>
    <row r="2810" spans="1:12" ht="14.4" customHeight="1" x14ac:dyDescent="0.3">
      <c r="A2810"/>
      <c r="L2810"/>
    </row>
    <row r="2811" spans="1:12" ht="14.4" customHeight="1" x14ac:dyDescent="0.3">
      <c r="A2811"/>
      <c r="L2811"/>
    </row>
    <row r="2812" spans="1:12" ht="14.4" customHeight="1" x14ac:dyDescent="0.3">
      <c r="A2812"/>
      <c r="L2812"/>
    </row>
    <row r="2813" spans="1:12" ht="14.4" customHeight="1" x14ac:dyDescent="0.3">
      <c r="A2813"/>
      <c r="L2813"/>
    </row>
    <row r="2814" spans="1:12" ht="14.4" customHeight="1" x14ac:dyDescent="0.3">
      <c r="A2814"/>
      <c r="L2814"/>
    </row>
    <row r="2815" spans="1:12" ht="14.4" customHeight="1" x14ac:dyDescent="0.3">
      <c r="A2815"/>
      <c r="L2815"/>
    </row>
    <row r="2816" spans="1:12" ht="14.4" customHeight="1" x14ac:dyDescent="0.3">
      <c r="A2816"/>
      <c r="L2816"/>
    </row>
    <row r="2817" spans="1:12" ht="14.4" customHeight="1" x14ac:dyDescent="0.3">
      <c r="A2817"/>
      <c r="L2817"/>
    </row>
    <row r="2818" spans="1:12" ht="14.4" customHeight="1" x14ac:dyDescent="0.3">
      <c r="A2818"/>
      <c r="L2818"/>
    </row>
    <row r="2819" spans="1:12" ht="14.4" customHeight="1" x14ac:dyDescent="0.3">
      <c r="A2819"/>
      <c r="L2819"/>
    </row>
    <row r="2820" spans="1:12" ht="14.4" customHeight="1" x14ac:dyDescent="0.3">
      <c r="A2820"/>
      <c r="L2820"/>
    </row>
    <row r="2821" spans="1:12" ht="14.4" customHeight="1" x14ac:dyDescent="0.3">
      <c r="A2821"/>
      <c r="L2821"/>
    </row>
    <row r="2822" spans="1:12" ht="14.4" customHeight="1" x14ac:dyDescent="0.3">
      <c r="A2822"/>
      <c r="L2822"/>
    </row>
    <row r="2823" spans="1:12" ht="14.4" customHeight="1" x14ac:dyDescent="0.3">
      <c r="A2823"/>
      <c r="L2823"/>
    </row>
    <row r="2824" spans="1:12" ht="14.4" customHeight="1" x14ac:dyDescent="0.3">
      <c r="A2824"/>
      <c r="L2824"/>
    </row>
    <row r="2825" spans="1:12" ht="14.4" customHeight="1" x14ac:dyDescent="0.3">
      <c r="A2825"/>
      <c r="L2825"/>
    </row>
    <row r="2826" spans="1:12" ht="14.4" customHeight="1" x14ac:dyDescent="0.3">
      <c r="A2826"/>
      <c r="L2826"/>
    </row>
    <row r="2827" spans="1:12" ht="14.4" customHeight="1" x14ac:dyDescent="0.3">
      <c r="A2827"/>
      <c r="L2827"/>
    </row>
    <row r="2828" spans="1:12" ht="14.4" customHeight="1" x14ac:dyDescent="0.3">
      <c r="A2828"/>
      <c r="L2828"/>
    </row>
    <row r="2829" spans="1:12" ht="14.4" customHeight="1" x14ac:dyDescent="0.3">
      <c r="A2829"/>
      <c r="L2829"/>
    </row>
    <row r="2830" spans="1:12" ht="14.4" customHeight="1" x14ac:dyDescent="0.3">
      <c r="A2830"/>
      <c r="L2830"/>
    </row>
    <row r="2831" spans="1:12" ht="14.4" customHeight="1" x14ac:dyDescent="0.3">
      <c r="A2831"/>
      <c r="L2831"/>
    </row>
    <row r="2832" spans="1:12" ht="14.4" customHeight="1" x14ac:dyDescent="0.3">
      <c r="A2832"/>
      <c r="L2832"/>
    </row>
    <row r="2833" spans="1:12" ht="14.4" customHeight="1" x14ac:dyDescent="0.3">
      <c r="A2833"/>
      <c r="L2833"/>
    </row>
    <row r="2834" spans="1:12" ht="14.4" customHeight="1" x14ac:dyDescent="0.3">
      <c r="A2834"/>
      <c r="L2834"/>
    </row>
    <row r="2835" spans="1:12" ht="14.4" customHeight="1" x14ac:dyDescent="0.3">
      <c r="A2835"/>
      <c r="L2835"/>
    </row>
    <row r="2836" spans="1:12" ht="14.4" customHeight="1" x14ac:dyDescent="0.3">
      <c r="A2836"/>
      <c r="L2836"/>
    </row>
    <row r="2837" spans="1:12" ht="14.4" customHeight="1" x14ac:dyDescent="0.3">
      <c r="A2837"/>
      <c r="L2837"/>
    </row>
    <row r="2838" spans="1:12" ht="14.4" customHeight="1" x14ac:dyDescent="0.3">
      <c r="A2838"/>
      <c r="L2838"/>
    </row>
    <row r="2839" spans="1:12" ht="14.4" customHeight="1" x14ac:dyDescent="0.3">
      <c r="A2839"/>
      <c r="L2839"/>
    </row>
    <row r="2840" spans="1:12" ht="14.4" customHeight="1" x14ac:dyDescent="0.3">
      <c r="A2840"/>
      <c r="L2840"/>
    </row>
    <row r="2841" spans="1:12" ht="14.4" customHeight="1" x14ac:dyDescent="0.3">
      <c r="A2841"/>
      <c r="L2841"/>
    </row>
    <row r="2842" spans="1:12" ht="14.4" customHeight="1" x14ac:dyDescent="0.3">
      <c r="A2842"/>
      <c r="L2842"/>
    </row>
    <row r="2843" spans="1:12" ht="14.4" customHeight="1" x14ac:dyDescent="0.3">
      <c r="A2843"/>
      <c r="L2843"/>
    </row>
    <row r="2844" spans="1:12" ht="14.4" customHeight="1" x14ac:dyDescent="0.3">
      <c r="A2844"/>
      <c r="L2844"/>
    </row>
    <row r="2845" spans="1:12" ht="14.4" customHeight="1" x14ac:dyDescent="0.3">
      <c r="A2845"/>
      <c r="L2845"/>
    </row>
    <row r="2846" spans="1:12" ht="14.4" customHeight="1" x14ac:dyDescent="0.3">
      <c r="A2846"/>
      <c r="L2846"/>
    </row>
    <row r="2847" spans="1:12" ht="14.4" customHeight="1" x14ac:dyDescent="0.3">
      <c r="A2847"/>
      <c r="L2847"/>
    </row>
    <row r="2848" spans="1:12" ht="14.4" customHeight="1" x14ac:dyDescent="0.3">
      <c r="A2848"/>
      <c r="L2848"/>
    </row>
    <row r="2849" spans="1:12" ht="14.4" customHeight="1" x14ac:dyDescent="0.3">
      <c r="A2849"/>
      <c r="L2849"/>
    </row>
    <row r="2850" spans="1:12" ht="14.4" customHeight="1" x14ac:dyDescent="0.3">
      <c r="A2850"/>
      <c r="L2850"/>
    </row>
    <row r="2851" spans="1:12" ht="14.4" customHeight="1" x14ac:dyDescent="0.3">
      <c r="A2851"/>
      <c r="L2851"/>
    </row>
    <row r="2852" spans="1:12" ht="14.4" customHeight="1" x14ac:dyDescent="0.3">
      <c r="A2852"/>
      <c r="L2852"/>
    </row>
    <row r="2853" spans="1:12" ht="14.4" customHeight="1" x14ac:dyDescent="0.3">
      <c r="A2853"/>
      <c r="L2853"/>
    </row>
    <row r="2854" spans="1:12" ht="14.4" customHeight="1" x14ac:dyDescent="0.3">
      <c r="A2854"/>
      <c r="L2854"/>
    </row>
    <row r="2855" spans="1:12" ht="14.4" customHeight="1" x14ac:dyDescent="0.3">
      <c r="A2855"/>
      <c r="L2855"/>
    </row>
    <row r="2856" spans="1:12" ht="14.4" customHeight="1" x14ac:dyDescent="0.3">
      <c r="A2856"/>
      <c r="L2856"/>
    </row>
    <row r="2857" spans="1:12" ht="14.4" customHeight="1" x14ac:dyDescent="0.3">
      <c r="A2857"/>
      <c r="L2857"/>
    </row>
    <row r="2858" spans="1:12" ht="14.4" customHeight="1" x14ac:dyDescent="0.3">
      <c r="A2858"/>
      <c r="L2858"/>
    </row>
    <row r="2859" spans="1:12" ht="14.4" customHeight="1" x14ac:dyDescent="0.3">
      <c r="A2859"/>
      <c r="L2859"/>
    </row>
    <row r="2860" spans="1:12" ht="14.4" customHeight="1" x14ac:dyDescent="0.3">
      <c r="A2860"/>
      <c r="L2860"/>
    </row>
    <row r="2861" spans="1:12" ht="14.4" customHeight="1" x14ac:dyDescent="0.3">
      <c r="A2861"/>
      <c r="L2861"/>
    </row>
    <row r="2862" spans="1:12" ht="14.4" customHeight="1" x14ac:dyDescent="0.3">
      <c r="A2862"/>
      <c r="L2862"/>
    </row>
    <row r="2863" spans="1:12" ht="14.4" customHeight="1" x14ac:dyDescent="0.3">
      <c r="A2863"/>
      <c r="L2863"/>
    </row>
    <row r="2864" spans="1:12" ht="14.4" customHeight="1" x14ac:dyDescent="0.3">
      <c r="A2864"/>
      <c r="L2864"/>
    </row>
    <row r="2865" spans="1:12" ht="14.4" customHeight="1" x14ac:dyDescent="0.3">
      <c r="A2865"/>
      <c r="L2865"/>
    </row>
    <row r="2866" spans="1:12" ht="14.4" customHeight="1" x14ac:dyDescent="0.3">
      <c r="A2866"/>
      <c r="L2866"/>
    </row>
    <row r="2867" spans="1:12" ht="14.4" customHeight="1" x14ac:dyDescent="0.3">
      <c r="A2867"/>
      <c r="L2867"/>
    </row>
    <row r="2868" spans="1:12" ht="14.4" customHeight="1" x14ac:dyDescent="0.3">
      <c r="A2868"/>
      <c r="L2868"/>
    </row>
    <row r="2869" spans="1:12" ht="14.4" customHeight="1" x14ac:dyDescent="0.3">
      <c r="A2869"/>
      <c r="L2869"/>
    </row>
    <row r="2870" spans="1:12" ht="14.4" customHeight="1" x14ac:dyDescent="0.3">
      <c r="A2870"/>
      <c r="L2870"/>
    </row>
    <row r="2871" spans="1:12" ht="14.4" customHeight="1" x14ac:dyDescent="0.3">
      <c r="A2871"/>
      <c r="L2871"/>
    </row>
    <row r="2872" spans="1:12" ht="14.4" customHeight="1" x14ac:dyDescent="0.3">
      <c r="A2872"/>
      <c r="L2872"/>
    </row>
    <row r="2873" spans="1:12" ht="14.4" customHeight="1" x14ac:dyDescent="0.3">
      <c r="A2873"/>
      <c r="L2873"/>
    </row>
    <row r="2874" spans="1:12" ht="14.4" customHeight="1" x14ac:dyDescent="0.3">
      <c r="A2874"/>
      <c r="L2874"/>
    </row>
    <row r="2875" spans="1:12" ht="14.4" customHeight="1" x14ac:dyDescent="0.3">
      <c r="A2875"/>
      <c r="L2875"/>
    </row>
    <row r="2876" spans="1:12" ht="14.4" customHeight="1" x14ac:dyDescent="0.3">
      <c r="A2876"/>
      <c r="L2876"/>
    </row>
    <row r="2877" spans="1:12" ht="14.4" customHeight="1" x14ac:dyDescent="0.3">
      <c r="A2877"/>
      <c r="L2877"/>
    </row>
    <row r="2878" spans="1:12" ht="14.4" customHeight="1" x14ac:dyDescent="0.3">
      <c r="A2878"/>
      <c r="L2878"/>
    </row>
    <row r="2879" spans="1:12" ht="14.4" customHeight="1" x14ac:dyDescent="0.3">
      <c r="A2879"/>
      <c r="L2879"/>
    </row>
    <row r="2880" spans="1:12" ht="14.4" customHeight="1" x14ac:dyDescent="0.3">
      <c r="A2880"/>
      <c r="L2880"/>
    </row>
    <row r="2881" spans="1:12" ht="14.4" customHeight="1" x14ac:dyDescent="0.3">
      <c r="A2881"/>
      <c r="L2881"/>
    </row>
    <row r="2882" spans="1:12" ht="14.4" customHeight="1" x14ac:dyDescent="0.3">
      <c r="A2882"/>
      <c r="L2882"/>
    </row>
    <row r="2883" spans="1:12" ht="14.4" customHeight="1" x14ac:dyDescent="0.3">
      <c r="A2883"/>
      <c r="L2883"/>
    </row>
    <row r="2884" spans="1:12" ht="14.4" customHeight="1" x14ac:dyDescent="0.3">
      <c r="A2884"/>
      <c r="L2884"/>
    </row>
    <row r="2885" spans="1:12" ht="14.4" customHeight="1" x14ac:dyDescent="0.3">
      <c r="A2885"/>
      <c r="L2885"/>
    </row>
    <row r="2886" spans="1:12" ht="14.4" customHeight="1" x14ac:dyDescent="0.3">
      <c r="A2886"/>
      <c r="L2886"/>
    </row>
    <row r="2887" spans="1:12" ht="14.4" customHeight="1" x14ac:dyDescent="0.3">
      <c r="A2887"/>
      <c r="L2887"/>
    </row>
    <row r="2888" spans="1:12" ht="14.4" customHeight="1" x14ac:dyDescent="0.3">
      <c r="A2888"/>
      <c r="L2888"/>
    </row>
    <row r="2889" spans="1:12" ht="14.4" customHeight="1" x14ac:dyDescent="0.3">
      <c r="A2889"/>
      <c r="L2889"/>
    </row>
    <row r="2890" spans="1:12" ht="14.4" customHeight="1" x14ac:dyDescent="0.3">
      <c r="A2890"/>
      <c r="L2890"/>
    </row>
    <row r="2891" spans="1:12" ht="14.4" customHeight="1" x14ac:dyDescent="0.3">
      <c r="A2891"/>
      <c r="L2891"/>
    </row>
    <row r="2892" spans="1:12" ht="14.4" customHeight="1" x14ac:dyDescent="0.3">
      <c r="A2892"/>
      <c r="L2892"/>
    </row>
    <row r="2893" spans="1:12" ht="14.4" customHeight="1" x14ac:dyDescent="0.3">
      <c r="A2893"/>
      <c r="L2893"/>
    </row>
    <row r="2894" spans="1:12" ht="14.4" customHeight="1" x14ac:dyDescent="0.3">
      <c r="A2894"/>
      <c r="L2894"/>
    </row>
    <row r="2895" spans="1:12" ht="14.4" customHeight="1" x14ac:dyDescent="0.3">
      <c r="A2895"/>
      <c r="L2895"/>
    </row>
    <row r="2896" spans="1:12" ht="14.4" customHeight="1" x14ac:dyDescent="0.3">
      <c r="A2896"/>
      <c r="L2896"/>
    </row>
    <row r="2897" spans="1:12" ht="14.4" customHeight="1" x14ac:dyDescent="0.3">
      <c r="A2897"/>
      <c r="L2897"/>
    </row>
    <row r="2898" spans="1:12" ht="14.4" customHeight="1" x14ac:dyDescent="0.3">
      <c r="A2898"/>
      <c r="L2898"/>
    </row>
    <row r="2899" spans="1:12" ht="14.4" customHeight="1" x14ac:dyDescent="0.3">
      <c r="A2899"/>
      <c r="L2899"/>
    </row>
    <row r="2900" spans="1:12" ht="14.4" customHeight="1" x14ac:dyDescent="0.3">
      <c r="A2900"/>
      <c r="L2900"/>
    </row>
    <row r="2901" spans="1:12" ht="14.4" customHeight="1" x14ac:dyDescent="0.3">
      <c r="A2901"/>
      <c r="L2901"/>
    </row>
    <row r="2902" spans="1:12" ht="14.4" customHeight="1" x14ac:dyDescent="0.3">
      <c r="A2902"/>
      <c r="L2902"/>
    </row>
    <row r="2903" spans="1:12" ht="14.4" customHeight="1" x14ac:dyDescent="0.3">
      <c r="A2903"/>
      <c r="L2903"/>
    </row>
    <row r="2904" spans="1:12" ht="14.4" customHeight="1" x14ac:dyDescent="0.3">
      <c r="A2904"/>
      <c r="L2904"/>
    </row>
    <row r="2905" spans="1:12" ht="14.4" customHeight="1" x14ac:dyDescent="0.3">
      <c r="A2905"/>
      <c r="L2905"/>
    </row>
    <row r="2906" spans="1:12" ht="14.4" customHeight="1" x14ac:dyDescent="0.3">
      <c r="A2906"/>
      <c r="L2906"/>
    </row>
    <row r="2907" spans="1:12" ht="14.4" customHeight="1" x14ac:dyDescent="0.3">
      <c r="A2907"/>
      <c r="L2907"/>
    </row>
    <row r="2908" spans="1:12" ht="14.4" customHeight="1" x14ac:dyDescent="0.3">
      <c r="A2908"/>
      <c r="L2908"/>
    </row>
    <row r="2909" spans="1:12" ht="14.4" customHeight="1" x14ac:dyDescent="0.3">
      <c r="A2909"/>
      <c r="L2909"/>
    </row>
    <row r="2910" spans="1:12" ht="14.4" customHeight="1" x14ac:dyDescent="0.3">
      <c r="A2910"/>
      <c r="L2910"/>
    </row>
    <row r="2911" spans="1:12" ht="14.4" customHeight="1" x14ac:dyDescent="0.3">
      <c r="A2911"/>
      <c r="L2911"/>
    </row>
    <row r="2912" spans="1:12" ht="14.4" customHeight="1" x14ac:dyDescent="0.3">
      <c r="A2912"/>
      <c r="L2912"/>
    </row>
    <row r="2913" spans="1:12" ht="14.4" customHeight="1" x14ac:dyDescent="0.3">
      <c r="A2913"/>
      <c r="L2913"/>
    </row>
    <row r="2914" spans="1:12" ht="14.4" customHeight="1" x14ac:dyDescent="0.3">
      <c r="A2914"/>
      <c r="L2914"/>
    </row>
    <row r="2915" spans="1:12" ht="14.4" customHeight="1" x14ac:dyDescent="0.3">
      <c r="A2915"/>
      <c r="L2915"/>
    </row>
    <row r="2916" spans="1:12" ht="14.4" customHeight="1" x14ac:dyDescent="0.3">
      <c r="A2916"/>
      <c r="L2916"/>
    </row>
    <row r="2917" spans="1:12" ht="14.4" customHeight="1" x14ac:dyDescent="0.3">
      <c r="A2917"/>
      <c r="L2917"/>
    </row>
    <row r="2918" spans="1:12" ht="14.4" customHeight="1" x14ac:dyDescent="0.3">
      <c r="A2918"/>
      <c r="L2918"/>
    </row>
    <row r="2919" spans="1:12" ht="14.4" customHeight="1" x14ac:dyDescent="0.3">
      <c r="A2919"/>
      <c r="L2919"/>
    </row>
    <row r="2920" spans="1:12" ht="14.4" customHeight="1" x14ac:dyDescent="0.3">
      <c r="A2920"/>
      <c r="L2920"/>
    </row>
    <row r="2921" spans="1:12" ht="14.4" customHeight="1" x14ac:dyDescent="0.3">
      <c r="A2921"/>
      <c r="L2921"/>
    </row>
    <row r="2922" spans="1:12" ht="14.4" customHeight="1" x14ac:dyDescent="0.3">
      <c r="A2922"/>
      <c r="L2922"/>
    </row>
    <row r="2923" spans="1:12" ht="14.4" customHeight="1" x14ac:dyDescent="0.3">
      <c r="A2923"/>
      <c r="L2923"/>
    </row>
    <row r="2924" spans="1:12" ht="14.4" customHeight="1" x14ac:dyDescent="0.3">
      <c r="A2924"/>
      <c r="L2924"/>
    </row>
    <row r="2925" spans="1:12" ht="14.4" customHeight="1" x14ac:dyDescent="0.3">
      <c r="A2925"/>
      <c r="L2925"/>
    </row>
    <row r="2926" spans="1:12" ht="14.4" customHeight="1" x14ac:dyDescent="0.3">
      <c r="A2926"/>
      <c r="L2926"/>
    </row>
    <row r="2927" spans="1:12" ht="14.4" customHeight="1" x14ac:dyDescent="0.3">
      <c r="A2927"/>
      <c r="L2927"/>
    </row>
    <row r="2928" spans="1:12" ht="14.4" customHeight="1" x14ac:dyDescent="0.3">
      <c r="A2928"/>
      <c r="L2928"/>
    </row>
    <row r="2929" spans="1:12" ht="14.4" customHeight="1" x14ac:dyDescent="0.3">
      <c r="A2929"/>
      <c r="L2929"/>
    </row>
    <row r="2930" spans="1:12" ht="14.4" customHeight="1" x14ac:dyDescent="0.3">
      <c r="A2930"/>
      <c r="L2930"/>
    </row>
    <row r="2931" spans="1:12" ht="14.4" customHeight="1" x14ac:dyDescent="0.3">
      <c r="A2931"/>
      <c r="L2931"/>
    </row>
    <row r="2932" spans="1:12" ht="14.4" customHeight="1" x14ac:dyDescent="0.3">
      <c r="A2932"/>
      <c r="L2932"/>
    </row>
    <row r="2933" spans="1:12" ht="14.4" customHeight="1" x14ac:dyDescent="0.3">
      <c r="A2933"/>
      <c r="L2933"/>
    </row>
    <row r="2934" spans="1:12" ht="14.4" customHeight="1" x14ac:dyDescent="0.3">
      <c r="A2934"/>
      <c r="L2934"/>
    </row>
    <row r="2935" spans="1:12" ht="14.4" customHeight="1" x14ac:dyDescent="0.3">
      <c r="A2935"/>
      <c r="L2935"/>
    </row>
    <row r="2936" spans="1:12" ht="14.4" customHeight="1" x14ac:dyDescent="0.3">
      <c r="A2936"/>
      <c r="L2936"/>
    </row>
    <row r="2937" spans="1:12" ht="14.4" customHeight="1" x14ac:dyDescent="0.3">
      <c r="A2937"/>
      <c r="L2937"/>
    </row>
    <row r="2938" spans="1:12" ht="14.4" customHeight="1" x14ac:dyDescent="0.3">
      <c r="A2938"/>
      <c r="L2938"/>
    </row>
    <row r="2939" spans="1:12" ht="14.4" customHeight="1" x14ac:dyDescent="0.3">
      <c r="A2939"/>
      <c r="L2939"/>
    </row>
    <row r="2940" spans="1:12" ht="14.4" customHeight="1" x14ac:dyDescent="0.3">
      <c r="A2940"/>
      <c r="L2940"/>
    </row>
    <row r="2941" spans="1:12" ht="14.4" customHeight="1" x14ac:dyDescent="0.3">
      <c r="A2941"/>
      <c r="L2941"/>
    </row>
    <row r="2942" spans="1:12" ht="14.4" customHeight="1" x14ac:dyDescent="0.3">
      <c r="A2942"/>
      <c r="L2942"/>
    </row>
    <row r="2943" spans="1:12" ht="14.4" customHeight="1" x14ac:dyDescent="0.3">
      <c r="A2943"/>
      <c r="L2943"/>
    </row>
    <row r="2944" spans="1:12" ht="14.4" customHeight="1" x14ac:dyDescent="0.3">
      <c r="A2944"/>
      <c r="L2944"/>
    </row>
    <row r="2945" spans="1:12" ht="14.4" customHeight="1" x14ac:dyDescent="0.3">
      <c r="A2945"/>
      <c r="L2945"/>
    </row>
    <row r="2946" spans="1:12" ht="14.4" customHeight="1" x14ac:dyDescent="0.3">
      <c r="A2946"/>
      <c r="L2946"/>
    </row>
    <row r="2947" spans="1:12" ht="14.4" customHeight="1" x14ac:dyDescent="0.3">
      <c r="A2947"/>
      <c r="L2947"/>
    </row>
    <row r="2948" spans="1:12" ht="14.4" customHeight="1" x14ac:dyDescent="0.3">
      <c r="A2948"/>
      <c r="L2948"/>
    </row>
    <row r="2949" spans="1:12" ht="14.4" customHeight="1" x14ac:dyDescent="0.3">
      <c r="A2949"/>
      <c r="L2949"/>
    </row>
    <row r="2950" spans="1:12" ht="14.4" customHeight="1" x14ac:dyDescent="0.3">
      <c r="A2950"/>
      <c r="L2950"/>
    </row>
    <row r="2951" spans="1:12" ht="14.4" customHeight="1" x14ac:dyDescent="0.3">
      <c r="A2951"/>
      <c r="L2951"/>
    </row>
    <row r="2952" spans="1:12" ht="14.4" customHeight="1" x14ac:dyDescent="0.3">
      <c r="A2952"/>
      <c r="L2952"/>
    </row>
    <row r="2953" spans="1:12" ht="14.4" customHeight="1" x14ac:dyDescent="0.3">
      <c r="A2953"/>
      <c r="L2953"/>
    </row>
    <row r="2954" spans="1:12" ht="14.4" customHeight="1" x14ac:dyDescent="0.3">
      <c r="A2954"/>
      <c r="L2954"/>
    </row>
    <row r="2955" spans="1:12" ht="14.4" customHeight="1" x14ac:dyDescent="0.3">
      <c r="A2955"/>
      <c r="L2955"/>
    </row>
    <row r="2956" spans="1:12" ht="14.4" customHeight="1" x14ac:dyDescent="0.3">
      <c r="A2956"/>
      <c r="L2956"/>
    </row>
    <row r="2957" spans="1:12" ht="14.4" customHeight="1" x14ac:dyDescent="0.3">
      <c r="A2957"/>
      <c r="L2957"/>
    </row>
    <row r="2958" spans="1:12" ht="14.4" customHeight="1" x14ac:dyDescent="0.3">
      <c r="A2958"/>
      <c r="L2958"/>
    </row>
    <row r="2959" spans="1:12" ht="14.4" customHeight="1" x14ac:dyDescent="0.3">
      <c r="A2959"/>
      <c r="L2959"/>
    </row>
    <row r="2960" spans="1:12" ht="14.4" customHeight="1" x14ac:dyDescent="0.3">
      <c r="A2960"/>
      <c r="L2960"/>
    </row>
    <row r="2961" spans="1:12" ht="14.4" customHeight="1" x14ac:dyDescent="0.3">
      <c r="A2961"/>
      <c r="L2961"/>
    </row>
    <row r="2962" spans="1:12" ht="14.4" customHeight="1" x14ac:dyDescent="0.3">
      <c r="A2962"/>
      <c r="L2962"/>
    </row>
    <row r="2963" spans="1:12" ht="14.4" customHeight="1" x14ac:dyDescent="0.3">
      <c r="A2963"/>
      <c r="L2963"/>
    </row>
    <row r="2964" spans="1:12" ht="14.4" customHeight="1" x14ac:dyDescent="0.3">
      <c r="A2964"/>
      <c r="L2964"/>
    </row>
    <row r="2965" spans="1:12" ht="14.4" customHeight="1" x14ac:dyDescent="0.3">
      <c r="A2965"/>
      <c r="L2965"/>
    </row>
    <row r="2966" spans="1:12" ht="14.4" customHeight="1" x14ac:dyDescent="0.3">
      <c r="A2966"/>
      <c r="L2966"/>
    </row>
    <row r="2967" spans="1:12" ht="14.4" customHeight="1" x14ac:dyDescent="0.3">
      <c r="A2967"/>
      <c r="L2967"/>
    </row>
    <row r="2968" spans="1:12" ht="14.4" customHeight="1" x14ac:dyDescent="0.3">
      <c r="A2968"/>
      <c r="L2968"/>
    </row>
    <row r="2969" spans="1:12" ht="14.4" customHeight="1" x14ac:dyDescent="0.3">
      <c r="A2969"/>
      <c r="L2969"/>
    </row>
    <row r="2970" spans="1:12" ht="14.4" customHeight="1" x14ac:dyDescent="0.3">
      <c r="A2970"/>
      <c r="L2970"/>
    </row>
    <row r="2971" spans="1:12" ht="14.4" customHeight="1" x14ac:dyDescent="0.3">
      <c r="A2971"/>
      <c r="L2971"/>
    </row>
    <row r="2972" spans="1:12" ht="14.4" customHeight="1" x14ac:dyDescent="0.3">
      <c r="A2972"/>
      <c r="L2972"/>
    </row>
    <row r="2973" spans="1:12" ht="14.4" customHeight="1" x14ac:dyDescent="0.3">
      <c r="A2973"/>
      <c r="L2973"/>
    </row>
    <row r="2974" spans="1:12" ht="14.4" customHeight="1" x14ac:dyDescent="0.3">
      <c r="A2974"/>
      <c r="L2974"/>
    </row>
    <row r="2975" spans="1:12" ht="14.4" customHeight="1" x14ac:dyDescent="0.3">
      <c r="A2975"/>
      <c r="L2975"/>
    </row>
    <row r="2976" spans="1:12" ht="14.4" customHeight="1" x14ac:dyDescent="0.3">
      <c r="A2976"/>
      <c r="L2976"/>
    </row>
    <row r="2977" spans="1:12" ht="14.4" customHeight="1" x14ac:dyDescent="0.3">
      <c r="A2977"/>
      <c r="L2977"/>
    </row>
    <row r="2978" spans="1:12" ht="14.4" customHeight="1" x14ac:dyDescent="0.3">
      <c r="A2978"/>
      <c r="L2978"/>
    </row>
    <row r="2979" spans="1:12" ht="14.4" customHeight="1" x14ac:dyDescent="0.3">
      <c r="A2979"/>
      <c r="L2979"/>
    </row>
    <row r="2980" spans="1:12" ht="14.4" customHeight="1" x14ac:dyDescent="0.3">
      <c r="A2980"/>
      <c r="L2980"/>
    </row>
    <row r="2981" spans="1:12" ht="14.4" customHeight="1" x14ac:dyDescent="0.3">
      <c r="A2981"/>
      <c r="L2981"/>
    </row>
    <row r="2982" spans="1:12" ht="14.4" customHeight="1" x14ac:dyDescent="0.3">
      <c r="A2982"/>
      <c r="L2982"/>
    </row>
    <row r="2983" spans="1:12" ht="14.4" customHeight="1" x14ac:dyDescent="0.3">
      <c r="A2983"/>
      <c r="L2983"/>
    </row>
    <row r="2984" spans="1:12" ht="14.4" customHeight="1" x14ac:dyDescent="0.3">
      <c r="A2984"/>
      <c r="L2984"/>
    </row>
    <row r="2985" spans="1:12" ht="14.4" customHeight="1" x14ac:dyDescent="0.3">
      <c r="A2985"/>
      <c r="L2985"/>
    </row>
    <row r="2986" spans="1:12" ht="14.4" customHeight="1" x14ac:dyDescent="0.3">
      <c r="A2986"/>
      <c r="L2986"/>
    </row>
    <row r="2987" spans="1:12" ht="14.4" customHeight="1" x14ac:dyDescent="0.3">
      <c r="A2987"/>
      <c r="L2987"/>
    </row>
    <row r="2988" spans="1:12" ht="14.4" customHeight="1" x14ac:dyDescent="0.3">
      <c r="A2988"/>
      <c r="L2988"/>
    </row>
    <row r="2989" spans="1:12" ht="14.4" customHeight="1" x14ac:dyDescent="0.3">
      <c r="A2989"/>
      <c r="L2989"/>
    </row>
    <row r="2990" spans="1:12" ht="14.4" customHeight="1" x14ac:dyDescent="0.3">
      <c r="A2990"/>
      <c r="L2990"/>
    </row>
    <row r="2991" spans="1:12" ht="14.4" customHeight="1" x14ac:dyDescent="0.3">
      <c r="A2991"/>
      <c r="L2991"/>
    </row>
    <row r="2992" spans="1:12" ht="14.4" customHeight="1" x14ac:dyDescent="0.3">
      <c r="A2992"/>
      <c r="L2992"/>
    </row>
    <row r="2993" spans="1:12" ht="14.4" customHeight="1" x14ac:dyDescent="0.3">
      <c r="A2993"/>
      <c r="L2993"/>
    </row>
    <row r="2994" spans="1:12" ht="14.4" customHeight="1" x14ac:dyDescent="0.3">
      <c r="A2994"/>
      <c r="L2994"/>
    </row>
    <row r="2995" spans="1:12" ht="14.4" customHeight="1" x14ac:dyDescent="0.3">
      <c r="A2995"/>
      <c r="L2995"/>
    </row>
    <row r="2996" spans="1:12" ht="14.4" customHeight="1" x14ac:dyDescent="0.3">
      <c r="A2996"/>
      <c r="L2996"/>
    </row>
    <row r="2997" spans="1:12" ht="14.4" customHeight="1" x14ac:dyDescent="0.3">
      <c r="A2997"/>
      <c r="L2997"/>
    </row>
    <row r="2998" spans="1:12" ht="14.4" customHeight="1" x14ac:dyDescent="0.3">
      <c r="A2998"/>
      <c r="L2998"/>
    </row>
    <row r="2999" spans="1:12" ht="14.4" customHeight="1" x14ac:dyDescent="0.3">
      <c r="A2999"/>
      <c r="L2999"/>
    </row>
    <row r="3000" spans="1:12" ht="14.4" customHeight="1" x14ac:dyDescent="0.3">
      <c r="A3000"/>
      <c r="L3000"/>
    </row>
    <row r="3001" spans="1:12" ht="14.4" customHeight="1" x14ac:dyDescent="0.3">
      <c r="A3001"/>
      <c r="L3001"/>
    </row>
    <row r="3002" spans="1:12" ht="14.4" customHeight="1" x14ac:dyDescent="0.3">
      <c r="A3002"/>
      <c r="L3002"/>
    </row>
    <row r="3003" spans="1:12" ht="14.4" customHeight="1" x14ac:dyDescent="0.3">
      <c r="A3003"/>
      <c r="L3003"/>
    </row>
    <row r="3004" spans="1:12" ht="14.4" customHeight="1" x14ac:dyDescent="0.3">
      <c r="A3004"/>
      <c r="L3004"/>
    </row>
    <row r="3005" spans="1:12" ht="14.4" customHeight="1" x14ac:dyDescent="0.3">
      <c r="A3005"/>
      <c r="L3005"/>
    </row>
    <row r="3006" spans="1:12" ht="14.4" customHeight="1" x14ac:dyDescent="0.3">
      <c r="A3006"/>
      <c r="L3006"/>
    </row>
    <row r="3007" spans="1:12" ht="14.4" customHeight="1" x14ac:dyDescent="0.3">
      <c r="A3007"/>
      <c r="L3007"/>
    </row>
    <row r="3008" spans="1:12" ht="14.4" customHeight="1" x14ac:dyDescent="0.3">
      <c r="A3008"/>
      <c r="L3008"/>
    </row>
    <row r="3009" spans="1:12" ht="14.4" customHeight="1" x14ac:dyDescent="0.3">
      <c r="A3009"/>
      <c r="L3009"/>
    </row>
    <row r="3010" spans="1:12" ht="14.4" customHeight="1" x14ac:dyDescent="0.3">
      <c r="A3010"/>
      <c r="L3010"/>
    </row>
    <row r="3011" spans="1:12" ht="14.4" customHeight="1" x14ac:dyDescent="0.3">
      <c r="A3011"/>
      <c r="L3011"/>
    </row>
    <row r="3012" spans="1:12" ht="14.4" customHeight="1" x14ac:dyDescent="0.3">
      <c r="A3012"/>
      <c r="L3012"/>
    </row>
    <row r="3013" spans="1:12" ht="14.4" customHeight="1" x14ac:dyDescent="0.3">
      <c r="A3013"/>
      <c r="L3013"/>
    </row>
    <row r="3014" spans="1:12" ht="14.4" customHeight="1" x14ac:dyDescent="0.3">
      <c r="A3014"/>
      <c r="L3014"/>
    </row>
    <row r="3015" spans="1:12" ht="14.4" customHeight="1" x14ac:dyDescent="0.3">
      <c r="A3015"/>
      <c r="L3015"/>
    </row>
    <row r="3016" spans="1:12" ht="14.4" customHeight="1" x14ac:dyDescent="0.3">
      <c r="A3016"/>
      <c r="L3016"/>
    </row>
    <row r="3017" spans="1:12" ht="14.4" customHeight="1" x14ac:dyDescent="0.3">
      <c r="A3017"/>
      <c r="L3017"/>
    </row>
    <row r="3018" spans="1:12" ht="14.4" customHeight="1" x14ac:dyDescent="0.3">
      <c r="A3018"/>
      <c r="L3018"/>
    </row>
    <row r="3019" spans="1:12" ht="14.4" customHeight="1" x14ac:dyDescent="0.3">
      <c r="A3019"/>
      <c r="L3019"/>
    </row>
    <row r="3020" spans="1:12" ht="14.4" customHeight="1" x14ac:dyDescent="0.3">
      <c r="A3020"/>
      <c r="L3020"/>
    </row>
    <row r="3021" spans="1:12" ht="14.4" customHeight="1" x14ac:dyDescent="0.3">
      <c r="A3021"/>
      <c r="L3021"/>
    </row>
    <row r="3022" spans="1:12" ht="14.4" customHeight="1" x14ac:dyDescent="0.3">
      <c r="A3022"/>
      <c r="L3022"/>
    </row>
    <row r="3023" spans="1:12" ht="14.4" customHeight="1" x14ac:dyDescent="0.3">
      <c r="A3023"/>
      <c r="L3023"/>
    </row>
    <row r="3024" spans="1:12" ht="14.4" customHeight="1" x14ac:dyDescent="0.3">
      <c r="A3024"/>
      <c r="L3024"/>
    </row>
    <row r="3025" spans="1:12" ht="14.4" customHeight="1" x14ac:dyDescent="0.3">
      <c r="A3025"/>
      <c r="L3025"/>
    </row>
    <row r="3026" spans="1:12" ht="14.4" customHeight="1" x14ac:dyDescent="0.3">
      <c r="A3026"/>
      <c r="L3026"/>
    </row>
    <row r="3027" spans="1:12" ht="14.4" customHeight="1" x14ac:dyDescent="0.3">
      <c r="A3027"/>
      <c r="L3027"/>
    </row>
    <row r="3028" spans="1:12" ht="14.4" customHeight="1" x14ac:dyDescent="0.3">
      <c r="A3028"/>
      <c r="L3028"/>
    </row>
    <row r="3029" spans="1:12" ht="14.4" customHeight="1" x14ac:dyDescent="0.3">
      <c r="A3029"/>
      <c r="L3029"/>
    </row>
    <row r="3030" spans="1:12" ht="14.4" customHeight="1" x14ac:dyDescent="0.3">
      <c r="A3030"/>
      <c r="L3030"/>
    </row>
    <row r="3031" spans="1:12" ht="14.4" customHeight="1" x14ac:dyDescent="0.3">
      <c r="A3031"/>
      <c r="L3031"/>
    </row>
    <row r="3032" spans="1:12" ht="14.4" customHeight="1" x14ac:dyDescent="0.3">
      <c r="A3032"/>
      <c r="L3032"/>
    </row>
    <row r="3033" spans="1:12" ht="14.4" customHeight="1" x14ac:dyDescent="0.3">
      <c r="A3033"/>
      <c r="L3033"/>
    </row>
    <row r="3034" spans="1:12" ht="14.4" customHeight="1" x14ac:dyDescent="0.3">
      <c r="A3034"/>
      <c r="L3034"/>
    </row>
    <row r="3035" spans="1:12" ht="14.4" customHeight="1" x14ac:dyDescent="0.3">
      <c r="A3035"/>
      <c r="L3035"/>
    </row>
    <row r="3036" spans="1:12" ht="14.4" customHeight="1" x14ac:dyDescent="0.3">
      <c r="A3036"/>
      <c r="L3036"/>
    </row>
    <row r="3037" spans="1:12" ht="14.4" customHeight="1" x14ac:dyDescent="0.3">
      <c r="A3037"/>
      <c r="L3037"/>
    </row>
    <row r="3038" spans="1:12" ht="14.4" customHeight="1" x14ac:dyDescent="0.3">
      <c r="A3038"/>
      <c r="L3038"/>
    </row>
    <row r="3039" spans="1:12" ht="14.4" customHeight="1" x14ac:dyDescent="0.3">
      <c r="A3039"/>
      <c r="L3039"/>
    </row>
    <row r="3040" spans="1:12" ht="14.4" customHeight="1" x14ac:dyDescent="0.3">
      <c r="A3040"/>
      <c r="L3040"/>
    </row>
    <row r="3041" spans="1:12" ht="14.4" customHeight="1" x14ac:dyDescent="0.3">
      <c r="A3041"/>
      <c r="L3041"/>
    </row>
    <row r="3042" spans="1:12" ht="14.4" customHeight="1" x14ac:dyDescent="0.3">
      <c r="A3042"/>
      <c r="L3042"/>
    </row>
    <row r="3043" spans="1:12" ht="14.4" customHeight="1" x14ac:dyDescent="0.3">
      <c r="A3043"/>
      <c r="L3043"/>
    </row>
    <row r="3044" spans="1:12" ht="14.4" customHeight="1" x14ac:dyDescent="0.3">
      <c r="A3044"/>
      <c r="L3044"/>
    </row>
    <row r="3045" spans="1:12" ht="14.4" customHeight="1" x14ac:dyDescent="0.3">
      <c r="A3045"/>
      <c r="L3045"/>
    </row>
    <row r="3046" spans="1:12" ht="14.4" customHeight="1" x14ac:dyDescent="0.3">
      <c r="A3046"/>
      <c r="L3046"/>
    </row>
    <row r="3047" spans="1:12" ht="14.4" customHeight="1" x14ac:dyDescent="0.3">
      <c r="A3047"/>
      <c r="L3047"/>
    </row>
    <row r="3048" spans="1:12" ht="14.4" customHeight="1" x14ac:dyDescent="0.3">
      <c r="A3048"/>
      <c r="L3048"/>
    </row>
    <row r="3049" spans="1:12" ht="14.4" customHeight="1" x14ac:dyDescent="0.3">
      <c r="A3049"/>
      <c r="L3049"/>
    </row>
    <row r="3050" spans="1:12" ht="14.4" customHeight="1" x14ac:dyDescent="0.3">
      <c r="A3050"/>
      <c r="L3050"/>
    </row>
    <row r="3051" spans="1:12" ht="14.4" customHeight="1" x14ac:dyDescent="0.3">
      <c r="A3051"/>
      <c r="L3051"/>
    </row>
    <row r="3052" spans="1:12" ht="14.4" customHeight="1" x14ac:dyDescent="0.3">
      <c r="A3052"/>
      <c r="L3052"/>
    </row>
    <row r="3053" spans="1:12" ht="14.4" customHeight="1" x14ac:dyDescent="0.3">
      <c r="A3053"/>
      <c r="L3053"/>
    </row>
    <row r="3054" spans="1:12" ht="14.4" customHeight="1" x14ac:dyDescent="0.3">
      <c r="A3054"/>
      <c r="L3054"/>
    </row>
    <row r="3055" spans="1:12" ht="14.4" customHeight="1" x14ac:dyDescent="0.3">
      <c r="A3055"/>
      <c r="L3055"/>
    </row>
    <row r="3056" spans="1:12" ht="14.4" customHeight="1" x14ac:dyDescent="0.3">
      <c r="A3056"/>
      <c r="L3056"/>
    </row>
    <row r="3057" spans="1:12" ht="14.4" customHeight="1" x14ac:dyDescent="0.3">
      <c r="A3057"/>
      <c r="L3057"/>
    </row>
    <row r="3058" spans="1:12" ht="14.4" customHeight="1" x14ac:dyDescent="0.3">
      <c r="A3058"/>
      <c r="L3058"/>
    </row>
    <row r="3059" spans="1:12" ht="14.4" customHeight="1" x14ac:dyDescent="0.3">
      <c r="A3059"/>
      <c r="L3059"/>
    </row>
    <row r="3060" spans="1:12" ht="14.4" customHeight="1" x14ac:dyDescent="0.3">
      <c r="A3060"/>
      <c r="L3060"/>
    </row>
    <row r="3061" spans="1:12" ht="14.4" customHeight="1" x14ac:dyDescent="0.3">
      <c r="A3061"/>
      <c r="L3061"/>
    </row>
    <row r="3062" spans="1:12" ht="14.4" customHeight="1" x14ac:dyDescent="0.3">
      <c r="A3062"/>
      <c r="L3062"/>
    </row>
    <row r="3063" spans="1:12" ht="14.4" customHeight="1" x14ac:dyDescent="0.3">
      <c r="A3063"/>
      <c r="L3063"/>
    </row>
    <row r="3064" spans="1:12" ht="14.4" customHeight="1" x14ac:dyDescent="0.3">
      <c r="A3064"/>
      <c r="L3064"/>
    </row>
    <row r="3065" spans="1:12" ht="14.4" customHeight="1" x14ac:dyDescent="0.3">
      <c r="A3065"/>
      <c r="L3065"/>
    </row>
    <row r="3066" spans="1:12" ht="14.4" customHeight="1" x14ac:dyDescent="0.3">
      <c r="A3066"/>
      <c r="L3066"/>
    </row>
    <row r="3067" spans="1:12" ht="14.4" customHeight="1" x14ac:dyDescent="0.3">
      <c r="A3067"/>
      <c r="L3067"/>
    </row>
    <row r="3068" spans="1:12" ht="14.4" customHeight="1" x14ac:dyDescent="0.3">
      <c r="A3068"/>
      <c r="L3068"/>
    </row>
    <row r="3069" spans="1:12" ht="14.4" customHeight="1" x14ac:dyDescent="0.3">
      <c r="A3069"/>
      <c r="L3069"/>
    </row>
    <row r="3070" spans="1:12" ht="14.4" customHeight="1" x14ac:dyDescent="0.3">
      <c r="A3070"/>
      <c r="L3070"/>
    </row>
    <row r="3071" spans="1:12" ht="14.4" customHeight="1" x14ac:dyDescent="0.3">
      <c r="A3071"/>
      <c r="L3071"/>
    </row>
    <row r="3072" spans="1:12" ht="14.4" customHeight="1" x14ac:dyDescent="0.3">
      <c r="A3072"/>
      <c r="L3072"/>
    </row>
    <row r="3073" spans="1:12" ht="14.4" customHeight="1" x14ac:dyDescent="0.3">
      <c r="A3073"/>
      <c r="L3073"/>
    </row>
    <row r="3074" spans="1:12" ht="14.4" customHeight="1" x14ac:dyDescent="0.3">
      <c r="A3074"/>
      <c r="L3074"/>
    </row>
    <row r="3075" spans="1:12" ht="14.4" customHeight="1" x14ac:dyDescent="0.3">
      <c r="A3075"/>
      <c r="L3075"/>
    </row>
    <row r="3076" spans="1:12" ht="14.4" customHeight="1" x14ac:dyDescent="0.3">
      <c r="A3076"/>
      <c r="L3076"/>
    </row>
    <row r="3077" spans="1:12" ht="14.4" customHeight="1" x14ac:dyDescent="0.3">
      <c r="A3077"/>
      <c r="L3077"/>
    </row>
    <row r="3078" spans="1:12" ht="14.4" customHeight="1" x14ac:dyDescent="0.3">
      <c r="A3078"/>
      <c r="L3078"/>
    </row>
    <row r="3079" spans="1:12" ht="14.4" customHeight="1" x14ac:dyDescent="0.3">
      <c r="A3079"/>
      <c r="L3079"/>
    </row>
    <row r="3080" spans="1:12" ht="14.4" customHeight="1" x14ac:dyDescent="0.3">
      <c r="A3080"/>
      <c r="L3080"/>
    </row>
    <row r="3081" spans="1:12" ht="14.4" customHeight="1" x14ac:dyDescent="0.3">
      <c r="A3081"/>
      <c r="L3081"/>
    </row>
    <row r="3082" spans="1:12" ht="14.4" customHeight="1" x14ac:dyDescent="0.3">
      <c r="A3082"/>
      <c r="L3082"/>
    </row>
    <row r="3083" spans="1:12" ht="14.4" customHeight="1" x14ac:dyDescent="0.3">
      <c r="A3083"/>
      <c r="L3083"/>
    </row>
    <row r="3084" spans="1:12" ht="14.4" customHeight="1" x14ac:dyDescent="0.3">
      <c r="A3084"/>
      <c r="L3084"/>
    </row>
    <row r="3085" spans="1:12" ht="14.4" customHeight="1" x14ac:dyDescent="0.3">
      <c r="A3085"/>
      <c r="L3085"/>
    </row>
    <row r="3086" spans="1:12" ht="14.4" customHeight="1" x14ac:dyDescent="0.3">
      <c r="A3086"/>
      <c r="L3086"/>
    </row>
    <row r="3087" spans="1:12" ht="14.4" customHeight="1" x14ac:dyDescent="0.3">
      <c r="A3087"/>
      <c r="L3087"/>
    </row>
    <row r="3088" spans="1:12" ht="14.4" customHeight="1" x14ac:dyDescent="0.3">
      <c r="A3088"/>
      <c r="L3088"/>
    </row>
    <row r="3089" spans="1:12" ht="14.4" customHeight="1" x14ac:dyDescent="0.3">
      <c r="A3089"/>
      <c r="L3089"/>
    </row>
    <row r="3090" spans="1:12" ht="14.4" customHeight="1" x14ac:dyDescent="0.3">
      <c r="A3090"/>
      <c r="L3090"/>
    </row>
    <row r="3091" spans="1:12" ht="14.4" customHeight="1" x14ac:dyDescent="0.3">
      <c r="A3091"/>
      <c r="L3091"/>
    </row>
    <row r="3092" spans="1:12" ht="14.4" customHeight="1" x14ac:dyDescent="0.3">
      <c r="A3092"/>
      <c r="L3092"/>
    </row>
    <row r="3093" spans="1:12" ht="14.4" customHeight="1" x14ac:dyDescent="0.3">
      <c r="A3093"/>
      <c r="L3093"/>
    </row>
    <row r="3094" spans="1:12" ht="14.4" customHeight="1" x14ac:dyDescent="0.3">
      <c r="A3094"/>
      <c r="L3094"/>
    </row>
    <row r="3095" spans="1:12" ht="14.4" customHeight="1" x14ac:dyDescent="0.3">
      <c r="A3095"/>
      <c r="L3095"/>
    </row>
    <row r="3096" spans="1:12" ht="14.4" customHeight="1" x14ac:dyDescent="0.3">
      <c r="A3096"/>
      <c r="L3096"/>
    </row>
    <row r="3097" spans="1:12" ht="14.4" customHeight="1" x14ac:dyDescent="0.3">
      <c r="A3097"/>
      <c r="L3097"/>
    </row>
    <row r="3098" spans="1:12" ht="14.4" customHeight="1" x14ac:dyDescent="0.3">
      <c r="A3098"/>
      <c r="L3098"/>
    </row>
    <row r="3099" spans="1:12" ht="14.4" customHeight="1" x14ac:dyDescent="0.3">
      <c r="A3099"/>
      <c r="L3099"/>
    </row>
    <row r="3100" spans="1:12" ht="14.4" customHeight="1" x14ac:dyDescent="0.3">
      <c r="A3100"/>
      <c r="L3100"/>
    </row>
    <row r="3101" spans="1:12" ht="14.4" customHeight="1" x14ac:dyDescent="0.3">
      <c r="A3101"/>
      <c r="L3101"/>
    </row>
    <row r="3102" spans="1:12" ht="14.4" customHeight="1" x14ac:dyDescent="0.3">
      <c r="A3102"/>
      <c r="L3102"/>
    </row>
    <row r="3103" spans="1:12" ht="14.4" customHeight="1" x14ac:dyDescent="0.3">
      <c r="A3103"/>
      <c r="L3103"/>
    </row>
    <row r="3104" spans="1:12" ht="14.4" customHeight="1" x14ac:dyDescent="0.3">
      <c r="A3104"/>
      <c r="L3104"/>
    </row>
    <row r="3105" spans="1:12" ht="14.4" customHeight="1" x14ac:dyDescent="0.3">
      <c r="A3105"/>
      <c r="L3105"/>
    </row>
    <row r="3106" spans="1:12" ht="14.4" customHeight="1" x14ac:dyDescent="0.3">
      <c r="A3106"/>
      <c r="L3106"/>
    </row>
    <row r="3107" spans="1:12" ht="14.4" customHeight="1" x14ac:dyDescent="0.3">
      <c r="A3107"/>
      <c r="L3107"/>
    </row>
    <row r="3108" spans="1:12" ht="14.4" customHeight="1" x14ac:dyDescent="0.3">
      <c r="A3108"/>
      <c r="L3108"/>
    </row>
    <row r="3109" spans="1:12" ht="14.4" customHeight="1" x14ac:dyDescent="0.3">
      <c r="A3109"/>
      <c r="L3109"/>
    </row>
    <row r="3110" spans="1:12" ht="14.4" customHeight="1" x14ac:dyDescent="0.3">
      <c r="A3110"/>
      <c r="L3110"/>
    </row>
    <row r="3111" spans="1:12" ht="14.4" customHeight="1" x14ac:dyDescent="0.3">
      <c r="A3111"/>
      <c r="L3111"/>
    </row>
    <row r="3112" spans="1:12" ht="14.4" customHeight="1" x14ac:dyDescent="0.3">
      <c r="A3112"/>
      <c r="L3112"/>
    </row>
    <row r="3113" spans="1:12" ht="14.4" customHeight="1" x14ac:dyDescent="0.3">
      <c r="A3113"/>
      <c r="L3113"/>
    </row>
    <row r="3114" spans="1:12" ht="14.4" customHeight="1" x14ac:dyDescent="0.3">
      <c r="A3114"/>
      <c r="L3114"/>
    </row>
    <row r="3115" spans="1:12" ht="14.4" customHeight="1" x14ac:dyDescent="0.3">
      <c r="A3115"/>
      <c r="L3115"/>
    </row>
    <row r="3116" spans="1:12" ht="14.4" customHeight="1" x14ac:dyDescent="0.3">
      <c r="A3116"/>
      <c r="L3116"/>
    </row>
    <row r="3117" spans="1:12" ht="14.4" customHeight="1" x14ac:dyDescent="0.3">
      <c r="A3117"/>
      <c r="L3117"/>
    </row>
    <row r="3118" spans="1:12" ht="14.4" customHeight="1" x14ac:dyDescent="0.3">
      <c r="A3118"/>
      <c r="L3118"/>
    </row>
    <row r="3119" spans="1:12" ht="14.4" customHeight="1" x14ac:dyDescent="0.3">
      <c r="A3119"/>
      <c r="L3119"/>
    </row>
    <row r="3120" spans="1:12" ht="14.4" customHeight="1" x14ac:dyDescent="0.3">
      <c r="A3120"/>
      <c r="L3120"/>
    </row>
    <row r="3121" spans="1:12" ht="14.4" customHeight="1" x14ac:dyDescent="0.3">
      <c r="A3121"/>
      <c r="L3121"/>
    </row>
    <row r="3122" spans="1:12" ht="14.4" customHeight="1" x14ac:dyDescent="0.3">
      <c r="A3122"/>
      <c r="L3122"/>
    </row>
    <row r="3123" spans="1:12" ht="14.4" customHeight="1" x14ac:dyDescent="0.3">
      <c r="A3123"/>
      <c r="L3123"/>
    </row>
    <row r="3124" spans="1:12" ht="14.4" customHeight="1" x14ac:dyDescent="0.3">
      <c r="A3124"/>
      <c r="L3124"/>
    </row>
    <row r="3125" spans="1:12" ht="14.4" customHeight="1" x14ac:dyDescent="0.3">
      <c r="A3125"/>
      <c r="L3125"/>
    </row>
    <row r="3126" spans="1:12" ht="14.4" customHeight="1" x14ac:dyDescent="0.3">
      <c r="A3126"/>
      <c r="L3126"/>
    </row>
    <row r="3127" spans="1:12" ht="14.4" customHeight="1" x14ac:dyDescent="0.3">
      <c r="A3127"/>
      <c r="L3127"/>
    </row>
    <row r="3128" spans="1:12" ht="14.4" customHeight="1" x14ac:dyDescent="0.3">
      <c r="A3128"/>
      <c r="L3128"/>
    </row>
    <row r="3129" spans="1:12" ht="14.4" customHeight="1" x14ac:dyDescent="0.3">
      <c r="A3129"/>
      <c r="L3129"/>
    </row>
    <row r="3130" spans="1:12" ht="14.4" customHeight="1" x14ac:dyDescent="0.3">
      <c r="A3130"/>
      <c r="L3130"/>
    </row>
    <row r="3131" spans="1:12" ht="14.4" customHeight="1" x14ac:dyDescent="0.3">
      <c r="A3131"/>
      <c r="L3131"/>
    </row>
    <row r="3132" spans="1:12" ht="14.4" customHeight="1" x14ac:dyDescent="0.3">
      <c r="A3132"/>
      <c r="L3132"/>
    </row>
    <row r="3133" spans="1:12" ht="14.4" customHeight="1" x14ac:dyDescent="0.3">
      <c r="A3133"/>
      <c r="L3133"/>
    </row>
    <row r="3134" spans="1:12" ht="14.4" customHeight="1" x14ac:dyDescent="0.3">
      <c r="A3134"/>
      <c r="L3134"/>
    </row>
    <row r="3135" spans="1:12" ht="14.4" customHeight="1" x14ac:dyDescent="0.3">
      <c r="A3135"/>
      <c r="L3135"/>
    </row>
    <row r="3136" spans="1:12" ht="14.4" customHeight="1" x14ac:dyDescent="0.3">
      <c r="A3136"/>
      <c r="L3136"/>
    </row>
    <row r="3137" spans="1:12" ht="14.4" customHeight="1" x14ac:dyDescent="0.3">
      <c r="A3137"/>
      <c r="L3137"/>
    </row>
    <row r="3138" spans="1:12" ht="14.4" customHeight="1" x14ac:dyDescent="0.3">
      <c r="A3138"/>
      <c r="L3138"/>
    </row>
    <row r="3139" spans="1:12" ht="14.4" customHeight="1" x14ac:dyDescent="0.3">
      <c r="A3139"/>
      <c r="L3139"/>
    </row>
    <row r="3140" spans="1:12" ht="14.4" customHeight="1" x14ac:dyDescent="0.3">
      <c r="A3140"/>
      <c r="L3140"/>
    </row>
    <row r="3141" spans="1:12" ht="14.4" customHeight="1" x14ac:dyDescent="0.3">
      <c r="A3141"/>
      <c r="L3141"/>
    </row>
    <row r="3142" spans="1:12" ht="14.4" customHeight="1" x14ac:dyDescent="0.3">
      <c r="A3142"/>
      <c r="L3142"/>
    </row>
    <row r="3143" spans="1:12" ht="14.4" customHeight="1" x14ac:dyDescent="0.3">
      <c r="A3143"/>
      <c r="L3143"/>
    </row>
    <row r="3144" spans="1:12" ht="14.4" customHeight="1" x14ac:dyDescent="0.3">
      <c r="A3144"/>
      <c r="L3144"/>
    </row>
    <row r="3145" spans="1:12" ht="14.4" customHeight="1" x14ac:dyDescent="0.3">
      <c r="A3145"/>
      <c r="L3145"/>
    </row>
    <row r="3146" spans="1:12" ht="14.4" customHeight="1" x14ac:dyDescent="0.3">
      <c r="A3146"/>
      <c r="L3146"/>
    </row>
    <row r="3147" spans="1:12" ht="14.4" customHeight="1" x14ac:dyDescent="0.3">
      <c r="A3147"/>
      <c r="L3147"/>
    </row>
    <row r="3148" spans="1:12" ht="14.4" customHeight="1" x14ac:dyDescent="0.3">
      <c r="A3148"/>
      <c r="L3148"/>
    </row>
    <row r="3149" spans="1:12" ht="14.4" customHeight="1" x14ac:dyDescent="0.3">
      <c r="A3149"/>
      <c r="L3149"/>
    </row>
    <row r="3150" spans="1:12" ht="14.4" customHeight="1" x14ac:dyDescent="0.3">
      <c r="A3150"/>
      <c r="L3150"/>
    </row>
    <row r="3151" spans="1:12" ht="14.4" customHeight="1" x14ac:dyDescent="0.3">
      <c r="A3151"/>
      <c r="L3151"/>
    </row>
    <row r="3152" spans="1:12" ht="14.4" customHeight="1" x14ac:dyDescent="0.3">
      <c r="A3152"/>
      <c r="L3152"/>
    </row>
    <row r="3153" spans="1:12" ht="14.4" customHeight="1" x14ac:dyDescent="0.3">
      <c r="A3153"/>
      <c r="L3153"/>
    </row>
    <row r="3154" spans="1:12" ht="14.4" customHeight="1" x14ac:dyDescent="0.3">
      <c r="A3154"/>
      <c r="L3154"/>
    </row>
    <row r="3155" spans="1:12" ht="14.4" customHeight="1" x14ac:dyDescent="0.3">
      <c r="A3155"/>
      <c r="L3155"/>
    </row>
    <row r="3156" spans="1:12" ht="14.4" customHeight="1" x14ac:dyDescent="0.3">
      <c r="A3156"/>
      <c r="L3156"/>
    </row>
    <row r="3157" spans="1:12" ht="14.4" customHeight="1" x14ac:dyDescent="0.3">
      <c r="A3157"/>
      <c r="L3157"/>
    </row>
    <row r="3158" spans="1:12" ht="14.4" customHeight="1" x14ac:dyDescent="0.3">
      <c r="A3158"/>
      <c r="L3158"/>
    </row>
    <row r="3159" spans="1:12" ht="14.4" customHeight="1" x14ac:dyDescent="0.3">
      <c r="A3159"/>
      <c r="L3159"/>
    </row>
    <row r="3160" spans="1:12" ht="14.4" customHeight="1" x14ac:dyDescent="0.3">
      <c r="A3160"/>
      <c r="L3160"/>
    </row>
    <row r="3161" spans="1:12" ht="14.4" customHeight="1" x14ac:dyDescent="0.3">
      <c r="A3161"/>
      <c r="L3161"/>
    </row>
    <row r="3162" spans="1:12" ht="14.4" customHeight="1" x14ac:dyDescent="0.3">
      <c r="A3162"/>
      <c r="L3162"/>
    </row>
    <row r="3163" spans="1:12" ht="14.4" customHeight="1" x14ac:dyDescent="0.3">
      <c r="A3163"/>
      <c r="L3163"/>
    </row>
    <row r="3164" spans="1:12" ht="14.4" customHeight="1" x14ac:dyDescent="0.3">
      <c r="A3164"/>
      <c r="L3164"/>
    </row>
    <row r="3165" spans="1:12" ht="14.4" customHeight="1" x14ac:dyDescent="0.3">
      <c r="A3165"/>
      <c r="L3165"/>
    </row>
    <row r="3166" spans="1:12" ht="14.4" customHeight="1" x14ac:dyDescent="0.3">
      <c r="A3166"/>
      <c r="L3166"/>
    </row>
    <row r="3167" spans="1:12" ht="14.4" customHeight="1" x14ac:dyDescent="0.3">
      <c r="A3167"/>
      <c r="L3167"/>
    </row>
    <row r="3168" spans="1:12" ht="14.4" customHeight="1" x14ac:dyDescent="0.3">
      <c r="A3168"/>
      <c r="L3168"/>
    </row>
    <row r="3169" spans="1:12" ht="14.4" customHeight="1" x14ac:dyDescent="0.3">
      <c r="A3169"/>
      <c r="L3169"/>
    </row>
    <row r="3170" spans="1:12" ht="14.4" customHeight="1" x14ac:dyDescent="0.3">
      <c r="A3170"/>
      <c r="L3170"/>
    </row>
    <row r="3171" spans="1:12" ht="14.4" customHeight="1" x14ac:dyDescent="0.3">
      <c r="A3171"/>
      <c r="L3171"/>
    </row>
    <row r="3172" spans="1:12" ht="14.4" customHeight="1" x14ac:dyDescent="0.3">
      <c r="A3172"/>
      <c r="L3172"/>
    </row>
    <row r="3173" spans="1:12" ht="14.4" customHeight="1" x14ac:dyDescent="0.3">
      <c r="A3173"/>
      <c r="L3173"/>
    </row>
    <row r="3174" spans="1:12" ht="14.4" customHeight="1" x14ac:dyDescent="0.3">
      <c r="A3174"/>
      <c r="L3174"/>
    </row>
    <row r="3175" spans="1:12" ht="14.4" customHeight="1" x14ac:dyDescent="0.3">
      <c r="A3175"/>
      <c r="L3175"/>
    </row>
    <row r="3176" spans="1:12" ht="14.4" customHeight="1" x14ac:dyDescent="0.3">
      <c r="A3176"/>
      <c r="L3176"/>
    </row>
    <row r="3177" spans="1:12" ht="14.4" customHeight="1" x14ac:dyDescent="0.3">
      <c r="A3177"/>
      <c r="L3177"/>
    </row>
    <row r="3178" spans="1:12" ht="14.4" customHeight="1" x14ac:dyDescent="0.3">
      <c r="A3178"/>
      <c r="L3178"/>
    </row>
    <row r="3179" spans="1:12" ht="14.4" customHeight="1" x14ac:dyDescent="0.3">
      <c r="A3179"/>
      <c r="L3179"/>
    </row>
    <row r="3180" spans="1:12" ht="14.4" customHeight="1" x14ac:dyDescent="0.3">
      <c r="A3180"/>
      <c r="L3180"/>
    </row>
    <row r="3181" spans="1:12" ht="14.4" customHeight="1" x14ac:dyDescent="0.3">
      <c r="A3181"/>
      <c r="L3181"/>
    </row>
    <row r="3182" spans="1:12" ht="14.4" customHeight="1" x14ac:dyDescent="0.3">
      <c r="A3182"/>
      <c r="L3182"/>
    </row>
    <row r="3183" spans="1:12" ht="14.4" customHeight="1" x14ac:dyDescent="0.3">
      <c r="A3183"/>
      <c r="L3183"/>
    </row>
    <row r="3184" spans="1:12" ht="14.4" customHeight="1" x14ac:dyDescent="0.3">
      <c r="A3184"/>
      <c r="L3184"/>
    </row>
    <row r="3185" spans="1:12" ht="14.4" customHeight="1" x14ac:dyDescent="0.3">
      <c r="A3185"/>
      <c r="L3185"/>
    </row>
    <row r="3186" spans="1:12" ht="14.4" customHeight="1" x14ac:dyDescent="0.3">
      <c r="A3186"/>
      <c r="L3186"/>
    </row>
    <row r="3187" spans="1:12" ht="14.4" customHeight="1" x14ac:dyDescent="0.3">
      <c r="A3187"/>
      <c r="L3187"/>
    </row>
    <row r="3188" spans="1:12" ht="14.4" customHeight="1" x14ac:dyDescent="0.3">
      <c r="A3188"/>
      <c r="L3188"/>
    </row>
    <row r="3189" spans="1:12" ht="14.4" customHeight="1" x14ac:dyDescent="0.3">
      <c r="A3189"/>
      <c r="L3189"/>
    </row>
    <row r="3190" spans="1:12" ht="14.4" customHeight="1" x14ac:dyDescent="0.3">
      <c r="A3190"/>
      <c r="L3190"/>
    </row>
    <row r="3191" spans="1:12" ht="14.4" customHeight="1" x14ac:dyDescent="0.3">
      <c r="A3191"/>
      <c r="L3191"/>
    </row>
    <row r="3192" spans="1:12" ht="14.4" customHeight="1" x14ac:dyDescent="0.3">
      <c r="A3192"/>
      <c r="L3192"/>
    </row>
    <row r="3193" spans="1:12" ht="14.4" customHeight="1" x14ac:dyDescent="0.3">
      <c r="A3193"/>
      <c r="L3193"/>
    </row>
    <row r="3194" spans="1:12" ht="14.4" customHeight="1" x14ac:dyDescent="0.3">
      <c r="A3194"/>
      <c r="L3194"/>
    </row>
    <row r="3195" spans="1:12" ht="14.4" customHeight="1" x14ac:dyDescent="0.3">
      <c r="A3195"/>
      <c r="L3195"/>
    </row>
    <row r="3196" spans="1:12" ht="14.4" customHeight="1" x14ac:dyDescent="0.3">
      <c r="A3196"/>
      <c r="L3196"/>
    </row>
    <row r="3197" spans="1:12" ht="14.4" customHeight="1" x14ac:dyDescent="0.3">
      <c r="A3197"/>
      <c r="L3197"/>
    </row>
    <row r="3198" spans="1:12" ht="14.4" customHeight="1" x14ac:dyDescent="0.3">
      <c r="A3198"/>
      <c r="L3198"/>
    </row>
    <row r="3199" spans="1:12" ht="14.4" customHeight="1" x14ac:dyDescent="0.3">
      <c r="A3199"/>
      <c r="L3199"/>
    </row>
    <row r="3200" spans="1:12" ht="14.4" customHeight="1" x14ac:dyDescent="0.3">
      <c r="A3200"/>
      <c r="L3200"/>
    </row>
    <row r="3201" spans="1:12" ht="14.4" customHeight="1" x14ac:dyDescent="0.3">
      <c r="A3201"/>
      <c r="L3201"/>
    </row>
    <row r="3202" spans="1:12" ht="14.4" customHeight="1" x14ac:dyDescent="0.3">
      <c r="A3202"/>
      <c r="L3202"/>
    </row>
    <row r="3203" spans="1:12" ht="14.4" customHeight="1" x14ac:dyDescent="0.3">
      <c r="A3203"/>
      <c r="L3203"/>
    </row>
    <row r="3204" spans="1:12" ht="14.4" customHeight="1" x14ac:dyDescent="0.3">
      <c r="A3204"/>
      <c r="L3204"/>
    </row>
    <row r="3205" spans="1:12" ht="14.4" customHeight="1" x14ac:dyDescent="0.3">
      <c r="A3205"/>
      <c r="L3205"/>
    </row>
    <row r="3206" spans="1:12" ht="14.4" customHeight="1" x14ac:dyDescent="0.3">
      <c r="A3206"/>
      <c r="L3206"/>
    </row>
    <row r="3207" spans="1:12" ht="14.4" customHeight="1" x14ac:dyDescent="0.3">
      <c r="A3207"/>
      <c r="L3207"/>
    </row>
    <row r="3208" spans="1:12" ht="14.4" customHeight="1" x14ac:dyDescent="0.3">
      <c r="A3208"/>
      <c r="L3208"/>
    </row>
    <row r="3209" spans="1:12" ht="14.4" customHeight="1" x14ac:dyDescent="0.3">
      <c r="A3209"/>
      <c r="L3209"/>
    </row>
    <row r="3210" spans="1:12" ht="14.4" customHeight="1" x14ac:dyDescent="0.3">
      <c r="A3210"/>
      <c r="L3210"/>
    </row>
    <row r="3211" spans="1:12" ht="14.4" customHeight="1" x14ac:dyDescent="0.3">
      <c r="A3211"/>
      <c r="L3211"/>
    </row>
    <row r="3212" spans="1:12" ht="14.4" customHeight="1" x14ac:dyDescent="0.3">
      <c r="A3212"/>
      <c r="L3212"/>
    </row>
    <row r="3213" spans="1:12" ht="14.4" customHeight="1" x14ac:dyDescent="0.3">
      <c r="A3213"/>
      <c r="L3213"/>
    </row>
    <row r="3214" spans="1:12" ht="14.4" customHeight="1" x14ac:dyDescent="0.3">
      <c r="A3214"/>
      <c r="L3214"/>
    </row>
    <row r="3215" spans="1:12" ht="14.4" customHeight="1" x14ac:dyDescent="0.3">
      <c r="A3215"/>
      <c r="L3215"/>
    </row>
    <row r="3216" spans="1:12" ht="14.4" customHeight="1" x14ac:dyDescent="0.3">
      <c r="A3216"/>
      <c r="L3216"/>
    </row>
    <row r="3217" spans="1:12" ht="14.4" customHeight="1" x14ac:dyDescent="0.3">
      <c r="A3217"/>
      <c r="L3217"/>
    </row>
    <row r="3218" spans="1:12" ht="14.4" customHeight="1" x14ac:dyDescent="0.3">
      <c r="A3218"/>
      <c r="L3218"/>
    </row>
    <row r="3219" spans="1:12" ht="14.4" customHeight="1" x14ac:dyDescent="0.3">
      <c r="A3219"/>
      <c r="L3219"/>
    </row>
    <row r="3220" spans="1:12" ht="14.4" customHeight="1" x14ac:dyDescent="0.3">
      <c r="A3220"/>
      <c r="L3220"/>
    </row>
    <row r="3221" spans="1:12" ht="14.4" customHeight="1" x14ac:dyDescent="0.3">
      <c r="A3221"/>
      <c r="L3221"/>
    </row>
    <row r="3222" spans="1:12" ht="14.4" customHeight="1" x14ac:dyDescent="0.3">
      <c r="A3222"/>
      <c r="L3222"/>
    </row>
    <row r="3223" spans="1:12" ht="14.4" customHeight="1" x14ac:dyDescent="0.3">
      <c r="A3223"/>
      <c r="L3223"/>
    </row>
    <row r="3224" spans="1:12" ht="14.4" customHeight="1" x14ac:dyDescent="0.3">
      <c r="A3224"/>
      <c r="L3224"/>
    </row>
    <row r="3225" spans="1:12" ht="14.4" customHeight="1" x14ac:dyDescent="0.3">
      <c r="A3225"/>
      <c r="L3225"/>
    </row>
    <row r="3226" spans="1:12" ht="14.4" customHeight="1" x14ac:dyDescent="0.3">
      <c r="A3226"/>
      <c r="L3226"/>
    </row>
    <row r="3227" spans="1:12" ht="14.4" customHeight="1" x14ac:dyDescent="0.3">
      <c r="A3227"/>
      <c r="L3227"/>
    </row>
    <row r="3228" spans="1:12" ht="14.4" customHeight="1" x14ac:dyDescent="0.3">
      <c r="A3228"/>
      <c r="L3228"/>
    </row>
    <row r="3229" spans="1:12" ht="14.4" customHeight="1" x14ac:dyDescent="0.3">
      <c r="A3229"/>
      <c r="L3229"/>
    </row>
    <row r="3230" spans="1:12" ht="14.4" customHeight="1" x14ac:dyDescent="0.3">
      <c r="A3230"/>
      <c r="L3230"/>
    </row>
    <row r="3231" spans="1:12" ht="14.4" customHeight="1" x14ac:dyDescent="0.3">
      <c r="A3231"/>
      <c r="L3231"/>
    </row>
    <row r="3232" spans="1:12" ht="14.4" customHeight="1" x14ac:dyDescent="0.3">
      <c r="A3232"/>
      <c r="L3232"/>
    </row>
    <row r="3233" spans="1:12" ht="14.4" customHeight="1" x14ac:dyDescent="0.3">
      <c r="A3233"/>
      <c r="L3233"/>
    </row>
    <row r="3234" spans="1:12" ht="14.4" customHeight="1" x14ac:dyDescent="0.3">
      <c r="A3234"/>
      <c r="L3234"/>
    </row>
    <row r="3235" spans="1:12" ht="14.4" customHeight="1" x14ac:dyDescent="0.3">
      <c r="A3235"/>
      <c r="L3235"/>
    </row>
    <row r="3236" spans="1:12" ht="14.4" customHeight="1" x14ac:dyDescent="0.3">
      <c r="A3236"/>
      <c r="L3236"/>
    </row>
    <row r="3237" spans="1:12" ht="14.4" customHeight="1" x14ac:dyDescent="0.3">
      <c r="A3237"/>
      <c r="L3237"/>
    </row>
    <row r="3238" spans="1:12" ht="14.4" customHeight="1" x14ac:dyDescent="0.3">
      <c r="A3238"/>
      <c r="L3238"/>
    </row>
    <row r="3239" spans="1:12" ht="14.4" customHeight="1" x14ac:dyDescent="0.3">
      <c r="A3239"/>
      <c r="L3239"/>
    </row>
    <row r="3240" spans="1:12" ht="14.4" customHeight="1" x14ac:dyDescent="0.3">
      <c r="A3240"/>
      <c r="L3240"/>
    </row>
    <row r="3241" spans="1:12" ht="14.4" customHeight="1" x14ac:dyDescent="0.3">
      <c r="A3241"/>
      <c r="L3241"/>
    </row>
    <row r="3242" spans="1:12" ht="14.4" customHeight="1" x14ac:dyDescent="0.3">
      <c r="A3242"/>
      <c r="L3242"/>
    </row>
    <row r="3243" spans="1:12" ht="14.4" customHeight="1" x14ac:dyDescent="0.3">
      <c r="A3243"/>
      <c r="L3243"/>
    </row>
    <row r="3244" spans="1:12" ht="14.4" customHeight="1" x14ac:dyDescent="0.3">
      <c r="A3244"/>
      <c r="L3244"/>
    </row>
    <row r="3245" spans="1:12" ht="14.4" customHeight="1" x14ac:dyDescent="0.3">
      <c r="A3245"/>
      <c r="L3245"/>
    </row>
    <row r="3246" spans="1:12" ht="14.4" customHeight="1" x14ac:dyDescent="0.3">
      <c r="A3246"/>
      <c r="L3246"/>
    </row>
    <row r="3247" spans="1:12" ht="14.4" customHeight="1" x14ac:dyDescent="0.3">
      <c r="A3247"/>
      <c r="L3247"/>
    </row>
    <row r="3248" spans="1:12" ht="14.4" customHeight="1" x14ac:dyDescent="0.3">
      <c r="A3248"/>
      <c r="L3248"/>
    </row>
    <row r="3249" spans="1:12" ht="14.4" customHeight="1" x14ac:dyDescent="0.3">
      <c r="A3249"/>
      <c r="L3249"/>
    </row>
    <row r="3250" spans="1:12" ht="14.4" customHeight="1" x14ac:dyDescent="0.3">
      <c r="A3250"/>
      <c r="L3250"/>
    </row>
    <row r="3251" spans="1:12" ht="14.4" customHeight="1" x14ac:dyDescent="0.3">
      <c r="A3251"/>
      <c r="L3251"/>
    </row>
    <row r="3252" spans="1:12" ht="14.4" customHeight="1" x14ac:dyDescent="0.3">
      <c r="A3252"/>
      <c r="L3252"/>
    </row>
    <row r="3253" spans="1:12" ht="14.4" customHeight="1" x14ac:dyDescent="0.3">
      <c r="A3253"/>
      <c r="L3253"/>
    </row>
    <row r="3254" spans="1:12" ht="14.4" customHeight="1" x14ac:dyDescent="0.3">
      <c r="A3254"/>
      <c r="L3254"/>
    </row>
    <row r="3255" spans="1:12" ht="14.4" customHeight="1" x14ac:dyDescent="0.3">
      <c r="A3255"/>
      <c r="L3255"/>
    </row>
    <row r="3256" spans="1:12" ht="14.4" customHeight="1" x14ac:dyDescent="0.3">
      <c r="A3256"/>
      <c r="L3256"/>
    </row>
    <row r="3257" spans="1:12" ht="14.4" customHeight="1" x14ac:dyDescent="0.3">
      <c r="A3257"/>
      <c r="L3257"/>
    </row>
    <row r="3258" spans="1:12" ht="14.4" customHeight="1" x14ac:dyDescent="0.3">
      <c r="A3258"/>
      <c r="L3258"/>
    </row>
    <row r="3259" spans="1:12" ht="14.4" customHeight="1" x14ac:dyDescent="0.3">
      <c r="A3259"/>
      <c r="L3259"/>
    </row>
    <row r="3260" spans="1:12" ht="14.4" customHeight="1" x14ac:dyDescent="0.3">
      <c r="A3260"/>
      <c r="L3260"/>
    </row>
    <row r="3261" spans="1:12" ht="14.4" customHeight="1" x14ac:dyDescent="0.3">
      <c r="A3261"/>
      <c r="L3261"/>
    </row>
    <row r="3262" spans="1:12" ht="14.4" customHeight="1" x14ac:dyDescent="0.3">
      <c r="A3262"/>
      <c r="L3262"/>
    </row>
    <row r="3263" spans="1:12" ht="14.4" customHeight="1" x14ac:dyDescent="0.3">
      <c r="A3263"/>
      <c r="L3263"/>
    </row>
    <row r="3264" spans="1:12" ht="14.4" customHeight="1" x14ac:dyDescent="0.3">
      <c r="A3264"/>
      <c r="L3264"/>
    </row>
    <row r="3265" spans="1:12" ht="14.4" customHeight="1" x14ac:dyDescent="0.3">
      <c r="A3265"/>
      <c r="L3265"/>
    </row>
    <row r="3266" spans="1:12" ht="14.4" customHeight="1" x14ac:dyDescent="0.3">
      <c r="A3266"/>
      <c r="L3266"/>
    </row>
    <row r="3267" spans="1:12" ht="14.4" customHeight="1" x14ac:dyDescent="0.3">
      <c r="A3267"/>
      <c r="L3267"/>
    </row>
    <row r="3268" spans="1:12" ht="14.4" customHeight="1" x14ac:dyDescent="0.3">
      <c r="A3268"/>
      <c r="L3268"/>
    </row>
    <row r="3269" spans="1:12" ht="14.4" customHeight="1" x14ac:dyDescent="0.3">
      <c r="A3269"/>
      <c r="L3269"/>
    </row>
    <row r="3270" spans="1:12" ht="14.4" customHeight="1" x14ac:dyDescent="0.3">
      <c r="A3270"/>
      <c r="L3270"/>
    </row>
    <row r="3271" spans="1:12" ht="14.4" customHeight="1" x14ac:dyDescent="0.3">
      <c r="A3271"/>
      <c r="L3271"/>
    </row>
    <row r="3272" spans="1:12" ht="14.4" customHeight="1" x14ac:dyDescent="0.3">
      <c r="A3272"/>
      <c r="L3272"/>
    </row>
    <row r="3273" spans="1:12" ht="14.4" customHeight="1" x14ac:dyDescent="0.3">
      <c r="A3273"/>
      <c r="L3273"/>
    </row>
    <row r="3274" spans="1:12" ht="14.4" customHeight="1" x14ac:dyDescent="0.3">
      <c r="A3274"/>
      <c r="L3274"/>
    </row>
    <row r="3275" spans="1:12" ht="14.4" customHeight="1" x14ac:dyDescent="0.3">
      <c r="A3275"/>
      <c r="L3275"/>
    </row>
    <row r="3276" spans="1:12" ht="14.4" customHeight="1" x14ac:dyDescent="0.3">
      <c r="A3276"/>
      <c r="L3276"/>
    </row>
    <row r="3277" spans="1:12" ht="14.4" customHeight="1" x14ac:dyDescent="0.3">
      <c r="A3277"/>
      <c r="L3277"/>
    </row>
    <row r="3278" spans="1:12" ht="14.4" customHeight="1" x14ac:dyDescent="0.3">
      <c r="A3278"/>
      <c r="L3278"/>
    </row>
    <row r="3279" spans="1:12" ht="14.4" customHeight="1" x14ac:dyDescent="0.3">
      <c r="A3279"/>
      <c r="L3279"/>
    </row>
    <row r="3280" spans="1:12" ht="14.4" customHeight="1" x14ac:dyDescent="0.3">
      <c r="A3280"/>
      <c r="L3280"/>
    </row>
    <row r="3281" spans="1:12" ht="14.4" customHeight="1" x14ac:dyDescent="0.3">
      <c r="A3281"/>
      <c r="L3281"/>
    </row>
    <row r="3282" spans="1:12" ht="14.4" customHeight="1" x14ac:dyDescent="0.3">
      <c r="A3282"/>
      <c r="L3282"/>
    </row>
    <row r="3283" spans="1:12" ht="14.4" customHeight="1" x14ac:dyDescent="0.3">
      <c r="A3283"/>
      <c r="L3283"/>
    </row>
    <row r="3284" spans="1:12" ht="14.4" customHeight="1" x14ac:dyDescent="0.3">
      <c r="A3284"/>
      <c r="L3284"/>
    </row>
    <row r="3285" spans="1:12" ht="14.4" customHeight="1" x14ac:dyDescent="0.3">
      <c r="A3285"/>
      <c r="L3285"/>
    </row>
    <row r="3286" spans="1:12" ht="14.4" customHeight="1" x14ac:dyDescent="0.3">
      <c r="A3286"/>
      <c r="L3286"/>
    </row>
    <row r="3287" spans="1:12" ht="14.4" customHeight="1" x14ac:dyDescent="0.3">
      <c r="A3287"/>
      <c r="L3287"/>
    </row>
    <row r="3288" spans="1:12" ht="14.4" customHeight="1" x14ac:dyDescent="0.3">
      <c r="A3288"/>
      <c r="L3288"/>
    </row>
    <row r="3289" spans="1:12" ht="14.4" customHeight="1" x14ac:dyDescent="0.3">
      <c r="A3289"/>
      <c r="L3289"/>
    </row>
    <row r="3290" spans="1:12" ht="14.4" customHeight="1" x14ac:dyDescent="0.3">
      <c r="A3290"/>
      <c r="L3290"/>
    </row>
    <row r="3291" spans="1:12" ht="14.4" customHeight="1" x14ac:dyDescent="0.3">
      <c r="A3291"/>
      <c r="L3291"/>
    </row>
    <row r="3292" spans="1:12" ht="14.4" customHeight="1" x14ac:dyDescent="0.3">
      <c r="A3292"/>
      <c r="L3292"/>
    </row>
    <row r="3293" spans="1:12" ht="14.4" customHeight="1" x14ac:dyDescent="0.3">
      <c r="A3293"/>
      <c r="L3293"/>
    </row>
    <row r="3294" spans="1:12" ht="14.4" customHeight="1" x14ac:dyDescent="0.3">
      <c r="A3294"/>
      <c r="L3294"/>
    </row>
    <row r="3295" spans="1:12" ht="14.4" customHeight="1" x14ac:dyDescent="0.3">
      <c r="A3295"/>
      <c r="L3295"/>
    </row>
    <row r="3296" spans="1:12" ht="14.4" customHeight="1" x14ac:dyDescent="0.3">
      <c r="A3296"/>
      <c r="L3296"/>
    </row>
    <row r="3297" spans="1:12" ht="14.4" customHeight="1" x14ac:dyDescent="0.3">
      <c r="A3297"/>
      <c r="L3297"/>
    </row>
    <row r="3298" spans="1:12" ht="14.4" customHeight="1" x14ac:dyDescent="0.3">
      <c r="A3298"/>
      <c r="L3298"/>
    </row>
    <row r="3299" spans="1:12" ht="14.4" customHeight="1" x14ac:dyDescent="0.3">
      <c r="A3299"/>
      <c r="L3299"/>
    </row>
    <row r="3300" spans="1:12" ht="14.4" customHeight="1" x14ac:dyDescent="0.3">
      <c r="A3300"/>
      <c r="L3300"/>
    </row>
    <row r="3301" spans="1:12" ht="14.4" customHeight="1" x14ac:dyDescent="0.3">
      <c r="A3301"/>
      <c r="L3301"/>
    </row>
    <row r="3302" spans="1:12" ht="14.4" customHeight="1" x14ac:dyDescent="0.3">
      <c r="A3302"/>
      <c r="L3302"/>
    </row>
    <row r="3303" spans="1:12" ht="14.4" customHeight="1" x14ac:dyDescent="0.3">
      <c r="A3303"/>
      <c r="L3303"/>
    </row>
    <row r="3304" spans="1:12" ht="14.4" customHeight="1" x14ac:dyDescent="0.3">
      <c r="A3304"/>
      <c r="L3304"/>
    </row>
    <row r="3305" spans="1:12" ht="14.4" customHeight="1" x14ac:dyDescent="0.3">
      <c r="A3305"/>
      <c r="L3305"/>
    </row>
    <row r="3306" spans="1:12" ht="14.4" customHeight="1" x14ac:dyDescent="0.3">
      <c r="A3306"/>
      <c r="L3306"/>
    </row>
    <row r="3307" spans="1:12" ht="14.4" customHeight="1" x14ac:dyDescent="0.3">
      <c r="A3307"/>
      <c r="L3307"/>
    </row>
    <row r="3308" spans="1:12" ht="14.4" customHeight="1" x14ac:dyDescent="0.3">
      <c r="A3308"/>
      <c r="L3308"/>
    </row>
    <row r="3309" spans="1:12" ht="14.4" customHeight="1" x14ac:dyDescent="0.3">
      <c r="A3309"/>
      <c r="L3309"/>
    </row>
    <row r="3310" spans="1:12" ht="14.4" customHeight="1" x14ac:dyDescent="0.3">
      <c r="A3310"/>
      <c r="L3310"/>
    </row>
    <row r="3311" spans="1:12" ht="14.4" customHeight="1" x14ac:dyDescent="0.3">
      <c r="A3311"/>
      <c r="L3311"/>
    </row>
    <row r="3312" spans="1:12" ht="14.4" customHeight="1" x14ac:dyDescent="0.3">
      <c r="A3312"/>
      <c r="L3312"/>
    </row>
    <row r="3313" spans="1:12" ht="14.4" customHeight="1" x14ac:dyDescent="0.3">
      <c r="A3313"/>
      <c r="L3313"/>
    </row>
    <row r="3314" spans="1:12" ht="14.4" customHeight="1" x14ac:dyDescent="0.3">
      <c r="A3314"/>
      <c r="L3314"/>
    </row>
    <row r="3315" spans="1:12" ht="14.4" customHeight="1" x14ac:dyDescent="0.3">
      <c r="A3315"/>
      <c r="L3315"/>
    </row>
    <row r="3316" spans="1:12" ht="14.4" customHeight="1" x14ac:dyDescent="0.3">
      <c r="A3316"/>
      <c r="L3316"/>
    </row>
    <row r="3317" spans="1:12" ht="14.4" customHeight="1" x14ac:dyDescent="0.3">
      <c r="A3317"/>
      <c r="L3317"/>
    </row>
    <row r="3318" spans="1:12" ht="14.4" customHeight="1" x14ac:dyDescent="0.3">
      <c r="A3318"/>
      <c r="L3318"/>
    </row>
    <row r="3319" spans="1:12" ht="14.4" customHeight="1" x14ac:dyDescent="0.3">
      <c r="A3319"/>
      <c r="L3319"/>
    </row>
    <row r="3320" spans="1:12" ht="14.4" customHeight="1" x14ac:dyDescent="0.3">
      <c r="A3320"/>
      <c r="L3320"/>
    </row>
    <row r="3321" spans="1:12" ht="14.4" customHeight="1" x14ac:dyDescent="0.3">
      <c r="A3321"/>
      <c r="L3321"/>
    </row>
    <row r="3322" spans="1:12" ht="14.4" customHeight="1" x14ac:dyDescent="0.3">
      <c r="A3322"/>
      <c r="L3322"/>
    </row>
    <row r="3323" spans="1:12" ht="14.4" customHeight="1" x14ac:dyDescent="0.3">
      <c r="A3323"/>
      <c r="L3323"/>
    </row>
    <row r="3324" spans="1:12" ht="14.4" customHeight="1" x14ac:dyDescent="0.3">
      <c r="A3324"/>
      <c r="L3324"/>
    </row>
    <row r="3325" spans="1:12" ht="14.4" customHeight="1" x14ac:dyDescent="0.3">
      <c r="A3325"/>
      <c r="L3325"/>
    </row>
    <row r="3326" spans="1:12" ht="14.4" customHeight="1" x14ac:dyDescent="0.3">
      <c r="A3326"/>
      <c r="L3326"/>
    </row>
    <row r="3327" spans="1:12" ht="14.4" customHeight="1" x14ac:dyDescent="0.3">
      <c r="A3327"/>
      <c r="L3327"/>
    </row>
    <row r="3328" spans="1:12" ht="14.4" customHeight="1" x14ac:dyDescent="0.3">
      <c r="A3328"/>
      <c r="L3328"/>
    </row>
    <row r="3329" spans="1:12" ht="14.4" customHeight="1" x14ac:dyDescent="0.3">
      <c r="A3329"/>
      <c r="L3329"/>
    </row>
    <row r="3330" spans="1:12" ht="14.4" customHeight="1" x14ac:dyDescent="0.3">
      <c r="A3330"/>
      <c r="L3330"/>
    </row>
    <row r="3331" spans="1:12" ht="14.4" customHeight="1" x14ac:dyDescent="0.3">
      <c r="A3331"/>
      <c r="L3331"/>
    </row>
    <row r="3332" spans="1:12" ht="14.4" customHeight="1" x14ac:dyDescent="0.3">
      <c r="A3332"/>
      <c r="L3332"/>
    </row>
    <row r="3333" spans="1:12" ht="14.4" customHeight="1" x14ac:dyDescent="0.3">
      <c r="A3333"/>
      <c r="L3333"/>
    </row>
    <row r="3334" spans="1:12" ht="14.4" customHeight="1" x14ac:dyDescent="0.3">
      <c r="A3334"/>
      <c r="L3334"/>
    </row>
    <row r="3335" spans="1:12" ht="14.4" customHeight="1" x14ac:dyDescent="0.3">
      <c r="A3335"/>
      <c r="L3335"/>
    </row>
    <row r="3336" spans="1:12" ht="14.4" customHeight="1" x14ac:dyDescent="0.3">
      <c r="A3336"/>
      <c r="L3336"/>
    </row>
    <row r="3337" spans="1:12" ht="14.4" customHeight="1" x14ac:dyDescent="0.3">
      <c r="A3337"/>
      <c r="L3337"/>
    </row>
    <row r="3338" spans="1:12" ht="14.4" customHeight="1" x14ac:dyDescent="0.3">
      <c r="A3338"/>
      <c r="L3338"/>
    </row>
    <row r="3339" spans="1:12" ht="14.4" customHeight="1" x14ac:dyDescent="0.3">
      <c r="A3339"/>
      <c r="L3339"/>
    </row>
    <row r="3340" spans="1:12" ht="14.4" customHeight="1" x14ac:dyDescent="0.3">
      <c r="A3340"/>
      <c r="L3340"/>
    </row>
    <row r="3341" spans="1:12" ht="14.4" customHeight="1" x14ac:dyDescent="0.3">
      <c r="A3341"/>
      <c r="L3341"/>
    </row>
    <row r="3342" spans="1:12" ht="14.4" customHeight="1" x14ac:dyDescent="0.3">
      <c r="A3342"/>
      <c r="L3342"/>
    </row>
    <row r="3343" spans="1:12" ht="14.4" customHeight="1" x14ac:dyDescent="0.3">
      <c r="A3343"/>
      <c r="L3343"/>
    </row>
    <row r="3344" spans="1:12" ht="14.4" customHeight="1" x14ac:dyDescent="0.3">
      <c r="A3344"/>
      <c r="L3344"/>
    </row>
    <row r="3345" spans="1:12" ht="14.4" customHeight="1" x14ac:dyDescent="0.3">
      <c r="A3345"/>
      <c r="L3345"/>
    </row>
    <row r="3346" spans="1:12" ht="14.4" customHeight="1" x14ac:dyDescent="0.3">
      <c r="A3346"/>
      <c r="L3346"/>
    </row>
    <row r="3347" spans="1:12" ht="14.4" customHeight="1" x14ac:dyDescent="0.3">
      <c r="A3347"/>
      <c r="L3347"/>
    </row>
    <row r="3348" spans="1:12" ht="14.4" customHeight="1" x14ac:dyDescent="0.3">
      <c r="A3348"/>
      <c r="L3348"/>
    </row>
    <row r="3349" spans="1:12" ht="14.4" customHeight="1" x14ac:dyDescent="0.3">
      <c r="A3349"/>
      <c r="L3349"/>
    </row>
    <row r="3350" spans="1:12" ht="14.4" customHeight="1" x14ac:dyDescent="0.3">
      <c r="A3350"/>
      <c r="L3350"/>
    </row>
    <row r="3351" spans="1:12" ht="14.4" customHeight="1" x14ac:dyDescent="0.3">
      <c r="A3351"/>
      <c r="L3351"/>
    </row>
    <row r="3352" spans="1:12" ht="14.4" customHeight="1" x14ac:dyDescent="0.3">
      <c r="A3352"/>
      <c r="L3352"/>
    </row>
    <row r="3353" spans="1:12" ht="14.4" customHeight="1" x14ac:dyDescent="0.3">
      <c r="A3353"/>
      <c r="L3353"/>
    </row>
    <row r="3354" spans="1:12" ht="14.4" customHeight="1" x14ac:dyDescent="0.3">
      <c r="A3354"/>
      <c r="L3354"/>
    </row>
    <row r="3355" spans="1:12" ht="14.4" customHeight="1" x14ac:dyDescent="0.3">
      <c r="A3355"/>
      <c r="L3355"/>
    </row>
    <row r="3356" spans="1:12" ht="14.4" customHeight="1" x14ac:dyDescent="0.3">
      <c r="A3356"/>
      <c r="L3356"/>
    </row>
    <row r="3357" spans="1:12" ht="14.4" customHeight="1" x14ac:dyDescent="0.3">
      <c r="A3357"/>
      <c r="L3357"/>
    </row>
    <row r="3358" spans="1:12" ht="14.4" customHeight="1" x14ac:dyDescent="0.3">
      <c r="A3358"/>
      <c r="L3358"/>
    </row>
    <row r="3359" spans="1:12" ht="14.4" customHeight="1" x14ac:dyDescent="0.3">
      <c r="A3359"/>
      <c r="L3359"/>
    </row>
    <row r="3360" spans="1:12" ht="14.4" customHeight="1" x14ac:dyDescent="0.3">
      <c r="A3360"/>
      <c r="L3360"/>
    </row>
    <row r="3361" spans="1:12" ht="14.4" customHeight="1" x14ac:dyDescent="0.3">
      <c r="A3361"/>
      <c r="L3361"/>
    </row>
    <row r="3362" spans="1:12" ht="14.4" customHeight="1" x14ac:dyDescent="0.3">
      <c r="A3362"/>
      <c r="L3362"/>
    </row>
    <row r="3363" spans="1:12" ht="14.4" customHeight="1" x14ac:dyDescent="0.3">
      <c r="A3363"/>
      <c r="L3363"/>
    </row>
    <row r="3364" spans="1:12" ht="14.4" customHeight="1" x14ac:dyDescent="0.3">
      <c r="A3364"/>
      <c r="L3364"/>
    </row>
    <row r="3365" spans="1:12" ht="14.4" customHeight="1" x14ac:dyDescent="0.3">
      <c r="A3365"/>
      <c r="L3365"/>
    </row>
    <row r="3366" spans="1:12" ht="14.4" customHeight="1" x14ac:dyDescent="0.3">
      <c r="A3366"/>
      <c r="L3366"/>
    </row>
    <row r="3367" spans="1:12" ht="14.4" customHeight="1" x14ac:dyDescent="0.3">
      <c r="A3367"/>
      <c r="L3367"/>
    </row>
    <row r="3368" spans="1:12" ht="14.4" customHeight="1" x14ac:dyDescent="0.3">
      <c r="A3368"/>
      <c r="L3368"/>
    </row>
    <row r="3369" spans="1:12" ht="14.4" customHeight="1" x14ac:dyDescent="0.3">
      <c r="A3369"/>
      <c r="L3369"/>
    </row>
    <row r="3370" spans="1:12" ht="14.4" customHeight="1" x14ac:dyDescent="0.3">
      <c r="A3370"/>
      <c r="L3370"/>
    </row>
    <row r="3371" spans="1:12" ht="14.4" customHeight="1" x14ac:dyDescent="0.3">
      <c r="A3371"/>
      <c r="L3371"/>
    </row>
    <row r="3372" spans="1:12" ht="14.4" customHeight="1" x14ac:dyDescent="0.3">
      <c r="A3372"/>
      <c r="L3372"/>
    </row>
    <row r="3373" spans="1:12" ht="14.4" customHeight="1" x14ac:dyDescent="0.3">
      <c r="A3373"/>
      <c r="L3373"/>
    </row>
    <row r="3374" spans="1:12" ht="14.4" customHeight="1" x14ac:dyDescent="0.3">
      <c r="A3374"/>
      <c r="L3374"/>
    </row>
    <row r="3375" spans="1:12" ht="14.4" customHeight="1" x14ac:dyDescent="0.3">
      <c r="A3375"/>
      <c r="L3375"/>
    </row>
    <row r="3376" spans="1:12" ht="14.4" customHeight="1" x14ac:dyDescent="0.3">
      <c r="A3376"/>
      <c r="L3376"/>
    </row>
    <row r="3377" spans="1:12" ht="14.4" customHeight="1" x14ac:dyDescent="0.3">
      <c r="A3377"/>
      <c r="L3377"/>
    </row>
    <row r="3378" spans="1:12" ht="14.4" customHeight="1" x14ac:dyDescent="0.3">
      <c r="A3378"/>
      <c r="L3378"/>
    </row>
    <row r="3379" spans="1:12" ht="14.4" customHeight="1" x14ac:dyDescent="0.3">
      <c r="A3379"/>
      <c r="L3379"/>
    </row>
    <row r="3380" spans="1:12" ht="14.4" customHeight="1" x14ac:dyDescent="0.3">
      <c r="A3380"/>
      <c r="L3380"/>
    </row>
    <row r="3381" spans="1:12" ht="14.4" customHeight="1" x14ac:dyDescent="0.3">
      <c r="A3381"/>
      <c r="L3381"/>
    </row>
    <row r="3382" spans="1:12" ht="14.4" customHeight="1" x14ac:dyDescent="0.3">
      <c r="A3382"/>
      <c r="L3382"/>
    </row>
    <row r="3383" spans="1:12" ht="14.4" customHeight="1" x14ac:dyDescent="0.3">
      <c r="A3383"/>
      <c r="L3383"/>
    </row>
    <row r="3384" spans="1:12" ht="14.4" customHeight="1" x14ac:dyDescent="0.3">
      <c r="A3384"/>
      <c r="L3384"/>
    </row>
    <row r="3385" spans="1:12" ht="14.4" customHeight="1" x14ac:dyDescent="0.3">
      <c r="A3385"/>
      <c r="L3385"/>
    </row>
    <row r="3386" spans="1:12" ht="14.4" customHeight="1" x14ac:dyDescent="0.3">
      <c r="A3386"/>
      <c r="L3386"/>
    </row>
    <row r="3387" spans="1:12" ht="14.4" customHeight="1" x14ac:dyDescent="0.3">
      <c r="A3387"/>
      <c r="L3387"/>
    </row>
    <row r="3388" spans="1:12" ht="14.4" customHeight="1" x14ac:dyDescent="0.3">
      <c r="A3388"/>
      <c r="L3388"/>
    </row>
    <row r="3389" spans="1:12" ht="14.4" customHeight="1" x14ac:dyDescent="0.3">
      <c r="A3389"/>
      <c r="L3389"/>
    </row>
    <row r="3390" spans="1:12" ht="14.4" customHeight="1" x14ac:dyDescent="0.3">
      <c r="A3390"/>
      <c r="L3390"/>
    </row>
    <row r="3391" spans="1:12" ht="14.4" customHeight="1" x14ac:dyDescent="0.3">
      <c r="A3391"/>
      <c r="L3391"/>
    </row>
    <row r="3392" spans="1:12" ht="14.4" customHeight="1" x14ac:dyDescent="0.3">
      <c r="A3392"/>
      <c r="L3392"/>
    </row>
    <row r="3393" spans="1:12" ht="14.4" customHeight="1" x14ac:dyDescent="0.3">
      <c r="A3393"/>
      <c r="L3393"/>
    </row>
    <row r="3394" spans="1:12" ht="14.4" customHeight="1" x14ac:dyDescent="0.3">
      <c r="A3394"/>
      <c r="L3394"/>
    </row>
    <row r="3395" spans="1:12" ht="14.4" customHeight="1" x14ac:dyDescent="0.3">
      <c r="A3395"/>
      <c r="L3395"/>
    </row>
    <row r="3396" spans="1:12" ht="14.4" customHeight="1" x14ac:dyDescent="0.3">
      <c r="A3396"/>
      <c r="L3396"/>
    </row>
    <row r="3397" spans="1:12" ht="14.4" customHeight="1" x14ac:dyDescent="0.3">
      <c r="A3397"/>
      <c r="L3397"/>
    </row>
    <row r="3398" spans="1:12" ht="14.4" customHeight="1" x14ac:dyDescent="0.3">
      <c r="A3398"/>
      <c r="L3398"/>
    </row>
    <row r="3399" spans="1:12" ht="14.4" customHeight="1" x14ac:dyDescent="0.3">
      <c r="A3399"/>
      <c r="L3399"/>
    </row>
    <row r="3400" spans="1:12" ht="14.4" customHeight="1" x14ac:dyDescent="0.3">
      <c r="A3400"/>
      <c r="L3400"/>
    </row>
    <row r="3401" spans="1:12" ht="14.4" customHeight="1" x14ac:dyDescent="0.3">
      <c r="A3401"/>
      <c r="L3401"/>
    </row>
    <row r="3402" spans="1:12" ht="14.4" customHeight="1" x14ac:dyDescent="0.3">
      <c r="A3402"/>
      <c r="L3402"/>
    </row>
    <row r="3403" spans="1:12" ht="14.4" customHeight="1" x14ac:dyDescent="0.3">
      <c r="A3403"/>
      <c r="L3403"/>
    </row>
    <row r="3404" spans="1:12" ht="14.4" customHeight="1" x14ac:dyDescent="0.3">
      <c r="A3404"/>
      <c r="L3404"/>
    </row>
    <row r="3405" spans="1:12" ht="14.4" customHeight="1" x14ac:dyDescent="0.3">
      <c r="A3405"/>
      <c r="L3405"/>
    </row>
    <row r="3406" spans="1:12" ht="14.4" customHeight="1" x14ac:dyDescent="0.3">
      <c r="A3406"/>
      <c r="L3406"/>
    </row>
    <row r="3407" spans="1:12" ht="14.4" customHeight="1" x14ac:dyDescent="0.3">
      <c r="A3407"/>
      <c r="L3407"/>
    </row>
    <row r="3408" spans="1:12" ht="14.4" customHeight="1" x14ac:dyDescent="0.3">
      <c r="A3408"/>
      <c r="L3408"/>
    </row>
    <row r="3409" spans="1:12" ht="14.4" customHeight="1" x14ac:dyDescent="0.3">
      <c r="A3409"/>
      <c r="L3409"/>
    </row>
    <row r="3410" spans="1:12" ht="14.4" customHeight="1" x14ac:dyDescent="0.3">
      <c r="A3410"/>
      <c r="L3410"/>
    </row>
    <row r="3411" spans="1:12" ht="14.4" customHeight="1" x14ac:dyDescent="0.3">
      <c r="A3411"/>
      <c r="L3411"/>
    </row>
    <row r="3412" spans="1:12" ht="14.4" customHeight="1" x14ac:dyDescent="0.3">
      <c r="A3412"/>
      <c r="L3412"/>
    </row>
    <row r="3413" spans="1:12" ht="14.4" customHeight="1" x14ac:dyDescent="0.3">
      <c r="A3413"/>
      <c r="L3413"/>
    </row>
    <row r="3414" spans="1:12" ht="14.4" customHeight="1" x14ac:dyDescent="0.3">
      <c r="A3414"/>
      <c r="L3414"/>
    </row>
    <row r="3415" spans="1:12" ht="14.4" customHeight="1" x14ac:dyDescent="0.3">
      <c r="A3415"/>
      <c r="L3415"/>
    </row>
    <row r="3416" spans="1:12" ht="14.4" customHeight="1" x14ac:dyDescent="0.3">
      <c r="A3416"/>
      <c r="L3416"/>
    </row>
    <row r="3417" spans="1:12" ht="14.4" customHeight="1" x14ac:dyDescent="0.3">
      <c r="A3417"/>
      <c r="L3417"/>
    </row>
    <row r="3418" spans="1:12" ht="14.4" customHeight="1" x14ac:dyDescent="0.3">
      <c r="A3418"/>
      <c r="L3418"/>
    </row>
    <row r="3419" spans="1:12" ht="14.4" customHeight="1" x14ac:dyDescent="0.3">
      <c r="A3419"/>
      <c r="L3419"/>
    </row>
    <row r="3420" spans="1:12" ht="14.4" customHeight="1" x14ac:dyDescent="0.3">
      <c r="A3420"/>
      <c r="L3420"/>
    </row>
    <row r="3421" spans="1:12" ht="14.4" customHeight="1" x14ac:dyDescent="0.3">
      <c r="A3421"/>
      <c r="L3421"/>
    </row>
    <row r="3422" spans="1:12" ht="14.4" customHeight="1" x14ac:dyDescent="0.3">
      <c r="A3422"/>
      <c r="L3422"/>
    </row>
    <row r="3423" spans="1:12" ht="14.4" customHeight="1" x14ac:dyDescent="0.3">
      <c r="A3423"/>
      <c r="L3423"/>
    </row>
    <row r="3424" spans="1:12" ht="14.4" customHeight="1" x14ac:dyDescent="0.3">
      <c r="A3424"/>
      <c r="L3424"/>
    </row>
    <row r="3425" spans="1:12" ht="14.4" customHeight="1" x14ac:dyDescent="0.3">
      <c r="A3425"/>
      <c r="L3425"/>
    </row>
    <row r="3426" spans="1:12" ht="14.4" customHeight="1" x14ac:dyDescent="0.3">
      <c r="A3426"/>
      <c r="L3426"/>
    </row>
    <row r="3427" spans="1:12" ht="14.4" customHeight="1" x14ac:dyDescent="0.3">
      <c r="A3427"/>
      <c r="L3427"/>
    </row>
    <row r="3428" spans="1:12" ht="14.4" customHeight="1" x14ac:dyDescent="0.3">
      <c r="A3428"/>
      <c r="L3428"/>
    </row>
    <row r="3429" spans="1:12" ht="14.4" customHeight="1" x14ac:dyDescent="0.3">
      <c r="A3429"/>
      <c r="L3429"/>
    </row>
    <row r="3430" spans="1:12" ht="14.4" customHeight="1" x14ac:dyDescent="0.3">
      <c r="A3430"/>
      <c r="L3430"/>
    </row>
    <row r="3431" spans="1:12" ht="14.4" customHeight="1" x14ac:dyDescent="0.3">
      <c r="A3431"/>
      <c r="L3431"/>
    </row>
    <row r="3432" spans="1:12" ht="14.4" customHeight="1" x14ac:dyDescent="0.3">
      <c r="A3432"/>
      <c r="L3432"/>
    </row>
    <row r="3433" spans="1:12" ht="14.4" customHeight="1" x14ac:dyDescent="0.3">
      <c r="A3433"/>
      <c r="L3433"/>
    </row>
    <row r="3434" spans="1:12" ht="14.4" customHeight="1" x14ac:dyDescent="0.3">
      <c r="A3434"/>
      <c r="L3434"/>
    </row>
    <row r="3435" spans="1:12" ht="14.4" customHeight="1" x14ac:dyDescent="0.3">
      <c r="A3435"/>
      <c r="L3435"/>
    </row>
    <row r="3436" spans="1:12" ht="14.4" customHeight="1" x14ac:dyDescent="0.3">
      <c r="A3436"/>
      <c r="L3436"/>
    </row>
    <row r="3437" spans="1:12" ht="14.4" customHeight="1" x14ac:dyDescent="0.3">
      <c r="A3437"/>
      <c r="L3437"/>
    </row>
    <row r="3438" spans="1:12" ht="14.4" customHeight="1" x14ac:dyDescent="0.3">
      <c r="A3438"/>
      <c r="L3438"/>
    </row>
    <row r="3439" spans="1:12" ht="14.4" customHeight="1" x14ac:dyDescent="0.3">
      <c r="A3439"/>
      <c r="L3439"/>
    </row>
    <row r="3440" spans="1:12" ht="14.4" customHeight="1" x14ac:dyDescent="0.3">
      <c r="A3440"/>
      <c r="L3440"/>
    </row>
    <row r="3441" spans="1:12" ht="14.4" customHeight="1" x14ac:dyDescent="0.3">
      <c r="A3441"/>
      <c r="L3441"/>
    </row>
    <row r="3442" spans="1:12" ht="14.4" customHeight="1" x14ac:dyDescent="0.3">
      <c r="A3442"/>
      <c r="L3442"/>
    </row>
    <row r="3443" spans="1:12" ht="14.4" customHeight="1" x14ac:dyDescent="0.3">
      <c r="A3443"/>
      <c r="L3443"/>
    </row>
    <row r="3444" spans="1:12" ht="14.4" customHeight="1" x14ac:dyDescent="0.3">
      <c r="A3444"/>
      <c r="L3444"/>
    </row>
    <row r="3445" spans="1:12" ht="14.4" customHeight="1" x14ac:dyDescent="0.3">
      <c r="A3445"/>
      <c r="L3445"/>
    </row>
    <row r="3446" spans="1:12" ht="14.4" customHeight="1" x14ac:dyDescent="0.3">
      <c r="A3446"/>
      <c r="L3446"/>
    </row>
    <row r="3447" spans="1:12" ht="14.4" customHeight="1" x14ac:dyDescent="0.3">
      <c r="A3447"/>
      <c r="L3447"/>
    </row>
    <row r="3448" spans="1:12" ht="14.4" customHeight="1" x14ac:dyDescent="0.3">
      <c r="A3448"/>
      <c r="L3448"/>
    </row>
    <row r="3449" spans="1:12" ht="14.4" customHeight="1" x14ac:dyDescent="0.3">
      <c r="A3449"/>
      <c r="L3449"/>
    </row>
    <row r="3450" spans="1:12" ht="14.4" customHeight="1" x14ac:dyDescent="0.3">
      <c r="A3450"/>
      <c r="L3450"/>
    </row>
    <row r="3451" spans="1:12" ht="14.4" customHeight="1" x14ac:dyDescent="0.3">
      <c r="A3451"/>
      <c r="L3451"/>
    </row>
    <row r="3452" spans="1:12" ht="14.4" customHeight="1" x14ac:dyDescent="0.3">
      <c r="A3452"/>
      <c r="L3452"/>
    </row>
    <row r="3453" spans="1:12" ht="14.4" customHeight="1" x14ac:dyDescent="0.3">
      <c r="A3453"/>
      <c r="L3453"/>
    </row>
    <row r="3454" spans="1:12" ht="14.4" customHeight="1" x14ac:dyDescent="0.3">
      <c r="A3454"/>
      <c r="L3454"/>
    </row>
    <row r="3455" spans="1:12" ht="14.4" customHeight="1" x14ac:dyDescent="0.3">
      <c r="A3455"/>
      <c r="L3455"/>
    </row>
    <row r="3456" spans="1:12" ht="14.4" customHeight="1" x14ac:dyDescent="0.3">
      <c r="A3456"/>
      <c r="L3456"/>
    </row>
    <row r="3457" spans="1:12" ht="14.4" customHeight="1" x14ac:dyDescent="0.3">
      <c r="A3457"/>
      <c r="L3457"/>
    </row>
    <row r="3458" spans="1:12" ht="14.4" customHeight="1" x14ac:dyDescent="0.3">
      <c r="A3458"/>
      <c r="L3458"/>
    </row>
    <row r="3459" spans="1:12" ht="14.4" customHeight="1" x14ac:dyDescent="0.3">
      <c r="A3459"/>
      <c r="L3459"/>
    </row>
    <row r="3460" spans="1:12" ht="14.4" customHeight="1" x14ac:dyDescent="0.3">
      <c r="A3460"/>
      <c r="L3460"/>
    </row>
    <row r="3461" spans="1:12" ht="14.4" customHeight="1" x14ac:dyDescent="0.3">
      <c r="A3461"/>
      <c r="L3461"/>
    </row>
    <row r="3462" spans="1:12" ht="14.4" customHeight="1" x14ac:dyDescent="0.3">
      <c r="A3462"/>
      <c r="L3462"/>
    </row>
    <row r="3463" spans="1:12" ht="14.4" customHeight="1" x14ac:dyDescent="0.3">
      <c r="A3463"/>
      <c r="L3463"/>
    </row>
    <row r="3464" spans="1:12" ht="14.4" customHeight="1" x14ac:dyDescent="0.3">
      <c r="A3464"/>
      <c r="L3464"/>
    </row>
    <row r="3465" spans="1:12" ht="14.4" customHeight="1" x14ac:dyDescent="0.3">
      <c r="A3465"/>
      <c r="L3465"/>
    </row>
    <row r="3466" spans="1:12" ht="14.4" customHeight="1" x14ac:dyDescent="0.3">
      <c r="A3466"/>
      <c r="L3466"/>
    </row>
    <row r="3467" spans="1:12" ht="14.4" customHeight="1" x14ac:dyDescent="0.3">
      <c r="A3467"/>
      <c r="L3467"/>
    </row>
    <row r="3468" spans="1:12" ht="14.4" customHeight="1" x14ac:dyDescent="0.3">
      <c r="A3468"/>
      <c r="L3468"/>
    </row>
    <row r="3469" spans="1:12" ht="14.4" customHeight="1" x14ac:dyDescent="0.3">
      <c r="A3469"/>
      <c r="L3469"/>
    </row>
    <row r="3470" spans="1:12" ht="14.4" customHeight="1" x14ac:dyDescent="0.3">
      <c r="A3470"/>
      <c r="L3470"/>
    </row>
    <row r="3471" spans="1:12" ht="14.4" customHeight="1" x14ac:dyDescent="0.3">
      <c r="A3471"/>
      <c r="L3471"/>
    </row>
    <row r="3472" spans="1:12" ht="14.4" customHeight="1" x14ac:dyDescent="0.3">
      <c r="A3472"/>
      <c r="L3472"/>
    </row>
    <row r="3473" spans="1:12" ht="14.4" customHeight="1" x14ac:dyDescent="0.3">
      <c r="A3473"/>
      <c r="L3473"/>
    </row>
    <row r="3474" spans="1:12" ht="14.4" customHeight="1" x14ac:dyDescent="0.3">
      <c r="A3474"/>
      <c r="L3474"/>
    </row>
    <row r="3475" spans="1:12" ht="14.4" customHeight="1" x14ac:dyDescent="0.3">
      <c r="A3475"/>
      <c r="L3475"/>
    </row>
    <row r="3476" spans="1:12" ht="14.4" customHeight="1" x14ac:dyDescent="0.3">
      <c r="A3476"/>
      <c r="L3476"/>
    </row>
    <row r="3477" spans="1:12" ht="14.4" customHeight="1" x14ac:dyDescent="0.3">
      <c r="A3477"/>
      <c r="L3477"/>
    </row>
    <row r="3478" spans="1:12" ht="14.4" customHeight="1" x14ac:dyDescent="0.3">
      <c r="A3478"/>
      <c r="L3478"/>
    </row>
    <row r="3479" spans="1:12" ht="14.4" customHeight="1" x14ac:dyDescent="0.3">
      <c r="A3479"/>
      <c r="L3479"/>
    </row>
    <row r="3480" spans="1:12" ht="14.4" customHeight="1" x14ac:dyDescent="0.3">
      <c r="A3480"/>
      <c r="L3480"/>
    </row>
    <row r="3481" spans="1:12" ht="14.4" customHeight="1" x14ac:dyDescent="0.3">
      <c r="A3481"/>
      <c r="L3481"/>
    </row>
    <row r="3482" spans="1:12" ht="14.4" customHeight="1" x14ac:dyDescent="0.3">
      <c r="A3482"/>
      <c r="L3482"/>
    </row>
    <row r="3483" spans="1:12" ht="14.4" customHeight="1" x14ac:dyDescent="0.3">
      <c r="A3483"/>
      <c r="L3483"/>
    </row>
    <row r="3484" spans="1:12" ht="14.4" customHeight="1" x14ac:dyDescent="0.3">
      <c r="A3484"/>
      <c r="L3484"/>
    </row>
    <row r="3485" spans="1:12" ht="14.4" customHeight="1" x14ac:dyDescent="0.3">
      <c r="A3485"/>
      <c r="L3485"/>
    </row>
    <row r="3486" spans="1:12" ht="14.4" customHeight="1" x14ac:dyDescent="0.3">
      <c r="A3486"/>
      <c r="L3486"/>
    </row>
    <row r="3487" spans="1:12" ht="14.4" customHeight="1" x14ac:dyDescent="0.3">
      <c r="A3487"/>
      <c r="L3487"/>
    </row>
    <row r="3488" spans="1:12" ht="14.4" customHeight="1" x14ac:dyDescent="0.3">
      <c r="A3488"/>
      <c r="L3488"/>
    </row>
    <row r="3489" spans="1:12" ht="14.4" customHeight="1" x14ac:dyDescent="0.3">
      <c r="A3489"/>
      <c r="L3489"/>
    </row>
    <row r="3490" spans="1:12" ht="14.4" customHeight="1" x14ac:dyDescent="0.3">
      <c r="A3490"/>
      <c r="L3490"/>
    </row>
    <row r="3491" spans="1:12" ht="14.4" customHeight="1" x14ac:dyDescent="0.3">
      <c r="A3491"/>
      <c r="L3491"/>
    </row>
    <row r="3492" spans="1:12" ht="14.4" customHeight="1" x14ac:dyDescent="0.3">
      <c r="A3492"/>
      <c r="L3492"/>
    </row>
    <row r="3493" spans="1:12" ht="14.4" customHeight="1" x14ac:dyDescent="0.3">
      <c r="A3493"/>
      <c r="L3493"/>
    </row>
    <row r="3494" spans="1:12" ht="14.4" customHeight="1" x14ac:dyDescent="0.3">
      <c r="A3494"/>
      <c r="L3494"/>
    </row>
    <row r="3495" spans="1:12" ht="14.4" customHeight="1" x14ac:dyDescent="0.3">
      <c r="A3495"/>
      <c r="L3495"/>
    </row>
    <row r="3496" spans="1:12" ht="14.4" customHeight="1" x14ac:dyDescent="0.3">
      <c r="A3496"/>
      <c r="L3496"/>
    </row>
    <row r="3497" spans="1:12" ht="14.4" customHeight="1" x14ac:dyDescent="0.3">
      <c r="A3497"/>
      <c r="L3497"/>
    </row>
    <row r="3498" spans="1:12" ht="14.4" customHeight="1" x14ac:dyDescent="0.3">
      <c r="A3498"/>
      <c r="L3498"/>
    </row>
    <row r="3499" spans="1:12" ht="14.4" customHeight="1" x14ac:dyDescent="0.3">
      <c r="A3499"/>
      <c r="L3499"/>
    </row>
    <row r="3500" spans="1:12" ht="14.4" customHeight="1" x14ac:dyDescent="0.3">
      <c r="A3500"/>
      <c r="L3500"/>
    </row>
    <row r="3501" spans="1:12" ht="14.4" customHeight="1" x14ac:dyDescent="0.3">
      <c r="A3501"/>
      <c r="L3501"/>
    </row>
    <row r="3502" spans="1:12" ht="14.4" customHeight="1" x14ac:dyDescent="0.3">
      <c r="A3502"/>
      <c r="L3502"/>
    </row>
    <row r="3503" spans="1:12" ht="14.4" customHeight="1" x14ac:dyDescent="0.3">
      <c r="A3503"/>
      <c r="L3503"/>
    </row>
    <row r="3504" spans="1:12" ht="14.4" customHeight="1" x14ac:dyDescent="0.3">
      <c r="A3504"/>
      <c r="L3504"/>
    </row>
    <row r="3505" spans="1:12" ht="14.4" customHeight="1" x14ac:dyDescent="0.3">
      <c r="A3505"/>
      <c r="L3505"/>
    </row>
    <row r="3506" spans="1:12" ht="14.4" customHeight="1" x14ac:dyDescent="0.3">
      <c r="A3506"/>
      <c r="L3506"/>
    </row>
    <row r="3507" spans="1:12" ht="14.4" customHeight="1" x14ac:dyDescent="0.3">
      <c r="A3507"/>
      <c r="L3507"/>
    </row>
    <row r="3508" spans="1:12" ht="14.4" customHeight="1" x14ac:dyDescent="0.3">
      <c r="A3508"/>
      <c r="L3508"/>
    </row>
    <row r="3509" spans="1:12" ht="14.4" customHeight="1" x14ac:dyDescent="0.3">
      <c r="A3509"/>
      <c r="L3509"/>
    </row>
    <row r="3510" spans="1:12" ht="14.4" customHeight="1" x14ac:dyDescent="0.3">
      <c r="A3510"/>
      <c r="L3510"/>
    </row>
    <row r="3511" spans="1:12" ht="14.4" customHeight="1" x14ac:dyDescent="0.3">
      <c r="A3511"/>
      <c r="L3511"/>
    </row>
    <row r="3512" spans="1:12" ht="14.4" customHeight="1" x14ac:dyDescent="0.3">
      <c r="A3512"/>
      <c r="L3512"/>
    </row>
    <row r="3513" spans="1:12" ht="14.4" customHeight="1" x14ac:dyDescent="0.3">
      <c r="A3513"/>
      <c r="L3513"/>
    </row>
    <row r="3514" spans="1:12" ht="14.4" customHeight="1" x14ac:dyDescent="0.3">
      <c r="A3514"/>
      <c r="L3514"/>
    </row>
    <row r="3515" spans="1:12" ht="14.4" customHeight="1" x14ac:dyDescent="0.3">
      <c r="A3515"/>
      <c r="L3515"/>
    </row>
    <row r="3516" spans="1:12" ht="14.4" customHeight="1" x14ac:dyDescent="0.3">
      <c r="A3516"/>
      <c r="L3516"/>
    </row>
    <row r="3517" spans="1:12" ht="14.4" customHeight="1" x14ac:dyDescent="0.3">
      <c r="A3517"/>
      <c r="L3517"/>
    </row>
    <row r="3518" spans="1:12" ht="14.4" customHeight="1" x14ac:dyDescent="0.3">
      <c r="A3518"/>
      <c r="L3518"/>
    </row>
    <row r="3519" spans="1:12" ht="14.4" customHeight="1" x14ac:dyDescent="0.3">
      <c r="A3519"/>
      <c r="L3519"/>
    </row>
    <row r="3520" spans="1:12" ht="14.4" customHeight="1" x14ac:dyDescent="0.3">
      <c r="A3520"/>
      <c r="L3520"/>
    </row>
    <row r="3521" spans="1:12" ht="14.4" customHeight="1" x14ac:dyDescent="0.3">
      <c r="A3521"/>
      <c r="L3521"/>
    </row>
    <row r="3522" spans="1:12" ht="14.4" customHeight="1" x14ac:dyDescent="0.3">
      <c r="A3522"/>
      <c r="L3522"/>
    </row>
    <row r="3523" spans="1:12" ht="14.4" customHeight="1" x14ac:dyDescent="0.3">
      <c r="A3523"/>
      <c r="L3523"/>
    </row>
    <row r="3524" spans="1:12" ht="14.4" customHeight="1" x14ac:dyDescent="0.3">
      <c r="A3524"/>
      <c r="L3524"/>
    </row>
    <row r="3525" spans="1:12" ht="14.4" customHeight="1" x14ac:dyDescent="0.3">
      <c r="A3525"/>
      <c r="L3525"/>
    </row>
    <row r="3526" spans="1:12" ht="14.4" customHeight="1" x14ac:dyDescent="0.3">
      <c r="A3526"/>
      <c r="L3526"/>
    </row>
    <row r="3527" spans="1:12" ht="14.4" customHeight="1" x14ac:dyDescent="0.3">
      <c r="A3527"/>
      <c r="L3527"/>
    </row>
    <row r="3528" spans="1:12" ht="14.4" customHeight="1" x14ac:dyDescent="0.3">
      <c r="A3528"/>
      <c r="L3528"/>
    </row>
    <row r="3529" spans="1:12" ht="14.4" customHeight="1" x14ac:dyDescent="0.3">
      <c r="A3529"/>
      <c r="L3529"/>
    </row>
    <row r="3530" spans="1:12" ht="14.4" customHeight="1" x14ac:dyDescent="0.3">
      <c r="A3530"/>
      <c r="L3530"/>
    </row>
    <row r="3531" spans="1:12" ht="14.4" customHeight="1" x14ac:dyDescent="0.3">
      <c r="A3531"/>
      <c r="L3531"/>
    </row>
    <row r="3532" spans="1:12" ht="14.4" customHeight="1" x14ac:dyDescent="0.3">
      <c r="A3532"/>
      <c r="L3532"/>
    </row>
    <row r="3533" spans="1:12" ht="14.4" customHeight="1" x14ac:dyDescent="0.3">
      <c r="A3533"/>
      <c r="L3533"/>
    </row>
    <row r="3534" spans="1:12" ht="14.4" customHeight="1" x14ac:dyDescent="0.3">
      <c r="A3534"/>
      <c r="L3534"/>
    </row>
    <row r="3535" spans="1:12" ht="14.4" customHeight="1" x14ac:dyDescent="0.3">
      <c r="A3535"/>
      <c r="L3535"/>
    </row>
    <row r="3536" spans="1:12" ht="14.4" customHeight="1" x14ac:dyDescent="0.3">
      <c r="A3536"/>
      <c r="L3536"/>
    </row>
    <row r="3537" spans="1:12" ht="14.4" customHeight="1" x14ac:dyDescent="0.3">
      <c r="A3537"/>
      <c r="L3537"/>
    </row>
    <row r="3538" spans="1:12" ht="14.4" customHeight="1" x14ac:dyDescent="0.3">
      <c r="A3538"/>
      <c r="L3538"/>
    </row>
    <row r="3539" spans="1:12" ht="14.4" customHeight="1" x14ac:dyDescent="0.3">
      <c r="A3539"/>
      <c r="L3539"/>
    </row>
    <row r="3540" spans="1:12" ht="14.4" customHeight="1" x14ac:dyDescent="0.3">
      <c r="A3540"/>
      <c r="L3540"/>
    </row>
    <row r="3541" spans="1:12" ht="14.4" customHeight="1" x14ac:dyDescent="0.3">
      <c r="A3541"/>
      <c r="L3541"/>
    </row>
    <row r="3542" spans="1:12" ht="14.4" customHeight="1" x14ac:dyDescent="0.3">
      <c r="A3542"/>
      <c r="L3542"/>
    </row>
    <row r="3543" spans="1:12" ht="14.4" customHeight="1" x14ac:dyDescent="0.3">
      <c r="A3543"/>
      <c r="L3543"/>
    </row>
    <row r="3544" spans="1:12" ht="14.4" customHeight="1" x14ac:dyDescent="0.3">
      <c r="A3544"/>
      <c r="L3544"/>
    </row>
    <row r="3545" spans="1:12" ht="14.4" customHeight="1" x14ac:dyDescent="0.3">
      <c r="A3545"/>
      <c r="L3545"/>
    </row>
    <row r="3546" spans="1:12" ht="14.4" customHeight="1" x14ac:dyDescent="0.3">
      <c r="A3546"/>
      <c r="L3546"/>
    </row>
    <row r="3547" spans="1:12" ht="14.4" customHeight="1" x14ac:dyDescent="0.3">
      <c r="A3547"/>
      <c r="L3547"/>
    </row>
    <row r="3548" spans="1:12" ht="14.4" customHeight="1" x14ac:dyDescent="0.3">
      <c r="A3548"/>
      <c r="L3548"/>
    </row>
    <row r="3549" spans="1:12" ht="14.4" customHeight="1" x14ac:dyDescent="0.3">
      <c r="A3549"/>
      <c r="L3549"/>
    </row>
    <row r="3550" spans="1:12" ht="14.4" customHeight="1" x14ac:dyDescent="0.3">
      <c r="A3550"/>
      <c r="L3550"/>
    </row>
    <row r="3551" spans="1:12" ht="14.4" customHeight="1" x14ac:dyDescent="0.3">
      <c r="A3551"/>
      <c r="L3551"/>
    </row>
    <row r="3552" spans="1:12" ht="14.4" customHeight="1" x14ac:dyDescent="0.3">
      <c r="A3552"/>
      <c r="L3552"/>
    </row>
    <row r="3553" spans="1:12" ht="14.4" customHeight="1" x14ac:dyDescent="0.3">
      <c r="A3553"/>
      <c r="L3553"/>
    </row>
    <row r="3554" spans="1:12" ht="14.4" customHeight="1" x14ac:dyDescent="0.3">
      <c r="A3554"/>
      <c r="L3554"/>
    </row>
    <row r="3555" spans="1:12" ht="14.4" customHeight="1" x14ac:dyDescent="0.3">
      <c r="A3555"/>
      <c r="L3555"/>
    </row>
    <row r="3556" spans="1:12" ht="14.4" customHeight="1" x14ac:dyDescent="0.3">
      <c r="A3556"/>
      <c r="L3556"/>
    </row>
    <row r="3557" spans="1:12" ht="14.4" customHeight="1" x14ac:dyDescent="0.3">
      <c r="A3557"/>
      <c r="L3557"/>
    </row>
    <row r="3558" spans="1:12" ht="14.4" customHeight="1" x14ac:dyDescent="0.3">
      <c r="A3558"/>
      <c r="L3558"/>
    </row>
    <row r="3559" spans="1:12" ht="14.4" customHeight="1" x14ac:dyDescent="0.3">
      <c r="A3559"/>
      <c r="L3559"/>
    </row>
    <row r="3560" spans="1:12" ht="14.4" customHeight="1" x14ac:dyDescent="0.3">
      <c r="A3560"/>
      <c r="L3560"/>
    </row>
    <row r="3561" spans="1:12" ht="14.4" customHeight="1" x14ac:dyDescent="0.3">
      <c r="A3561"/>
      <c r="L3561"/>
    </row>
    <row r="3562" spans="1:12" ht="14.4" customHeight="1" x14ac:dyDescent="0.3">
      <c r="A3562"/>
      <c r="L3562"/>
    </row>
    <row r="3563" spans="1:12" ht="14.4" customHeight="1" x14ac:dyDescent="0.3">
      <c r="A3563"/>
      <c r="L3563"/>
    </row>
    <row r="3564" spans="1:12" ht="14.4" customHeight="1" x14ac:dyDescent="0.3">
      <c r="A3564"/>
      <c r="L3564"/>
    </row>
    <row r="3565" spans="1:12" ht="14.4" customHeight="1" x14ac:dyDescent="0.3">
      <c r="A3565"/>
      <c r="L3565"/>
    </row>
    <row r="3566" spans="1:12" ht="14.4" customHeight="1" x14ac:dyDescent="0.3">
      <c r="A3566"/>
      <c r="L3566"/>
    </row>
    <row r="3567" spans="1:12" ht="14.4" customHeight="1" x14ac:dyDescent="0.3">
      <c r="A3567"/>
      <c r="L3567"/>
    </row>
    <row r="3568" spans="1:12" ht="14.4" customHeight="1" x14ac:dyDescent="0.3">
      <c r="A3568"/>
      <c r="L3568"/>
    </row>
    <row r="3569" spans="1:12" ht="14.4" customHeight="1" x14ac:dyDescent="0.3">
      <c r="A3569"/>
      <c r="L3569"/>
    </row>
    <row r="3570" spans="1:12" ht="14.4" customHeight="1" x14ac:dyDescent="0.3">
      <c r="A3570"/>
      <c r="L3570"/>
    </row>
    <row r="3571" spans="1:12" ht="14.4" customHeight="1" x14ac:dyDescent="0.3">
      <c r="A3571"/>
      <c r="L3571"/>
    </row>
    <row r="3572" spans="1:12" ht="14.4" customHeight="1" x14ac:dyDescent="0.3">
      <c r="A3572"/>
      <c r="L3572"/>
    </row>
    <row r="3573" spans="1:12" ht="14.4" customHeight="1" x14ac:dyDescent="0.3">
      <c r="A3573"/>
      <c r="L3573"/>
    </row>
    <row r="3574" spans="1:12" ht="14.4" customHeight="1" x14ac:dyDescent="0.3">
      <c r="A3574"/>
      <c r="L3574"/>
    </row>
    <row r="3575" spans="1:12" ht="14.4" customHeight="1" x14ac:dyDescent="0.3">
      <c r="A3575"/>
      <c r="L3575"/>
    </row>
    <row r="3576" spans="1:12" ht="14.4" customHeight="1" x14ac:dyDescent="0.3">
      <c r="A3576"/>
      <c r="L3576"/>
    </row>
    <row r="3577" spans="1:12" ht="14.4" customHeight="1" x14ac:dyDescent="0.3">
      <c r="A3577"/>
      <c r="L3577"/>
    </row>
    <row r="3578" spans="1:12" ht="14.4" customHeight="1" x14ac:dyDescent="0.3">
      <c r="A3578"/>
      <c r="L3578"/>
    </row>
    <row r="3579" spans="1:12" ht="14.4" customHeight="1" x14ac:dyDescent="0.3">
      <c r="A3579"/>
      <c r="L3579"/>
    </row>
    <row r="3580" spans="1:12" ht="14.4" customHeight="1" x14ac:dyDescent="0.3">
      <c r="A3580"/>
      <c r="L3580"/>
    </row>
    <row r="3581" spans="1:12" ht="14.4" customHeight="1" x14ac:dyDescent="0.3">
      <c r="A3581"/>
      <c r="L3581"/>
    </row>
    <row r="3582" spans="1:12" ht="14.4" customHeight="1" x14ac:dyDescent="0.3">
      <c r="A3582"/>
      <c r="L3582"/>
    </row>
    <row r="3583" spans="1:12" ht="14.4" customHeight="1" x14ac:dyDescent="0.3">
      <c r="A3583"/>
      <c r="L3583"/>
    </row>
    <row r="3584" spans="1:12" ht="14.4" customHeight="1" x14ac:dyDescent="0.3">
      <c r="A3584"/>
      <c r="L3584"/>
    </row>
    <row r="3585" spans="1:12" ht="14.4" customHeight="1" x14ac:dyDescent="0.3">
      <c r="A3585"/>
      <c r="L3585"/>
    </row>
    <row r="3586" spans="1:12" ht="14.4" customHeight="1" x14ac:dyDescent="0.3">
      <c r="A3586"/>
      <c r="L3586"/>
    </row>
    <row r="3587" spans="1:12" ht="14.4" customHeight="1" x14ac:dyDescent="0.3">
      <c r="A3587"/>
      <c r="L3587"/>
    </row>
    <row r="3588" spans="1:12" ht="14.4" customHeight="1" x14ac:dyDescent="0.3">
      <c r="A3588"/>
      <c r="L3588"/>
    </row>
    <row r="3589" spans="1:12" ht="14.4" customHeight="1" x14ac:dyDescent="0.3">
      <c r="A3589"/>
      <c r="L3589"/>
    </row>
    <row r="3590" spans="1:12" ht="14.4" customHeight="1" x14ac:dyDescent="0.3">
      <c r="A3590"/>
      <c r="L3590"/>
    </row>
    <row r="3591" spans="1:12" ht="14.4" customHeight="1" x14ac:dyDescent="0.3">
      <c r="A3591"/>
      <c r="L3591"/>
    </row>
    <row r="3592" spans="1:12" ht="14.4" customHeight="1" x14ac:dyDescent="0.3">
      <c r="A3592"/>
      <c r="L3592"/>
    </row>
    <row r="3593" spans="1:12" ht="14.4" customHeight="1" x14ac:dyDescent="0.3">
      <c r="A3593"/>
      <c r="L3593"/>
    </row>
    <row r="3594" spans="1:12" ht="14.4" customHeight="1" x14ac:dyDescent="0.3">
      <c r="A3594"/>
      <c r="L3594"/>
    </row>
    <row r="3595" spans="1:12" ht="14.4" customHeight="1" x14ac:dyDescent="0.3">
      <c r="A3595"/>
      <c r="L3595"/>
    </row>
    <row r="3596" spans="1:12" ht="14.4" customHeight="1" x14ac:dyDescent="0.3">
      <c r="A3596"/>
      <c r="L3596"/>
    </row>
    <row r="3597" spans="1:12" ht="14.4" customHeight="1" x14ac:dyDescent="0.3">
      <c r="A3597"/>
      <c r="L3597"/>
    </row>
    <row r="3598" spans="1:12" ht="14.4" customHeight="1" x14ac:dyDescent="0.3">
      <c r="A3598"/>
      <c r="L3598"/>
    </row>
    <row r="3599" spans="1:12" ht="14.4" customHeight="1" x14ac:dyDescent="0.3">
      <c r="A3599"/>
      <c r="L3599"/>
    </row>
    <row r="3600" spans="1:12" ht="14.4" customHeight="1" x14ac:dyDescent="0.3">
      <c r="A3600"/>
      <c r="L3600"/>
    </row>
    <row r="3601" spans="1:12" ht="14.4" customHeight="1" x14ac:dyDescent="0.3">
      <c r="A3601"/>
      <c r="L3601"/>
    </row>
    <row r="3602" spans="1:12" ht="14.4" customHeight="1" x14ac:dyDescent="0.3">
      <c r="A3602"/>
      <c r="L3602"/>
    </row>
    <row r="3603" spans="1:12" ht="14.4" customHeight="1" x14ac:dyDescent="0.3">
      <c r="A3603"/>
      <c r="L3603"/>
    </row>
    <row r="3604" spans="1:12" ht="14.4" customHeight="1" x14ac:dyDescent="0.3">
      <c r="A3604"/>
      <c r="L3604"/>
    </row>
    <row r="3605" spans="1:12" ht="14.4" customHeight="1" x14ac:dyDescent="0.3">
      <c r="A3605"/>
      <c r="L3605"/>
    </row>
    <row r="3606" spans="1:12" ht="14.4" customHeight="1" x14ac:dyDescent="0.3">
      <c r="A3606"/>
      <c r="L3606"/>
    </row>
    <row r="3607" spans="1:12" ht="14.4" customHeight="1" x14ac:dyDescent="0.3">
      <c r="A3607"/>
      <c r="L3607"/>
    </row>
    <row r="3608" spans="1:12" ht="14.4" customHeight="1" x14ac:dyDescent="0.3">
      <c r="A3608"/>
      <c r="L3608"/>
    </row>
    <row r="3609" spans="1:12" ht="14.4" customHeight="1" x14ac:dyDescent="0.3">
      <c r="A3609"/>
      <c r="L3609"/>
    </row>
    <row r="3610" spans="1:12" ht="14.4" customHeight="1" x14ac:dyDescent="0.3">
      <c r="A3610"/>
      <c r="L3610"/>
    </row>
    <row r="3611" spans="1:12" ht="14.4" customHeight="1" x14ac:dyDescent="0.3">
      <c r="A3611"/>
      <c r="L3611"/>
    </row>
    <row r="3612" spans="1:12" ht="14.4" customHeight="1" x14ac:dyDescent="0.3">
      <c r="A3612"/>
      <c r="L3612"/>
    </row>
    <row r="3613" spans="1:12" ht="14.4" customHeight="1" x14ac:dyDescent="0.3">
      <c r="A3613"/>
      <c r="L3613"/>
    </row>
    <row r="3614" spans="1:12" ht="14.4" customHeight="1" x14ac:dyDescent="0.3">
      <c r="A3614"/>
      <c r="L3614"/>
    </row>
    <row r="3615" spans="1:12" ht="14.4" customHeight="1" x14ac:dyDescent="0.3">
      <c r="A3615"/>
      <c r="L3615"/>
    </row>
    <row r="3616" spans="1:12" ht="14.4" customHeight="1" x14ac:dyDescent="0.3">
      <c r="A3616"/>
      <c r="L3616"/>
    </row>
    <row r="3617" spans="1:12" ht="14.4" customHeight="1" x14ac:dyDescent="0.3">
      <c r="A3617"/>
      <c r="L3617"/>
    </row>
    <row r="3618" spans="1:12" ht="14.4" customHeight="1" x14ac:dyDescent="0.3">
      <c r="A3618"/>
      <c r="L3618"/>
    </row>
    <row r="3619" spans="1:12" ht="14.4" customHeight="1" x14ac:dyDescent="0.3">
      <c r="A3619"/>
      <c r="L3619"/>
    </row>
    <row r="3620" spans="1:12" ht="14.4" customHeight="1" x14ac:dyDescent="0.3">
      <c r="A3620"/>
      <c r="L3620"/>
    </row>
    <row r="3621" spans="1:12" ht="14.4" customHeight="1" x14ac:dyDescent="0.3">
      <c r="A3621"/>
      <c r="L3621"/>
    </row>
    <row r="3622" spans="1:12" ht="14.4" customHeight="1" x14ac:dyDescent="0.3">
      <c r="A3622"/>
      <c r="L3622"/>
    </row>
    <row r="3623" spans="1:12" ht="14.4" customHeight="1" x14ac:dyDescent="0.3">
      <c r="A3623"/>
      <c r="L3623"/>
    </row>
    <row r="3624" spans="1:12" ht="14.4" customHeight="1" x14ac:dyDescent="0.3">
      <c r="A3624"/>
      <c r="L3624"/>
    </row>
    <row r="3625" spans="1:12" ht="14.4" customHeight="1" x14ac:dyDescent="0.3">
      <c r="A3625"/>
      <c r="L3625"/>
    </row>
    <row r="3626" spans="1:12" ht="14.4" customHeight="1" x14ac:dyDescent="0.3">
      <c r="A3626"/>
      <c r="L3626"/>
    </row>
    <row r="3627" spans="1:12" ht="14.4" customHeight="1" x14ac:dyDescent="0.3">
      <c r="A3627"/>
      <c r="L3627"/>
    </row>
    <row r="3628" spans="1:12" ht="14.4" customHeight="1" x14ac:dyDescent="0.3">
      <c r="A3628"/>
      <c r="L3628"/>
    </row>
    <row r="3629" spans="1:12" ht="14.4" customHeight="1" x14ac:dyDescent="0.3">
      <c r="A3629"/>
      <c r="L3629"/>
    </row>
    <row r="3630" spans="1:12" ht="14.4" customHeight="1" x14ac:dyDescent="0.3">
      <c r="A3630"/>
      <c r="L3630"/>
    </row>
    <row r="3631" spans="1:12" ht="14.4" customHeight="1" x14ac:dyDescent="0.3">
      <c r="A3631"/>
      <c r="L3631"/>
    </row>
    <row r="3632" spans="1:12" ht="14.4" customHeight="1" x14ac:dyDescent="0.3">
      <c r="A3632"/>
      <c r="L3632"/>
    </row>
    <row r="3633" spans="1:12" ht="14.4" customHeight="1" x14ac:dyDescent="0.3">
      <c r="A3633"/>
      <c r="L3633"/>
    </row>
    <row r="3634" spans="1:12" ht="14.4" customHeight="1" x14ac:dyDescent="0.3">
      <c r="A3634"/>
      <c r="L3634"/>
    </row>
    <row r="3635" spans="1:12" ht="14.4" customHeight="1" x14ac:dyDescent="0.3">
      <c r="A3635"/>
      <c r="L3635"/>
    </row>
    <row r="3636" spans="1:12" ht="14.4" customHeight="1" x14ac:dyDescent="0.3">
      <c r="A3636"/>
      <c r="L3636"/>
    </row>
    <row r="3637" spans="1:12" ht="14.4" customHeight="1" x14ac:dyDescent="0.3">
      <c r="A3637"/>
      <c r="L3637"/>
    </row>
    <row r="3638" spans="1:12" ht="14.4" customHeight="1" x14ac:dyDescent="0.3">
      <c r="A3638"/>
      <c r="L3638"/>
    </row>
    <row r="3639" spans="1:12" ht="14.4" customHeight="1" x14ac:dyDescent="0.3">
      <c r="A3639"/>
      <c r="L3639"/>
    </row>
    <row r="3640" spans="1:12" ht="14.4" customHeight="1" x14ac:dyDescent="0.3">
      <c r="A3640"/>
      <c r="L3640"/>
    </row>
    <row r="3641" spans="1:12" ht="14.4" customHeight="1" x14ac:dyDescent="0.3">
      <c r="A3641"/>
      <c r="L3641"/>
    </row>
    <row r="3642" spans="1:12" ht="14.4" customHeight="1" x14ac:dyDescent="0.3">
      <c r="A3642"/>
      <c r="L3642"/>
    </row>
    <row r="3643" spans="1:12" ht="14.4" customHeight="1" x14ac:dyDescent="0.3">
      <c r="A3643"/>
      <c r="L3643"/>
    </row>
    <row r="3644" spans="1:12" ht="14.4" customHeight="1" x14ac:dyDescent="0.3">
      <c r="A3644"/>
      <c r="L3644"/>
    </row>
    <row r="3645" spans="1:12" ht="14.4" customHeight="1" x14ac:dyDescent="0.3">
      <c r="A3645"/>
      <c r="L3645"/>
    </row>
    <row r="3646" spans="1:12" ht="14.4" customHeight="1" x14ac:dyDescent="0.3">
      <c r="A3646"/>
      <c r="L3646"/>
    </row>
    <row r="3647" spans="1:12" ht="14.4" customHeight="1" x14ac:dyDescent="0.3">
      <c r="A3647"/>
      <c r="L3647"/>
    </row>
    <row r="3648" spans="1:12" ht="14.4" customHeight="1" x14ac:dyDescent="0.3">
      <c r="A3648"/>
      <c r="L3648"/>
    </row>
    <row r="3649" spans="1:12" ht="14.4" customHeight="1" x14ac:dyDescent="0.3">
      <c r="A3649"/>
      <c r="L3649"/>
    </row>
    <row r="3650" spans="1:12" ht="14.4" customHeight="1" x14ac:dyDescent="0.3">
      <c r="A3650"/>
      <c r="L3650"/>
    </row>
    <row r="3651" spans="1:12" ht="14.4" customHeight="1" x14ac:dyDescent="0.3">
      <c r="A3651"/>
      <c r="L3651"/>
    </row>
    <row r="3652" spans="1:12" ht="14.4" customHeight="1" x14ac:dyDescent="0.3">
      <c r="A3652"/>
      <c r="L3652"/>
    </row>
    <row r="3653" spans="1:12" ht="14.4" customHeight="1" x14ac:dyDescent="0.3">
      <c r="A3653"/>
      <c r="L3653"/>
    </row>
    <row r="3654" spans="1:12" ht="14.4" customHeight="1" x14ac:dyDescent="0.3">
      <c r="A3654"/>
      <c r="L3654"/>
    </row>
    <row r="3655" spans="1:12" ht="14.4" customHeight="1" x14ac:dyDescent="0.3">
      <c r="A3655"/>
      <c r="L3655"/>
    </row>
    <row r="3656" spans="1:12" ht="14.4" customHeight="1" x14ac:dyDescent="0.3">
      <c r="A3656"/>
      <c r="L3656"/>
    </row>
    <row r="3657" spans="1:12" ht="14.4" customHeight="1" x14ac:dyDescent="0.3">
      <c r="A3657"/>
      <c r="L3657"/>
    </row>
    <row r="3658" spans="1:12" ht="14.4" customHeight="1" x14ac:dyDescent="0.3">
      <c r="A3658"/>
      <c r="L3658"/>
    </row>
    <row r="3659" spans="1:12" ht="14.4" customHeight="1" x14ac:dyDescent="0.3">
      <c r="A3659"/>
      <c r="L3659"/>
    </row>
    <row r="3660" spans="1:12" ht="14.4" customHeight="1" x14ac:dyDescent="0.3">
      <c r="A3660"/>
      <c r="L3660"/>
    </row>
    <row r="3661" spans="1:12" ht="14.4" customHeight="1" x14ac:dyDescent="0.3">
      <c r="A3661"/>
      <c r="L3661"/>
    </row>
    <row r="3662" spans="1:12" ht="14.4" customHeight="1" x14ac:dyDescent="0.3">
      <c r="A3662"/>
      <c r="L3662"/>
    </row>
    <row r="3663" spans="1:12" ht="14.4" customHeight="1" x14ac:dyDescent="0.3">
      <c r="A3663"/>
      <c r="L3663"/>
    </row>
    <row r="3664" spans="1:12" ht="14.4" customHeight="1" x14ac:dyDescent="0.3">
      <c r="A3664"/>
      <c r="L3664"/>
    </row>
    <row r="3665" spans="1:12" ht="14.4" customHeight="1" x14ac:dyDescent="0.3">
      <c r="A3665"/>
      <c r="L3665"/>
    </row>
    <row r="3666" spans="1:12" ht="14.4" customHeight="1" x14ac:dyDescent="0.3">
      <c r="A3666"/>
      <c r="L3666"/>
    </row>
    <row r="3667" spans="1:12" ht="14.4" customHeight="1" x14ac:dyDescent="0.3">
      <c r="A3667"/>
      <c r="L3667"/>
    </row>
    <row r="3668" spans="1:12" ht="14.4" customHeight="1" x14ac:dyDescent="0.3">
      <c r="A3668"/>
      <c r="L3668"/>
    </row>
    <row r="3669" spans="1:12" ht="14.4" customHeight="1" x14ac:dyDescent="0.3">
      <c r="A3669"/>
      <c r="L3669"/>
    </row>
    <row r="3670" spans="1:12" ht="14.4" customHeight="1" x14ac:dyDescent="0.3">
      <c r="A3670"/>
      <c r="L3670"/>
    </row>
    <row r="3671" spans="1:12" ht="14.4" customHeight="1" x14ac:dyDescent="0.3">
      <c r="A3671"/>
      <c r="L3671"/>
    </row>
    <row r="3672" spans="1:12" ht="14.4" customHeight="1" x14ac:dyDescent="0.3">
      <c r="A3672"/>
      <c r="L3672"/>
    </row>
    <row r="3673" spans="1:12" ht="14.4" customHeight="1" x14ac:dyDescent="0.3">
      <c r="A3673"/>
      <c r="L3673"/>
    </row>
    <row r="3674" spans="1:12" ht="14.4" customHeight="1" x14ac:dyDescent="0.3">
      <c r="A3674"/>
      <c r="L3674"/>
    </row>
    <row r="3675" spans="1:12" ht="14.4" customHeight="1" x14ac:dyDescent="0.3">
      <c r="A3675"/>
      <c r="L3675"/>
    </row>
    <row r="3676" spans="1:12" ht="14.4" customHeight="1" x14ac:dyDescent="0.3">
      <c r="A3676"/>
      <c r="L3676"/>
    </row>
    <row r="3677" spans="1:12" ht="14.4" customHeight="1" x14ac:dyDescent="0.3">
      <c r="A3677"/>
      <c r="L3677"/>
    </row>
    <row r="3678" spans="1:12" ht="14.4" customHeight="1" x14ac:dyDescent="0.3">
      <c r="A3678"/>
      <c r="L3678"/>
    </row>
    <row r="3679" spans="1:12" ht="14.4" customHeight="1" x14ac:dyDescent="0.3">
      <c r="A3679"/>
      <c r="L3679"/>
    </row>
    <row r="3680" spans="1:12" ht="14.4" customHeight="1" x14ac:dyDescent="0.3">
      <c r="A3680"/>
      <c r="L3680"/>
    </row>
    <row r="3681" spans="1:12" ht="14.4" customHeight="1" x14ac:dyDescent="0.3">
      <c r="A3681"/>
      <c r="L3681"/>
    </row>
    <row r="3682" spans="1:12" ht="14.4" customHeight="1" x14ac:dyDescent="0.3">
      <c r="A3682"/>
      <c r="L3682"/>
    </row>
    <row r="3683" spans="1:12" ht="14.4" customHeight="1" x14ac:dyDescent="0.3">
      <c r="A3683"/>
      <c r="L3683"/>
    </row>
    <row r="3684" spans="1:12" ht="14.4" customHeight="1" x14ac:dyDescent="0.3">
      <c r="A3684"/>
      <c r="L3684"/>
    </row>
    <row r="3685" spans="1:12" ht="14.4" customHeight="1" x14ac:dyDescent="0.3">
      <c r="A3685"/>
      <c r="L3685"/>
    </row>
    <row r="3686" spans="1:12" ht="14.4" customHeight="1" x14ac:dyDescent="0.3">
      <c r="A3686"/>
      <c r="L3686"/>
    </row>
    <row r="3687" spans="1:12" ht="14.4" customHeight="1" x14ac:dyDescent="0.3">
      <c r="A3687"/>
      <c r="L3687"/>
    </row>
    <row r="3688" spans="1:12" ht="14.4" customHeight="1" x14ac:dyDescent="0.3">
      <c r="A3688"/>
      <c r="L3688"/>
    </row>
    <row r="3689" spans="1:12" ht="14.4" customHeight="1" x14ac:dyDescent="0.3">
      <c r="A3689"/>
      <c r="L3689"/>
    </row>
    <row r="3690" spans="1:12" ht="14.4" customHeight="1" x14ac:dyDescent="0.3">
      <c r="A3690"/>
      <c r="L3690"/>
    </row>
    <row r="3691" spans="1:12" ht="14.4" customHeight="1" x14ac:dyDescent="0.3">
      <c r="A3691"/>
      <c r="L3691"/>
    </row>
    <row r="3692" spans="1:12" ht="14.4" customHeight="1" x14ac:dyDescent="0.3">
      <c r="A3692"/>
      <c r="L3692"/>
    </row>
    <row r="3693" spans="1:12" ht="14.4" customHeight="1" x14ac:dyDescent="0.3">
      <c r="A3693"/>
      <c r="L3693"/>
    </row>
    <row r="3694" spans="1:12" ht="14.4" customHeight="1" x14ac:dyDescent="0.3">
      <c r="A3694"/>
      <c r="L3694"/>
    </row>
    <row r="3695" spans="1:12" ht="14.4" customHeight="1" x14ac:dyDescent="0.3">
      <c r="A3695"/>
      <c r="L3695"/>
    </row>
    <row r="3696" spans="1:12" ht="14.4" customHeight="1" x14ac:dyDescent="0.3">
      <c r="A3696"/>
      <c r="L3696"/>
    </row>
    <row r="3697" spans="1:12" ht="14.4" customHeight="1" x14ac:dyDescent="0.3">
      <c r="A3697"/>
      <c r="L3697"/>
    </row>
    <row r="3698" spans="1:12" ht="14.4" customHeight="1" x14ac:dyDescent="0.3">
      <c r="A3698"/>
      <c r="L3698"/>
    </row>
    <row r="3699" spans="1:12" ht="14.4" customHeight="1" x14ac:dyDescent="0.3">
      <c r="A3699"/>
      <c r="L3699"/>
    </row>
    <row r="3700" spans="1:12" ht="14.4" customHeight="1" x14ac:dyDescent="0.3">
      <c r="A3700"/>
      <c r="L3700"/>
    </row>
    <row r="3701" spans="1:12" ht="14.4" customHeight="1" x14ac:dyDescent="0.3">
      <c r="A3701"/>
      <c r="L3701"/>
    </row>
    <row r="3702" spans="1:12" ht="14.4" customHeight="1" x14ac:dyDescent="0.3">
      <c r="A3702"/>
      <c r="L3702"/>
    </row>
    <row r="3703" spans="1:12" ht="14.4" customHeight="1" x14ac:dyDescent="0.3">
      <c r="A3703"/>
      <c r="L3703"/>
    </row>
    <row r="3704" spans="1:12" ht="14.4" customHeight="1" x14ac:dyDescent="0.3">
      <c r="A3704"/>
      <c r="L3704"/>
    </row>
    <row r="3705" spans="1:12" ht="14.4" customHeight="1" x14ac:dyDescent="0.3">
      <c r="A3705"/>
      <c r="L3705"/>
    </row>
    <row r="3706" spans="1:12" ht="14.4" customHeight="1" x14ac:dyDescent="0.3">
      <c r="A3706"/>
      <c r="L3706"/>
    </row>
    <row r="3707" spans="1:12" ht="14.4" customHeight="1" x14ac:dyDescent="0.3">
      <c r="A3707"/>
      <c r="L3707"/>
    </row>
    <row r="3708" spans="1:12" ht="14.4" customHeight="1" x14ac:dyDescent="0.3">
      <c r="A3708"/>
      <c r="L3708"/>
    </row>
    <row r="3709" spans="1:12" ht="14.4" customHeight="1" x14ac:dyDescent="0.3">
      <c r="A3709"/>
      <c r="L3709"/>
    </row>
    <row r="3710" spans="1:12" ht="14.4" customHeight="1" x14ac:dyDescent="0.3">
      <c r="A3710"/>
      <c r="L3710"/>
    </row>
    <row r="3711" spans="1:12" ht="14.4" customHeight="1" x14ac:dyDescent="0.3">
      <c r="A3711"/>
      <c r="L3711"/>
    </row>
    <row r="3712" spans="1:12" ht="14.4" customHeight="1" x14ac:dyDescent="0.3">
      <c r="A3712"/>
      <c r="L3712"/>
    </row>
    <row r="3713" spans="1:12" ht="14.4" customHeight="1" x14ac:dyDescent="0.3">
      <c r="A3713"/>
      <c r="L3713"/>
    </row>
    <row r="3714" spans="1:12" ht="14.4" customHeight="1" x14ac:dyDescent="0.3">
      <c r="A3714"/>
      <c r="L3714"/>
    </row>
    <row r="3715" spans="1:12" ht="14.4" customHeight="1" x14ac:dyDescent="0.3">
      <c r="A3715"/>
      <c r="L3715"/>
    </row>
    <row r="3716" spans="1:12" ht="14.4" customHeight="1" x14ac:dyDescent="0.3">
      <c r="A3716"/>
      <c r="L3716"/>
    </row>
    <row r="3717" spans="1:12" ht="14.4" customHeight="1" x14ac:dyDescent="0.3">
      <c r="A3717"/>
      <c r="L3717"/>
    </row>
    <row r="3718" spans="1:12" ht="14.4" customHeight="1" x14ac:dyDescent="0.3">
      <c r="A3718"/>
      <c r="L3718"/>
    </row>
    <row r="3719" spans="1:12" ht="14.4" customHeight="1" x14ac:dyDescent="0.3">
      <c r="A3719"/>
      <c r="L3719"/>
    </row>
    <row r="3720" spans="1:12" ht="14.4" customHeight="1" x14ac:dyDescent="0.3">
      <c r="A3720"/>
      <c r="L3720"/>
    </row>
    <row r="3721" spans="1:12" ht="14.4" customHeight="1" x14ac:dyDescent="0.3">
      <c r="A3721"/>
      <c r="L3721"/>
    </row>
    <row r="3722" spans="1:12" ht="14.4" customHeight="1" x14ac:dyDescent="0.3">
      <c r="A3722"/>
      <c r="L3722"/>
    </row>
    <row r="3723" spans="1:12" ht="14.4" customHeight="1" x14ac:dyDescent="0.3">
      <c r="A3723"/>
      <c r="L3723"/>
    </row>
    <row r="3724" spans="1:12" ht="14.4" customHeight="1" x14ac:dyDescent="0.3">
      <c r="A3724"/>
      <c r="L3724"/>
    </row>
    <row r="3725" spans="1:12" ht="14.4" customHeight="1" x14ac:dyDescent="0.3">
      <c r="A3725"/>
      <c r="L3725"/>
    </row>
    <row r="3726" spans="1:12" ht="14.4" customHeight="1" x14ac:dyDescent="0.3">
      <c r="A3726"/>
      <c r="L3726"/>
    </row>
    <row r="3727" spans="1:12" ht="14.4" customHeight="1" x14ac:dyDescent="0.3">
      <c r="A3727"/>
      <c r="L3727"/>
    </row>
    <row r="3728" spans="1:12" ht="14.4" customHeight="1" x14ac:dyDescent="0.3">
      <c r="A3728"/>
      <c r="L3728"/>
    </row>
    <row r="3729" spans="1:12" ht="14.4" customHeight="1" x14ac:dyDescent="0.3">
      <c r="A3729"/>
      <c r="L3729"/>
    </row>
    <row r="3730" spans="1:12" ht="14.4" customHeight="1" x14ac:dyDescent="0.3">
      <c r="A3730"/>
      <c r="L3730"/>
    </row>
    <row r="3731" spans="1:12" ht="14.4" customHeight="1" x14ac:dyDescent="0.3">
      <c r="A3731"/>
      <c r="L3731"/>
    </row>
    <row r="3732" spans="1:12" ht="14.4" customHeight="1" x14ac:dyDescent="0.3">
      <c r="A3732"/>
      <c r="L3732"/>
    </row>
    <row r="3733" spans="1:12" ht="14.4" customHeight="1" x14ac:dyDescent="0.3">
      <c r="A3733"/>
      <c r="L3733"/>
    </row>
    <row r="3734" spans="1:12" ht="14.4" customHeight="1" x14ac:dyDescent="0.3">
      <c r="A3734"/>
      <c r="L3734"/>
    </row>
    <row r="3735" spans="1:12" ht="14.4" customHeight="1" x14ac:dyDescent="0.3">
      <c r="A3735"/>
      <c r="L3735"/>
    </row>
    <row r="3736" spans="1:12" ht="14.4" customHeight="1" x14ac:dyDescent="0.3">
      <c r="A3736"/>
      <c r="L3736"/>
    </row>
    <row r="3737" spans="1:12" ht="14.4" customHeight="1" x14ac:dyDescent="0.3">
      <c r="A3737"/>
      <c r="L3737"/>
    </row>
    <row r="3738" spans="1:12" ht="14.4" customHeight="1" x14ac:dyDescent="0.3">
      <c r="A3738"/>
      <c r="L3738"/>
    </row>
    <row r="3739" spans="1:12" ht="14.4" customHeight="1" x14ac:dyDescent="0.3">
      <c r="A3739"/>
      <c r="L3739"/>
    </row>
    <row r="3740" spans="1:12" ht="14.4" customHeight="1" x14ac:dyDescent="0.3">
      <c r="A3740"/>
      <c r="L3740"/>
    </row>
    <row r="3741" spans="1:12" ht="14.4" customHeight="1" x14ac:dyDescent="0.3">
      <c r="A3741"/>
      <c r="L3741"/>
    </row>
    <row r="3742" spans="1:12" ht="14.4" customHeight="1" x14ac:dyDescent="0.3">
      <c r="A3742"/>
      <c r="L3742"/>
    </row>
    <row r="3743" spans="1:12" ht="14.4" customHeight="1" x14ac:dyDescent="0.3">
      <c r="A3743"/>
      <c r="L3743"/>
    </row>
    <row r="3744" spans="1:12" ht="14.4" customHeight="1" x14ac:dyDescent="0.3">
      <c r="A3744"/>
      <c r="L3744"/>
    </row>
    <row r="3745" spans="1:12" ht="14.4" customHeight="1" x14ac:dyDescent="0.3">
      <c r="A3745"/>
      <c r="L3745"/>
    </row>
    <row r="3746" spans="1:12" ht="14.4" customHeight="1" x14ac:dyDescent="0.3">
      <c r="A3746"/>
      <c r="L3746"/>
    </row>
    <row r="3747" spans="1:12" ht="14.4" customHeight="1" x14ac:dyDescent="0.3">
      <c r="A3747"/>
      <c r="L3747"/>
    </row>
    <row r="3748" spans="1:12" ht="14.4" customHeight="1" x14ac:dyDescent="0.3">
      <c r="A3748"/>
      <c r="L3748"/>
    </row>
    <row r="3749" spans="1:12" ht="14.4" customHeight="1" x14ac:dyDescent="0.3">
      <c r="A3749"/>
      <c r="L3749"/>
    </row>
    <row r="3750" spans="1:12" ht="14.4" customHeight="1" x14ac:dyDescent="0.3">
      <c r="A3750"/>
      <c r="L3750"/>
    </row>
    <row r="3751" spans="1:12" ht="14.4" customHeight="1" x14ac:dyDescent="0.3">
      <c r="A3751"/>
      <c r="L3751"/>
    </row>
    <row r="3752" spans="1:12" ht="14.4" customHeight="1" x14ac:dyDescent="0.3">
      <c r="A3752"/>
      <c r="L3752"/>
    </row>
    <row r="3753" spans="1:12" ht="14.4" customHeight="1" x14ac:dyDescent="0.3">
      <c r="A3753"/>
      <c r="L3753"/>
    </row>
    <row r="3754" spans="1:12" ht="14.4" customHeight="1" x14ac:dyDescent="0.3">
      <c r="A3754"/>
      <c r="L3754"/>
    </row>
    <row r="3755" spans="1:12" ht="14.4" customHeight="1" x14ac:dyDescent="0.3">
      <c r="A3755"/>
      <c r="L3755"/>
    </row>
    <row r="3756" spans="1:12" ht="14.4" customHeight="1" x14ac:dyDescent="0.3">
      <c r="A3756"/>
      <c r="L3756"/>
    </row>
    <row r="3757" spans="1:12" ht="14.4" customHeight="1" x14ac:dyDescent="0.3">
      <c r="A3757"/>
      <c r="L3757"/>
    </row>
    <row r="3758" spans="1:12" ht="14.4" customHeight="1" x14ac:dyDescent="0.3">
      <c r="A3758"/>
      <c r="L3758"/>
    </row>
    <row r="3759" spans="1:12" ht="14.4" customHeight="1" x14ac:dyDescent="0.3">
      <c r="A3759"/>
      <c r="L3759"/>
    </row>
    <row r="3760" spans="1:12" ht="14.4" customHeight="1" x14ac:dyDescent="0.3">
      <c r="A3760"/>
      <c r="L3760"/>
    </row>
    <row r="3761" spans="1:12" ht="14.4" customHeight="1" x14ac:dyDescent="0.3">
      <c r="A3761"/>
      <c r="L3761"/>
    </row>
    <row r="3762" spans="1:12" ht="14.4" customHeight="1" x14ac:dyDescent="0.3">
      <c r="A3762"/>
      <c r="L3762"/>
    </row>
    <row r="3763" spans="1:12" ht="14.4" customHeight="1" x14ac:dyDescent="0.3">
      <c r="A3763"/>
      <c r="L3763"/>
    </row>
    <row r="3764" spans="1:12" ht="14.4" customHeight="1" x14ac:dyDescent="0.3">
      <c r="A3764"/>
      <c r="L3764"/>
    </row>
    <row r="3765" spans="1:12" ht="14.4" customHeight="1" x14ac:dyDescent="0.3">
      <c r="A3765"/>
      <c r="L3765"/>
    </row>
    <row r="3766" spans="1:12" ht="14.4" customHeight="1" x14ac:dyDescent="0.3">
      <c r="A3766"/>
      <c r="L3766"/>
    </row>
    <row r="3767" spans="1:12" ht="14.4" customHeight="1" x14ac:dyDescent="0.3">
      <c r="A3767"/>
      <c r="L3767"/>
    </row>
    <row r="3768" spans="1:12" ht="14.4" customHeight="1" x14ac:dyDescent="0.3">
      <c r="A3768"/>
      <c r="L3768"/>
    </row>
    <row r="3769" spans="1:12" ht="14.4" customHeight="1" x14ac:dyDescent="0.3">
      <c r="A3769"/>
      <c r="L3769"/>
    </row>
    <row r="3770" spans="1:12" ht="14.4" customHeight="1" x14ac:dyDescent="0.3">
      <c r="A3770"/>
      <c r="L3770"/>
    </row>
    <row r="3771" spans="1:12" ht="14.4" customHeight="1" x14ac:dyDescent="0.3">
      <c r="A3771"/>
      <c r="L3771"/>
    </row>
    <row r="3772" spans="1:12" ht="14.4" customHeight="1" x14ac:dyDescent="0.3">
      <c r="A3772"/>
      <c r="L3772"/>
    </row>
    <row r="3773" spans="1:12" ht="14.4" customHeight="1" x14ac:dyDescent="0.3">
      <c r="A3773"/>
      <c r="L3773"/>
    </row>
    <row r="3774" spans="1:12" ht="14.4" customHeight="1" x14ac:dyDescent="0.3">
      <c r="A3774"/>
      <c r="L3774"/>
    </row>
    <row r="3775" spans="1:12" ht="14.4" customHeight="1" x14ac:dyDescent="0.3">
      <c r="A3775"/>
      <c r="L3775"/>
    </row>
    <row r="3776" spans="1:12" ht="14.4" customHeight="1" x14ac:dyDescent="0.3">
      <c r="A3776"/>
      <c r="L3776"/>
    </row>
    <row r="3777" spans="1:12" ht="14.4" customHeight="1" x14ac:dyDescent="0.3">
      <c r="A3777"/>
      <c r="L3777"/>
    </row>
    <row r="3778" spans="1:12" ht="14.4" customHeight="1" x14ac:dyDescent="0.3">
      <c r="A3778"/>
      <c r="L3778"/>
    </row>
    <row r="3779" spans="1:12" ht="14.4" customHeight="1" x14ac:dyDescent="0.3">
      <c r="A3779"/>
      <c r="L3779"/>
    </row>
    <row r="3780" spans="1:12" ht="14.4" customHeight="1" x14ac:dyDescent="0.3">
      <c r="A3780"/>
      <c r="L3780"/>
    </row>
    <row r="3781" spans="1:12" ht="14.4" customHeight="1" x14ac:dyDescent="0.3">
      <c r="A3781"/>
      <c r="L3781"/>
    </row>
    <row r="3782" spans="1:12" ht="14.4" customHeight="1" x14ac:dyDescent="0.3">
      <c r="A3782"/>
      <c r="L3782"/>
    </row>
    <row r="3783" spans="1:12" ht="14.4" customHeight="1" x14ac:dyDescent="0.3">
      <c r="A3783"/>
      <c r="L3783"/>
    </row>
    <row r="3784" spans="1:12" ht="14.4" customHeight="1" x14ac:dyDescent="0.3">
      <c r="A3784"/>
      <c r="L3784"/>
    </row>
    <row r="3785" spans="1:12" ht="14.4" customHeight="1" x14ac:dyDescent="0.3">
      <c r="A3785"/>
      <c r="L3785"/>
    </row>
    <row r="3786" spans="1:12" ht="14.4" customHeight="1" x14ac:dyDescent="0.3">
      <c r="A3786"/>
      <c r="L3786"/>
    </row>
    <row r="3787" spans="1:12" ht="14.4" customHeight="1" x14ac:dyDescent="0.3">
      <c r="A3787"/>
      <c r="L3787"/>
    </row>
    <row r="3788" spans="1:12" ht="14.4" customHeight="1" x14ac:dyDescent="0.3">
      <c r="A3788"/>
      <c r="L3788"/>
    </row>
    <row r="3789" spans="1:12" ht="14.4" customHeight="1" x14ac:dyDescent="0.3">
      <c r="A3789"/>
      <c r="L3789"/>
    </row>
    <row r="3790" spans="1:12" ht="14.4" customHeight="1" x14ac:dyDescent="0.3">
      <c r="A3790"/>
      <c r="L3790"/>
    </row>
    <row r="3791" spans="1:12" ht="14.4" customHeight="1" x14ac:dyDescent="0.3">
      <c r="A3791"/>
      <c r="L3791"/>
    </row>
    <row r="3792" spans="1:12" ht="14.4" customHeight="1" x14ac:dyDescent="0.3">
      <c r="A3792"/>
      <c r="L3792"/>
    </row>
    <row r="3793" spans="1:12" ht="14.4" customHeight="1" x14ac:dyDescent="0.3">
      <c r="A3793"/>
      <c r="L3793"/>
    </row>
    <row r="3794" spans="1:12" ht="14.4" customHeight="1" x14ac:dyDescent="0.3">
      <c r="A3794"/>
      <c r="L3794"/>
    </row>
    <row r="3795" spans="1:12" ht="14.4" customHeight="1" x14ac:dyDescent="0.3">
      <c r="A3795"/>
      <c r="L3795"/>
    </row>
    <row r="3796" spans="1:12" ht="14.4" customHeight="1" x14ac:dyDescent="0.3">
      <c r="A3796"/>
      <c r="L3796"/>
    </row>
    <row r="3797" spans="1:12" ht="14.4" customHeight="1" x14ac:dyDescent="0.3">
      <c r="A3797"/>
      <c r="L3797"/>
    </row>
    <row r="3798" spans="1:12" ht="14.4" customHeight="1" x14ac:dyDescent="0.3">
      <c r="A3798"/>
      <c r="L3798"/>
    </row>
    <row r="3799" spans="1:12" ht="14.4" customHeight="1" x14ac:dyDescent="0.3">
      <c r="A3799"/>
      <c r="L3799"/>
    </row>
    <row r="3800" spans="1:12" ht="14.4" customHeight="1" x14ac:dyDescent="0.3">
      <c r="A3800"/>
      <c r="L3800"/>
    </row>
    <row r="3801" spans="1:12" ht="14.4" customHeight="1" x14ac:dyDescent="0.3">
      <c r="A3801"/>
      <c r="L3801"/>
    </row>
    <row r="3802" spans="1:12" ht="14.4" customHeight="1" x14ac:dyDescent="0.3">
      <c r="A3802"/>
      <c r="L3802"/>
    </row>
    <row r="3803" spans="1:12" ht="14.4" customHeight="1" x14ac:dyDescent="0.3">
      <c r="A3803"/>
      <c r="L3803"/>
    </row>
    <row r="3804" spans="1:12" ht="14.4" customHeight="1" x14ac:dyDescent="0.3">
      <c r="A3804"/>
      <c r="L3804"/>
    </row>
    <row r="3805" spans="1:12" ht="14.4" customHeight="1" x14ac:dyDescent="0.3">
      <c r="A3805"/>
      <c r="L3805"/>
    </row>
    <row r="3806" spans="1:12" ht="14.4" customHeight="1" x14ac:dyDescent="0.3">
      <c r="A3806"/>
      <c r="L3806"/>
    </row>
    <row r="3807" spans="1:12" ht="14.4" customHeight="1" x14ac:dyDescent="0.3">
      <c r="A3807"/>
      <c r="L3807"/>
    </row>
    <row r="3808" spans="1:12" ht="14.4" customHeight="1" x14ac:dyDescent="0.3">
      <c r="A3808"/>
      <c r="L3808"/>
    </row>
    <row r="3809" spans="1:12" ht="14.4" customHeight="1" x14ac:dyDescent="0.3">
      <c r="A3809"/>
      <c r="L3809"/>
    </row>
    <row r="3810" spans="1:12" ht="14.4" customHeight="1" x14ac:dyDescent="0.3">
      <c r="A3810"/>
      <c r="L3810"/>
    </row>
    <row r="3811" spans="1:12" ht="14.4" customHeight="1" x14ac:dyDescent="0.3">
      <c r="A3811"/>
      <c r="L3811"/>
    </row>
    <row r="3812" spans="1:12" ht="14.4" customHeight="1" x14ac:dyDescent="0.3">
      <c r="A3812"/>
      <c r="L3812"/>
    </row>
    <row r="3813" spans="1:12" ht="14.4" customHeight="1" x14ac:dyDescent="0.3">
      <c r="A3813"/>
      <c r="L3813"/>
    </row>
    <row r="3814" spans="1:12" ht="14.4" customHeight="1" x14ac:dyDescent="0.3">
      <c r="A3814"/>
      <c r="L3814"/>
    </row>
    <row r="3815" spans="1:12" ht="14.4" customHeight="1" x14ac:dyDescent="0.3">
      <c r="A3815"/>
      <c r="L3815"/>
    </row>
    <row r="3816" spans="1:12" ht="14.4" customHeight="1" x14ac:dyDescent="0.3">
      <c r="A3816"/>
      <c r="L3816"/>
    </row>
    <row r="3817" spans="1:12" ht="14.4" customHeight="1" x14ac:dyDescent="0.3">
      <c r="A3817"/>
      <c r="L3817"/>
    </row>
    <row r="3818" spans="1:12" ht="14.4" customHeight="1" x14ac:dyDescent="0.3">
      <c r="A3818"/>
      <c r="L3818"/>
    </row>
    <row r="3819" spans="1:12" ht="14.4" customHeight="1" x14ac:dyDescent="0.3">
      <c r="A3819"/>
      <c r="L3819"/>
    </row>
    <row r="3820" spans="1:12" ht="14.4" customHeight="1" x14ac:dyDescent="0.3">
      <c r="A3820"/>
      <c r="L3820"/>
    </row>
    <row r="3821" spans="1:12" ht="14.4" customHeight="1" x14ac:dyDescent="0.3">
      <c r="A3821"/>
      <c r="L3821"/>
    </row>
    <row r="3822" spans="1:12" ht="14.4" customHeight="1" x14ac:dyDescent="0.3">
      <c r="A3822"/>
      <c r="L3822"/>
    </row>
    <row r="3823" spans="1:12" ht="14.4" customHeight="1" x14ac:dyDescent="0.3">
      <c r="A3823"/>
      <c r="L3823"/>
    </row>
    <row r="3824" spans="1:12" ht="14.4" customHeight="1" x14ac:dyDescent="0.3">
      <c r="A3824"/>
      <c r="L3824"/>
    </row>
    <row r="3825" spans="1:12" ht="14.4" customHeight="1" x14ac:dyDescent="0.3">
      <c r="A3825"/>
      <c r="L3825"/>
    </row>
    <row r="3826" spans="1:12" ht="14.4" customHeight="1" x14ac:dyDescent="0.3">
      <c r="A3826"/>
      <c r="L3826"/>
    </row>
    <row r="3827" spans="1:12" ht="14.4" customHeight="1" x14ac:dyDescent="0.3">
      <c r="A3827"/>
      <c r="L3827"/>
    </row>
    <row r="3828" spans="1:12" ht="14.4" customHeight="1" x14ac:dyDescent="0.3">
      <c r="A3828"/>
      <c r="L3828"/>
    </row>
    <row r="3829" spans="1:12" ht="14.4" customHeight="1" x14ac:dyDescent="0.3">
      <c r="A3829"/>
      <c r="L3829"/>
    </row>
    <row r="3830" spans="1:12" ht="14.4" customHeight="1" x14ac:dyDescent="0.3">
      <c r="A3830"/>
      <c r="L3830"/>
    </row>
    <row r="3831" spans="1:12" ht="14.4" customHeight="1" x14ac:dyDescent="0.3">
      <c r="A3831"/>
      <c r="L3831"/>
    </row>
    <row r="3832" spans="1:12" ht="14.4" customHeight="1" x14ac:dyDescent="0.3">
      <c r="A3832"/>
      <c r="L3832"/>
    </row>
    <row r="3833" spans="1:12" ht="14.4" customHeight="1" x14ac:dyDescent="0.3">
      <c r="A3833"/>
      <c r="L3833"/>
    </row>
    <row r="3834" spans="1:12" ht="14.4" customHeight="1" x14ac:dyDescent="0.3">
      <c r="A3834"/>
      <c r="L3834"/>
    </row>
    <row r="3835" spans="1:12" ht="14.4" customHeight="1" x14ac:dyDescent="0.3">
      <c r="A3835"/>
      <c r="L3835"/>
    </row>
    <row r="3836" spans="1:12" ht="14.4" customHeight="1" x14ac:dyDescent="0.3">
      <c r="A3836"/>
      <c r="L3836"/>
    </row>
    <row r="3837" spans="1:12" ht="14.4" customHeight="1" x14ac:dyDescent="0.3">
      <c r="A3837"/>
      <c r="L3837"/>
    </row>
    <row r="3838" spans="1:12" ht="14.4" customHeight="1" x14ac:dyDescent="0.3">
      <c r="A3838"/>
      <c r="L3838"/>
    </row>
    <row r="3839" spans="1:12" ht="14.4" customHeight="1" x14ac:dyDescent="0.3">
      <c r="A3839"/>
      <c r="L3839"/>
    </row>
    <row r="3840" spans="1:12" ht="14.4" customHeight="1" x14ac:dyDescent="0.3">
      <c r="A3840"/>
      <c r="L3840"/>
    </row>
    <row r="3841" spans="1:12" ht="14.4" customHeight="1" x14ac:dyDescent="0.3">
      <c r="A3841"/>
      <c r="L3841"/>
    </row>
    <row r="3842" spans="1:12" ht="14.4" customHeight="1" x14ac:dyDescent="0.3">
      <c r="A3842"/>
      <c r="L3842"/>
    </row>
    <row r="3843" spans="1:12" ht="14.4" customHeight="1" x14ac:dyDescent="0.3">
      <c r="A3843"/>
      <c r="L3843"/>
    </row>
    <row r="3844" spans="1:12" ht="14.4" customHeight="1" x14ac:dyDescent="0.3">
      <c r="A3844"/>
      <c r="L3844"/>
    </row>
    <row r="3845" spans="1:12" ht="14.4" customHeight="1" x14ac:dyDescent="0.3">
      <c r="A3845"/>
      <c r="L3845"/>
    </row>
    <row r="3846" spans="1:12" ht="14.4" customHeight="1" x14ac:dyDescent="0.3">
      <c r="A3846"/>
      <c r="L3846"/>
    </row>
    <row r="3847" spans="1:12" ht="14.4" customHeight="1" x14ac:dyDescent="0.3">
      <c r="A3847"/>
      <c r="L3847"/>
    </row>
    <row r="3848" spans="1:12" ht="14.4" customHeight="1" x14ac:dyDescent="0.3">
      <c r="A3848"/>
      <c r="L3848"/>
    </row>
    <row r="3849" spans="1:12" ht="14.4" customHeight="1" x14ac:dyDescent="0.3">
      <c r="A3849"/>
      <c r="L3849"/>
    </row>
    <row r="3850" spans="1:12" ht="14.4" customHeight="1" x14ac:dyDescent="0.3">
      <c r="A3850"/>
      <c r="L3850"/>
    </row>
    <row r="3851" spans="1:12" ht="14.4" customHeight="1" x14ac:dyDescent="0.3">
      <c r="A3851"/>
      <c r="L3851"/>
    </row>
    <row r="3852" spans="1:12" ht="14.4" customHeight="1" x14ac:dyDescent="0.3">
      <c r="A3852"/>
      <c r="L3852"/>
    </row>
    <row r="3853" spans="1:12" ht="14.4" customHeight="1" x14ac:dyDescent="0.3">
      <c r="A3853"/>
      <c r="L3853"/>
    </row>
    <row r="3854" spans="1:12" ht="14.4" customHeight="1" x14ac:dyDescent="0.3">
      <c r="A3854"/>
      <c r="L3854"/>
    </row>
    <row r="3855" spans="1:12" ht="14.4" customHeight="1" x14ac:dyDescent="0.3">
      <c r="A3855"/>
      <c r="L3855"/>
    </row>
    <row r="3856" spans="1:12" ht="14.4" customHeight="1" x14ac:dyDescent="0.3">
      <c r="A3856"/>
      <c r="L3856"/>
    </row>
    <row r="3857" spans="1:12" ht="14.4" customHeight="1" x14ac:dyDescent="0.3">
      <c r="A3857"/>
      <c r="L3857"/>
    </row>
    <row r="3858" spans="1:12" ht="14.4" customHeight="1" x14ac:dyDescent="0.3">
      <c r="A3858"/>
      <c r="L3858"/>
    </row>
    <row r="3859" spans="1:12" ht="14.4" customHeight="1" x14ac:dyDescent="0.3">
      <c r="A3859"/>
      <c r="L3859"/>
    </row>
    <row r="3860" spans="1:12" ht="14.4" customHeight="1" x14ac:dyDescent="0.3">
      <c r="A3860"/>
      <c r="L3860"/>
    </row>
    <row r="3861" spans="1:12" ht="14.4" customHeight="1" x14ac:dyDescent="0.3">
      <c r="A3861"/>
      <c r="L3861"/>
    </row>
    <row r="3862" spans="1:12" ht="14.4" customHeight="1" x14ac:dyDescent="0.3">
      <c r="A3862"/>
      <c r="L3862"/>
    </row>
    <row r="3863" spans="1:12" ht="14.4" customHeight="1" x14ac:dyDescent="0.3">
      <c r="A3863"/>
      <c r="L3863"/>
    </row>
    <row r="3864" spans="1:12" ht="14.4" customHeight="1" x14ac:dyDescent="0.3">
      <c r="A3864"/>
      <c r="L3864"/>
    </row>
    <row r="3865" spans="1:12" ht="14.4" customHeight="1" x14ac:dyDescent="0.3">
      <c r="A3865"/>
      <c r="L3865"/>
    </row>
    <row r="3866" spans="1:12" ht="14.4" customHeight="1" x14ac:dyDescent="0.3">
      <c r="A3866"/>
      <c r="L3866"/>
    </row>
    <row r="3867" spans="1:12" ht="14.4" customHeight="1" x14ac:dyDescent="0.3">
      <c r="A3867"/>
      <c r="L3867"/>
    </row>
    <row r="3868" spans="1:12" ht="14.4" customHeight="1" x14ac:dyDescent="0.3">
      <c r="A3868"/>
      <c r="L3868"/>
    </row>
    <row r="3869" spans="1:12" ht="14.4" customHeight="1" x14ac:dyDescent="0.3">
      <c r="A3869"/>
      <c r="L3869"/>
    </row>
    <row r="3870" spans="1:12" ht="14.4" customHeight="1" x14ac:dyDescent="0.3">
      <c r="A3870"/>
      <c r="L3870"/>
    </row>
    <row r="3871" spans="1:12" ht="14.4" customHeight="1" x14ac:dyDescent="0.3">
      <c r="A3871"/>
      <c r="L3871"/>
    </row>
    <row r="3872" spans="1:12" ht="14.4" customHeight="1" x14ac:dyDescent="0.3">
      <c r="A3872"/>
      <c r="L3872"/>
    </row>
    <row r="3873" spans="1:12" ht="14.4" customHeight="1" x14ac:dyDescent="0.3">
      <c r="A3873"/>
      <c r="L3873"/>
    </row>
    <row r="3874" spans="1:12" ht="14.4" customHeight="1" x14ac:dyDescent="0.3">
      <c r="A3874"/>
      <c r="L3874"/>
    </row>
    <row r="3875" spans="1:12" ht="14.4" customHeight="1" x14ac:dyDescent="0.3">
      <c r="A3875"/>
      <c r="L3875"/>
    </row>
    <row r="3876" spans="1:12" ht="14.4" customHeight="1" x14ac:dyDescent="0.3">
      <c r="A3876"/>
      <c r="L3876"/>
    </row>
    <row r="3877" spans="1:12" ht="14.4" customHeight="1" x14ac:dyDescent="0.3">
      <c r="A3877"/>
      <c r="L3877"/>
    </row>
    <row r="3878" spans="1:12" ht="14.4" customHeight="1" x14ac:dyDescent="0.3">
      <c r="A3878"/>
      <c r="L3878"/>
    </row>
    <row r="3879" spans="1:12" ht="14.4" customHeight="1" x14ac:dyDescent="0.3">
      <c r="A3879"/>
      <c r="L3879"/>
    </row>
    <row r="3880" spans="1:12" ht="14.4" customHeight="1" x14ac:dyDescent="0.3">
      <c r="A3880"/>
      <c r="L3880"/>
    </row>
    <row r="3881" spans="1:12" ht="14.4" customHeight="1" x14ac:dyDescent="0.3">
      <c r="A3881"/>
      <c r="L3881"/>
    </row>
    <row r="3882" spans="1:12" ht="14.4" customHeight="1" x14ac:dyDescent="0.3">
      <c r="A3882"/>
      <c r="L3882"/>
    </row>
    <row r="3883" spans="1:12" ht="14.4" customHeight="1" x14ac:dyDescent="0.3">
      <c r="A3883"/>
      <c r="L3883"/>
    </row>
    <row r="3884" spans="1:12" ht="14.4" customHeight="1" x14ac:dyDescent="0.3">
      <c r="A3884"/>
      <c r="L3884"/>
    </row>
    <row r="3885" spans="1:12" ht="14.4" customHeight="1" x14ac:dyDescent="0.3">
      <c r="A3885"/>
      <c r="L3885"/>
    </row>
    <row r="3886" spans="1:12" ht="14.4" customHeight="1" x14ac:dyDescent="0.3">
      <c r="A3886"/>
      <c r="L3886"/>
    </row>
    <row r="3887" spans="1:12" ht="14.4" customHeight="1" x14ac:dyDescent="0.3">
      <c r="A3887"/>
      <c r="L3887"/>
    </row>
    <row r="3888" spans="1:12" ht="14.4" customHeight="1" x14ac:dyDescent="0.3">
      <c r="A3888"/>
      <c r="L3888"/>
    </row>
    <row r="3889" spans="1:12" ht="14.4" customHeight="1" x14ac:dyDescent="0.3">
      <c r="A3889"/>
      <c r="L3889"/>
    </row>
    <row r="3890" spans="1:12" ht="14.4" customHeight="1" x14ac:dyDescent="0.3">
      <c r="A3890"/>
      <c r="L3890"/>
    </row>
    <row r="3891" spans="1:12" ht="14.4" customHeight="1" x14ac:dyDescent="0.3">
      <c r="A3891"/>
      <c r="L3891"/>
    </row>
    <row r="3892" spans="1:12" ht="14.4" customHeight="1" x14ac:dyDescent="0.3">
      <c r="A3892"/>
      <c r="L3892"/>
    </row>
    <row r="3893" spans="1:12" ht="14.4" customHeight="1" x14ac:dyDescent="0.3">
      <c r="A3893"/>
      <c r="L3893"/>
    </row>
    <row r="3894" spans="1:12" ht="14.4" customHeight="1" x14ac:dyDescent="0.3">
      <c r="A3894"/>
      <c r="L3894"/>
    </row>
    <row r="3895" spans="1:12" ht="14.4" customHeight="1" x14ac:dyDescent="0.3">
      <c r="A3895"/>
      <c r="L3895"/>
    </row>
    <row r="3896" spans="1:12" ht="14.4" customHeight="1" x14ac:dyDescent="0.3">
      <c r="A3896"/>
      <c r="L3896"/>
    </row>
    <row r="3897" spans="1:12" ht="14.4" customHeight="1" x14ac:dyDescent="0.3">
      <c r="A3897"/>
      <c r="L3897"/>
    </row>
    <row r="3898" spans="1:12" ht="14.4" customHeight="1" x14ac:dyDescent="0.3">
      <c r="A3898"/>
      <c r="L3898"/>
    </row>
    <row r="3899" spans="1:12" ht="14.4" customHeight="1" x14ac:dyDescent="0.3">
      <c r="A3899"/>
      <c r="L3899"/>
    </row>
    <row r="3900" spans="1:12" ht="14.4" customHeight="1" x14ac:dyDescent="0.3">
      <c r="A3900"/>
      <c r="L3900"/>
    </row>
    <row r="3901" spans="1:12" ht="14.4" customHeight="1" x14ac:dyDescent="0.3">
      <c r="A3901"/>
      <c r="L3901"/>
    </row>
    <row r="3902" spans="1:12" ht="14.4" customHeight="1" x14ac:dyDescent="0.3">
      <c r="A3902"/>
      <c r="L3902"/>
    </row>
    <row r="3903" spans="1:12" ht="14.4" customHeight="1" x14ac:dyDescent="0.3">
      <c r="A3903"/>
      <c r="L3903"/>
    </row>
    <row r="3904" spans="1:12" ht="14.4" customHeight="1" x14ac:dyDescent="0.3">
      <c r="A3904"/>
      <c r="L3904"/>
    </row>
    <row r="3905" spans="1:12" ht="14.4" customHeight="1" x14ac:dyDescent="0.3">
      <c r="A3905"/>
      <c r="L3905"/>
    </row>
    <row r="3906" spans="1:12" ht="14.4" customHeight="1" x14ac:dyDescent="0.3">
      <c r="A3906"/>
      <c r="L3906"/>
    </row>
    <row r="3907" spans="1:12" ht="14.4" customHeight="1" x14ac:dyDescent="0.3">
      <c r="A3907"/>
      <c r="L3907"/>
    </row>
    <row r="3908" spans="1:12" ht="14.4" customHeight="1" x14ac:dyDescent="0.3">
      <c r="A3908"/>
      <c r="L3908"/>
    </row>
    <row r="3909" spans="1:12" ht="14.4" customHeight="1" x14ac:dyDescent="0.3">
      <c r="A3909"/>
      <c r="L3909"/>
    </row>
    <row r="3910" spans="1:12" ht="14.4" customHeight="1" x14ac:dyDescent="0.3">
      <c r="A3910"/>
      <c r="L3910"/>
    </row>
    <row r="3911" spans="1:12" ht="14.4" customHeight="1" x14ac:dyDescent="0.3">
      <c r="A3911"/>
      <c r="L3911"/>
    </row>
    <row r="3912" spans="1:12" ht="14.4" customHeight="1" x14ac:dyDescent="0.3">
      <c r="A3912"/>
      <c r="L3912"/>
    </row>
    <row r="3913" spans="1:12" ht="14.4" customHeight="1" x14ac:dyDescent="0.3">
      <c r="A3913"/>
      <c r="L3913"/>
    </row>
    <row r="3914" spans="1:12" ht="14.4" customHeight="1" x14ac:dyDescent="0.3">
      <c r="A3914"/>
      <c r="L3914"/>
    </row>
    <row r="3915" spans="1:12" ht="14.4" customHeight="1" x14ac:dyDescent="0.3">
      <c r="A3915"/>
      <c r="L3915"/>
    </row>
    <row r="3916" spans="1:12" ht="14.4" customHeight="1" x14ac:dyDescent="0.3">
      <c r="A3916"/>
      <c r="L3916"/>
    </row>
    <row r="3917" spans="1:12" ht="14.4" customHeight="1" x14ac:dyDescent="0.3">
      <c r="A3917"/>
      <c r="L3917"/>
    </row>
    <row r="3918" spans="1:12" ht="14.4" customHeight="1" x14ac:dyDescent="0.3">
      <c r="A3918"/>
      <c r="L3918"/>
    </row>
    <row r="3919" spans="1:12" ht="14.4" customHeight="1" x14ac:dyDescent="0.3">
      <c r="A3919"/>
      <c r="L3919"/>
    </row>
    <row r="3920" spans="1:12" ht="14.4" customHeight="1" x14ac:dyDescent="0.3">
      <c r="A3920"/>
      <c r="L3920"/>
    </row>
    <row r="3921" spans="1:12" ht="14.4" customHeight="1" x14ac:dyDescent="0.3">
      <c r="A3921"/>
      <c r="L3921"/>
    </row>
    <row r="3922" spans="1:12" ht="14.4" customHeight="1" x14ac:dyDescent="0.3">
      <c r="A3922"/>
      <c r="L3922"/>
    </row>
    <row r="3923" spans="1:12" ht="14.4" customHeight="1" x14ac:dyDescent="0.3">
      <c r="A3923"/>
      <c r="L3923"/>
    </row>
    <row r="3924" spans="1:12" ht="14.4" customHeight="1" x14ac:dyDescent="0.3">
      <c r="A3924"/>
      <c r="L3924"/>
    </row>
    <row r="3925" spans="1:12" ht="14.4" customHeight="1" x14ac:dyDescent="0.3">
      <c r="A3925"/>
      <c r="L3925"/>
    </row>
    <row r="3926" spans="1:12" ht="14.4" customHeight="1" x14ac:dyDescent="0.3">
      <c r="A3926"/>
      <c r="L3926"/>
    </row>
    <row r="3927" spans="1:12" ht="14.4" customHeight="1" x14ac:dyDescent="0.3">
      <c r="A3927"/>
      <c r="L3927"/>
    </row>
    <row r="3928" spans="1:12" ht="14.4" customHeight="1" x14ac:dyDescent="0.3">
      <c r="A3928"/>
      <c r="L3928"/>
    </row>
    <row r="3929" spans="1:12" ht="14.4" customHeight="1" x14ac:dyDescent="0.3">
      <c r="A3929"/>
      <c r="L3929"/>
    </row>
    <row r="3930" spans="1:12" ht="14.4" customHeight="1" x14ac:dyDescent="0.3">
      <c r="A3930"/>
      <c r="L3930"/>
    </row>
    <row r="3931" spans="1:12" ht="14.4" customHeight="1" x14ac:dyDescent="0.3">
      <c r="A3931"/>
      <c r="L3931"/>
    </row>
    <row r="3932" spans="1:12" ht="14.4" customHeight="1" x14ac:dyDescent="0.3">
      <c r="A3932"/>
      <c r="L3932"/>
    </row>
    <row r="3933" spans="1:12" ht="14.4" customHeight="1" x14ac:dyDescent="0.3">
      <c r="A3933"/>
      <c r="L3933"/>
    </row>
    <row r="3934" spans="1:12" ht="14.4" customHeight="1" x14ac:dyDescent="0.3">
      <c r="A3934"/>
      <c r="L3934"/>
    </row>
    <row r="3935" spans="1:12" ht="14.4" customHeight="1" x14ac:dyDescent="0.3">
      <c r="A3935"/>
      <c r="L3935"/>
    </row>
    <row r="3936" spans="1:12" ht="14.4" customHeight="1" x14ac:dyDescent="0.3">
      <c r="A3936"/>
      <c r="L3936"/>
    </row>
    <row r="3937" spans="1:12" ht="14.4" customHeight="1" x14ac:dyDescent="0.3">
      <c r="A3937"/>
      <c r="L3937"/>
    </row>
    <row r="3938" spans="1:12" ht="14.4" customHeight="1" x14ac:dyDescent="0.3">
      <c r="A3938"/>
      <c r="L3938"/>
    </row>
    <row r="3939" spans="1:12" ht="14.4" customHeight="1" x14ac:dyDescent="0.3">
      <c r="A3939"/>
      <c r="L3939"/>
    </row>
    <row r="3940" spans="1:12" ht="14.4" customHeight="1" x14ac:dyDescent="0.3">
      <c r="A3940"/>
      <c r="L3940"/>
    </row>
    <row r="3941" spans="1:12" ht="14.4" customHeight="1" x14ac:dyDescent="0.3">
      <c r="A3941"/>
      <c r="L3941"/>
    </row>
    <row r="3942" spans="1:12" ht="14.4" customHeight="1" x14ac:dyDescent="0.3">
      <c r="A3942"/>
      <c r="L3942"/>
    </row>
    <row r="3943" spans="1:12" ht="14.4" customHeight="1" x14ac:dyDescent="0.3">
      <c r="A3943"/>
      <c r="L3943"/>
    </row>
    <row r="3944" spans="1:12" ht="14.4" customHeight="1" x14ac:dyDescent="0.3">
      <c r="A3944"/>
      <c r="L3944"/>
    </row>
    <row r="3945" spans="1:12" ht="14.4" customHeight="1" x14ac:dyDescent="0.3">
      <c r="A3945"/>
      <c r="L3945"/>
    </row>
    <row r="3946" spans="1:12" ht="14.4" customHeight="1" x14ac:dyDescent="0.3">
      <c r="A3946"/>
      <c r="L3946"/>
    </row>
    <row r="3947" spans="1:12" ht="14.4" customHeight="1" x14ac:dyDescent="0.3">
      <c r="A3947"/>
      <c r="L3947"/>
    </row>
    <row r="3948" spans="1:12" ht="14.4" customHeight="1" x14ac:dyDescent="0.3">
      <c r="A3948"/>
      <c r="L3948"/>
    </row>
    <row r="3949" spans="1:12" ht="14.4" customHeight="1" x14ac:dyDescent="0.3">
      <c r="A3949"/>
      <c r="L3949"/>
    </row>
    <row r="3950" spans="1:12" ht="14.4" customHeight="1" x14ac:dyDescent="0.3">
      <c r="A3950"/>
      <c r="L3950"/>
    </row>
    <row r="3951" spans="1:12" ht="14.4" customHeight="1" x14ac:dyDescent="0.3">
      <c r="A3951"/>
      <c r="L3951"/>
    </row>
    <row r="3952" spans="1:12" ht="14.4" customHeight="1" x14ac:dyDescent="0.3">
      <c r="A3952"/>
      <c r="L3952"/>
    </row>
    <row r="3953" spans="1:12" ht="14.4" customHeight="1" x14ac:dyDescent="0.3">
      <c r="A3953"/>
      <c r="L3953"/>
    </row>
    <row r="3954" spans="1:12" ht="14.4" customHeight="1" x14ac:dyDescent="0.3">
      <c r="A3954"/>
      <c r="L3954"/>
    </row>
    <row r="3955" spans="1:12" ht="14.4" customHeight="1" x14ac:dyDescent="0.3">
      <c r="A3955"/>
      <c r="L3955"/>
    </row>
    <row r="3956" spans="1:12" ht="14.4" customHeight="1" x14ac:dyDescent="0.3">
      <c r="A3956"/>
      <c r="L3956"/>
    </row>
    <row r="3957" spans="1:12" ht="14.4" customHeight="1" x14ac:dyDescent="0.3">
      <c r="A3957"/>
      <c r="L3957"/>
    </row>
    <row r="3958" spans="1:12" ht="14.4" customHeight="1" x14ac:dyDescent="0.3">
      <c r="A3958"/>
      <c r="L3958"/>
    </row>
    <row r="3959" spans="1:12" ht="14.4" customHeight="1" x14ac:dyDescent="0.3">
      <c r="A3959"/>
      <c r="L3959"/>
    </row>
    <row r="3960" spans="1:12" ht="14.4" customHeight="1" x14ac:dyDescent="0.3">
      <c r="A3960"/>
      <c r="L3960"/>
    </row>
    <row r="3961" spans="1:12" ht="14.4" customHeight="1" x14ac:dyDescent="0.3">
      <c r="A3961"/>
      <c r="L3961"/>
    </row>
    <row r="3962" spans="1:12" ht="14.4" customHeight="1" x14ac:dyDescent="0.3">
      <c r="A3962"/>
      <c r="L3962"/>
    </row>
    <row r="3963" spans="1:12" ht="14.4" customHeight="1" x14ac:dyDescent="0.3">
      <c r="A3963"/>
      <c r="L3963"/>
    </row>
    <row r="3964" spans="1:12" ht="14.4" customHeight="1" x14ac:dyDescent="0.3">
      <c r="A3964"/>
      <c r="L3964"/>
    </row>
    <row r="3965" spans="1:12" ht="14.4" customHeight="1" x14ac:dyDescent="0.3">
      <c r="A3965"/>
      <c r="L3965"/>
    </row>
    <row r="3966" spans="1:12" ht="14.4" customHeight="1" x14ac:dyDescent="0.3">
      <c r="A3966"/>
      <c r="L3966"/>
    </row>
    <row r="3967" spans="1:12" ht="14.4" customHeight="1" x14ac:dyDescent="0.3">
      <c r="A3967"/>
      <c r="L3967"/>
    </row>
    <row r="3968" spans="1:12" ht="14.4" customHeight="1" x14ac:dyDescent="0.3">
      <c r="A3968"/>
      <c r="L3968"/>
    </row>
    <row r="3969" spans="1:12" ht="14.4" customHeight="1" x14ac:dyDescent="0.3">
      <c r="A3969"/>
      <c r="L3969"/>
    </row>
    <row r="3970" spans="1:12" ht="14.4" customHeight="1" x14ac:dyDescent="0.3">
      <c r="A3970"/>
      <c r="L3970"/>
    </row>
    <row r="3971" spans="1:12" ht="14.4" customHeight="1" x14ac:dyDescent="0.3">
      <c r="A3971"/>
      <c r="L3971"/>
    </row>
    <row r="3972" spans="1:12" ht="14.4" customHeight="1" x14ac:dyDescent="0.3">
      <c r="A3972"/>
      <c r="L3972"/>
    </row>
    <row r="3973" spans="1:12" ht="14.4" customHeight="1" x14ac:dyDescent="0.3">
      <c r="A3973"/>
      <c r="L3973"/>
    </row>
    <row r="3974" spans="1:12" ht="14.4" customHeight="1" x14ac:dyDescent="0.3">
      <c r="A3974"/>
      <c r="L3974"/>
    </row>
    <row r="3975" spans="1:12" ht="14.4" customHeight="1" x14ac:dyDescent="0.3">
      <c r="A3975"/>
      <c r="L3975"/>
    </row>
    <row r="3976" spans="1:12" ht="14.4" customHeight="1" x14ac:dyDescent="0.3">
      <c r="A3976"/>
      <c r="L3976"/>
    </row>
    <row r="3977" spans="1:12" ht="14.4" customHeight="1" x14ac:dyDescent="0.3">
      <c r="A3977"/>
      <c r="L3977"/>
    </row>
    <row r="3978" spans="1:12" ht="14.4" customHeight="1" x14ac:dyDescent="0.3">
      <c r="A3978"/>
      <c r="L3978"/>
    </row>
    <row r="3979" spans="1:12" ht="14.4" customHeight="1" x14ac:dyDescent="0.3">
      <c r="A3979"/>
      <c r="L3979"/>
    </row>
    <row r="3980" spans="1:12" ht="14.4" customHeight="1" x14ac:dyDescent="0.3">
      <c r="A3980"/>
      <c r="L3980"/>
    </row>
    <row r="3981" spans="1:12" ht="14.4" customHeight="1" x14ac:dyDescent="0.3">
      <c r="A3981"/>
      <c r="L3981"/>
    </row>
    <row r="3982" spans="1:12" ht="14.4" customHeight="1" x14ac:dyDescent="0.3">
      <c r="A3982"/>
      <c r="L3982"/>
    </row>
    <row r="3983" spans="1:12" ht="14.4" customHeight="1" x14ac:dyDescent="0.3">
      <c r="A3983"/>
      <c r="L3983"/>
    </row>
    <row r="3984" spans="1:12" ht="14.4" customHeight="1" x14ac:dyDescent="0.3">
      <c r="A3984"/>
      <c r="L3984"/>
    </row>
    <row r="3985" spans="1:12" ht="14.4" customHeight="1" x14ac:dyDescent="0.3">
      <c r="A3985"/>
      <c r="L3985"/>
    </row>
    <row r="3986" spans="1:12" ht="14.4" customHeight="1" x14ac:dyDescent="0.3">
      <c r="A3986"/>
      <c r="L3986"/>
    </row>
    <row r="3987" spans="1:12" ht="14.4" customHeight="1" x14ac:dyDescent="0.3">
      <c r="A3987"/>
      <c r="L3987"/>
    </row>
    <row r="3988" spans="1:12" ht="14.4" customHeight="1" x14ac:dyDescent="0.3">
      <c r="A3988"/>
      <c r="L3988"/>
    </row>
    <row r="3989" spans="1:12" ht="14.4" customHeight="1" x14ac:dyDescent="0.3">
      <c r="A3989"/>
      <c r="L3989"/>
    </row>
    <row r="3990" spans="1:12" ht="14.4" customHeight="1" x14ac:dyDescent="0.3">
      <c r="A3990"/>
      <c r="L3990"/>
    </row>
    <row r="3991" spans="1:12" ht="14.4" customHeight="1" x14ac:dyDescent="0.3">
      <c r="A3991"/>
      <c r="L3991"/>
    </row>
    <row r="3992" spans="1:12" ht="14.4" customHeight="1" x14ac:dyDescent="0.3">
      <c r="A3992"/>
      <c r="L3992"/>
    </row>
    <row r="3993" spans="1:12" ht="14.4" customHeight="1" x14ac:dyDescent="0.3">
      <c r="A3993"/>
      <c r="L3993"/>
    </row>
    <row r="3994" spans="1:12" ht="14.4" customHeight="1" x14ac:dyDescent="0.3">
      <c r="A3994"/>
      <c r="L3994"/>
    </row>
    <row r="3995" spans="1:12" ht="14.4" customHeight="1" x14ac:dyDescent="0.3">
      <c r="A3995"/>
      <c r="L3995"/>
    </row>
    <row r="3996" spans="1:12" ht="14.4" customHeight="1" x14ac:dyDescent="0.3">
      <c r="A3996"/>
      <c r="L3996"/>
    </row>
    <row r="3997" spans="1:12" ht="14.4" customHeight="1" x14ac:dyDescent="0.3">
      <c r="A3997"/>
      <c r="L3997"/>
    </row>
    <row r="3998" spans="1:12" ht="14.4" customHeight="1" x14ac:dyDescent="0.3">
      <c r="A3998"/>
      <c r="L3998"/>
    </row>
    <row r="3999" spans="1:12" ht="14.4" customHeight="1" x14ac:dyDescent="0.3">
      <c r="A3999"/>
      <c r="L3999"/>
    </row>
    <row r="4000" spans="1:12" ht="14.4" customHeight="1" x14ac:dyDescent="0.3">
      <c r="A4000"/>
      <c r="L4000"/>
    </row>
    <row r="4001" spans="1:12" ht="14.4" customHeight="1" x14ac:dyDescent="0.3">
      <c r="A4001"/>
      <c r="L4001"/>
    </row>
    <row r="4002" spans="1:12" ht="14.4" customHeight="1" x14ac:dyDescent="0.3">
      <c r="A4002"/>
      <c r="L4002"/>
    </row>
    <row r="4003" spans="1:12" ht="14.4" customHeight="1" x14ac:dyDescent="0.3">
      <c r="A4003"/>
      <c r="L4003"/>
    </row>
    <row r="4004" spans="1:12" ht="14.4" customHeight="1" x14ac:dyDescent="0.3">
      <c r="A4004"/>
      <c r="L4004"/>
    </row>
    <row r="4005" spans="1:12" ht="14.4" customHeight="1" x14ac:dyDescent="0.3">
      <c r="A4005"/>
      <c r="L4005"/>
    </row>
    <row r="4006" spans="1:12" ht="14.4" customHeight="1" x14ac:dyDescent="0.3">
      <c r="A4006"/>
      <c r="L4006"/>
    </row>
    <row r="4007" spans="1:12" ht="14.4" customHeight="1" x14ac:dyDescent="0.3">
      <c r="A4007"/>
      <c r="L4007"/>
    </row>
    <row r="4008" spans="1:12" ht="14.4" customHeight="1" x14ac:dyDescent="0.3">
      <c r="A4008"/>
      <c r="L4008"/>
    </row>
    <row r="4009" spans="1:12" ht="14.4" customHeight="1" x14ac:dyDescent="0.3">
      <c r="A4009"/>
      <c r="L4009"/>
    </row>
    <row r="4010" spans="1:12" ht="14.4" customHeight="1" x14ac:dyDescent="0.3">
      <c r="A4010"/>
      <c r="L4010"/>
    </row>
    <row r="4011" spans="1:12" ht="14.4" customHeight="1" x14ac:dyDescent="0.3">
      <c r="A4011"/>
      <c r="L4011"/>
    </row>
    <row r="4012" spans="1:12" ht="14.4" customHeight="1" x14ac:dyDescent="0.3">
      <c r="A4012"/>
      <c r="L4012"/>
    </row>
    <row r="4013" spans="1:12" ht="14.4" customHeight="1" x14ac:dyDescent="0.3">
      <c r="A4013"/>
      <c r="L4013"/>
    </row>
    <row r="4014" spans="1:12" ht="14.4" customHeight="1" x14ac:dyDescent="0.3">
      <c r="A4014"/>
      <c r="L4014"/>
    </row>
    <row r="4015" spans="1:12" ht="14.4" customHeight="1" x14ac:dyDescent="0.3">
      <c r="A4015"/>
      <c r="L4015"/>
    </row>
    <row r="4016" spans="1:12" ht="14.4" customHeight="1" x14ac:dyDescent="0.3">
      <c r="A4016"/>
      <c r="L4016"/>
    </row>
    <row r="4017" spans="1:12" ht="14.4" customHeight="1" x14ac:dyDescent="0.3">
      <c r="A4017"/>
      <c r="L4017"/>
    </row>
    <row r="4018" spans="1:12" ht="14.4" customHeight="1" x14ac:dyDescent="0.3">
      <c r="A4018"/>
      <c r="L4018"/>
    </row>
    <row r="4019" spans="1:12" ht="14.4" customHeight="1" x14ac:dyDescent="0.3">
      <c r="A4019"/>
      <c r="L4019"/>
    </row>
    <row r="4020" spans="1:12" ht="14.4" customHeight="1" x14ac:dyDescent="0.3">
      <c r="A4020"/>
      <c r="L4020"/>
    </row>
    <row r="4021" spans="1:12" ht="14.4" customHeight="1" x14ac:dyDescent="0.3">
      <c r="A4021"/>
      <c r="L4021"/>
    </row>
    <row r="4022" spans="1:12" ht="14.4" customHeight="1" x14ac:dyDescent="0.3">
      <c r="A4022"/>
      <c r="L4022"/>
    </row>
    <row r="4023" spans="1:12" ht="14.4" customHeight="1" x14ac:dyDescent="0.3">
      <c r="A4023"/>
      <c r="L4023"/>
    </row>
    <row r="4024" spans="1:12" ht="14.4" customHeight="1" x14ac:dyDescent="0.3">
      <c r="A4024"/>
      <c r="L4024"/>
    </row>
    <row r="4025" spans="1:12" ht="14.4" customHeight="1" x14ac:dyDescent="0.3">
      <c r="A4025"/>
      <c r="L4025"/>
    </row>
    <row r="4026" spans="1:12" ht="14.4" customHeight="1" x14ac:dyDescent="0.3">
      <c r="A4026"/>
      <c r="L4026"/>
    </row>
    <row r="4027" spans="1:12" ht="14.4" customHeight="1" x14ac:dyDescent="0.3">
      <c r="A4027"/>
      <c r="L4027"/>
    </row>
    <row r="4028" spans="1:12" ht="14.4" customHeight="1" x14ac:dyDescent="0.3">
      <c r="A4028"/>
      <c r="L4028"/>
    </row>
    <row r="4029" spans="1:12" ht="14.4" customHeight="1" x14ac:dyDescent="0.3">
      <c r="A4029"/>
      <c r="L4029"/>
    </row>
    <row r="4030" spans="1:12" ht="14.4" customHeight="1" x14ac:dyDescent="0.3">
      <c r="A4030"/>
      <c r="L4030"/>
    </row>
    <row r="4031" spans="1:12" ht="14.4" customHeight="1" x14ac:dyDescent="0.3">
      <c r="A4031"/>
      <c r="L4031"/>
    </row>
    <row r="4032" spans="1:12" ht="14.4" customHeight="1" x14ac:dyDescent="0.3">
      <c r="A4032"/>
      <c r="L4032"/>
    </row>
    <row r="4033" spans="1:12" ht="14.4" customHeight="1" x14ac:dyDescent="0.3">
      <c r="A4033"/>
      <c r="L4033"/>
    </row>
    <row r="4034" spans="1:12" ht="14.4" customHeight="1" x14ac:dyDescent="0.3">
      <c r="A4034"/>
      <c r="L4034"/>
    </row>
    <row r="4035" spans="1:12" ht="14.4" customHeight="1" x14ac:dyDescent="0.3">
      <c r="A4035"/>
      <c r="L4035"/>
    </row>
    <row r="4036" spans="1:12" ht="14.4" customHeight="1" x14ac:dyDescent="0.3">
      <c r="A4036"/>
      <c r="L4036"/>
    </row>
    <row r="4037" spans="1:12" ht="14.4" customHeight="1" x14ac:dyDescent="0.3">
      <c r="A4037"/>
      <c r="L4037"/>
    </row>
    <row r="4038" spans="1:12" ht="14.4" customHeight="1" x14ac:dyDescent="0.3">
      <c r="A4038"/>
      <c r="L4038"/>
    </row>
    <row r="4039" spans="1:12" ht="14.4" customHeight="1" x14ac:dyDescent="0.3">
      <c r="A4039"/>
      <c r="L4039"/>
    </row>
    <row r="4040" spans="1:12" ht="14.4" customHeight="1" x14ac:dyDescent="0.3">
      <c r="A4040"/>
      <c r="L4040"/>
    </row>
    <row r="4041" spans="1:12" ht="14.4" customHeight="1" x14ac:dyDescent="0.3">
      <c r="A4041"/>
      <c r="L4041"/>
    </row>
    <row r="4042" spans="1:12" ht="14.4" customHeight="1" x14ac:dyDescent="0.3">
      <c r="A4042"/>
      <c r="L4042"/>
    </row>
    <row r="4043" spans="1:12" ht="14.4" customHeight="1" x14ac:dyDescent="0.3">
      <c r="A4043"/>
      <c r="L4043"/>
    </row>
    <row r="4044" spans="1:12" ht="14.4" customHeight="1" x14ac:dyDescent="0.3">
      <c r="A4044"/>
      <c r="L4044"/>
    </row>
    <row r="4045" spans="1:12" ht="14.4" customHeight="1" x14ac:dyDescent="0.3">
      <c r="A4045"/>
      <c r="L4045"/>
    </row>
    <row r="4046" spans="1:12" ht="14.4" customHeight="1" x14ac:dyDescent="0.3">
      <c r="A4046"/>
      <c r="L4046"/>
    </row>
    <row r="4047" spans="1:12" ht="14.4" customHeight="1" x14ac:dyDescent="0.3">
      <c r="A4047"/>
      <c r="L4047"/>
    </row>
    <row r="4048" spans="1:12" ht="14.4" customHeight="1" x14ac:dyDescent="0.3">
      <c r="A4048"/>
      <c r="L4048"/>
    </row>
    <row r="4049" spans="1:12" ht="14.4" customHeight="1" x14ac:dyDescent="0.3">
      <c r="A4049"/>
      <c r="L4049"/>
    </row>
    <row r="4050" spans="1:12" ht="14.4" customHeight="1" x14ac:dyDescent="0.3">
      <c r="A4050"/>
      <c r="L4050"/>
    </row>
    <row r="4051" spans="1:12" ht="14.4" customHeight="1" x14ac:dyDescent="0.3">
      <c r="A4051"/>
      <c r="L4051"/>
    </row>
    <row r="4052" spans="1:12" ht="14.4" customHeight="1" x14ac:dyDescent="0.3">
      <c r="A4052"/>
      <c r="L4052"/>
    </row>
    <row r="4053" spans="1:12" ht="14.4" customHeight="1" x14ac:dyDescent="0.3">
      <c r="A4053"/>
      <c r="L4053"/>
    </row>
    <row r="4054" spans="1:12" ht="14.4" customHeight="1" x14ac:dyDescent="0.3">
      <c r="A4054"/>
      <c r="L4054"/>
    </row>
    <row r="4055" spans="1:12" ht="14.4" customHeight="1" x14ac:dyDescent="0.3">
      <c r="A4055"/>
      <c r="L4055"/>
    </row>
    <row r="4056" spans="1:12" ht="14.4" customHeight="1" x14ac:dyDescent="0.3">
      <c r="A4056"/>
      <c r="L4056"/>
    </row>
    <row r="4057" spans="1:12" ht="14.4" customHeight="1" x14ac:dyDescent="0.3">
      <c r="A4057"/>
      <c r="L4057"/>
    </row>
    <row r="4058" spans="1:12" ht="14.4" customHeight="1" x14ac:dyDescent="0.3">
      <c r="A4058"/>
      <c r="L4058"/>
    </row>
    <row r="4059" spans="1:12" ht="14.4" customHeight="1" x14ac:dyDescent="0.3">
      <c r="A4059"/>
      <c r="L4059"/>
    </row>
    <row r="4060" spans="1:12" ht="14.4" customHeight="1" x14ac:dyDescent="0.3">
      <c r="A4060"/>
      <c r="L4060"/>
    </row>
    <row r="4061" spans="1:12" ht="14.4" customHeight="1" x14ac:dyDescent="0.3">
      <c r="A4061"/>
      <c r="L4061"/>
    </row>
    <row r="4062" spans="1:12" ht="14.4" customHeight="1" x14ac:dyDescent="0.3">
      <c r="A4062"/>
      <c r="L4062"/>
    </row>
    <row r="4063" spans="1:12" ht="14.4" customHeight="1" x14ac:dyDescent="0.3">
      <c r="A4063"/>
      <c r="L4063"/>
    </row>
    <row r="4064" spans="1:12" ht="14.4" customHeight="1" x14ac:dyDescent="0.3">
      <c r="A4064"/>
      <c r="L4064"/>
    </row>
    <row r="4065" spans="1:12" ht="14.4" customHeight="1" x14ac:dyDescent="0.3">
      <c r="A4065"/>
      <c r="L4065"/>
    </row>
    <row r="4066" spans="1:12" ht="14.4" customHeight="1" x14ac:dyDescent="0.3">
      <c r="A4066"/>
      <c r="L4066"/>
    </row>
    <row r="4067" spans="1:12" ht="14.4" customHeight="1" x14ac:dyDescent="0.3">
      <c r="A4067"/>
      <c r="L4067"/>
    </row>
    <row r="4068" spans="1:12" ht="14.4" customHeight="1" x14ac:dyDescent="0.3">
      <c r="A4068"/>
      <c r="L4068"/>
    </row>
    <row r="4069" spans="1:12" ht="14.4" customHeight="1" x14ac:dyDescent="0.3">
      <c r="A4069"/>
      <c r="L4069"/>
    </row>
    <row r="4070" spans="1:12" ht="14.4" customHeight="1" x14ac:dyDescent="0.3">
      <c r="A4070"/>
      <c r="L4070"/>
    </row>
    <row r="4071" spans="1:12" ht="14.4" customHeight="1" x14ac:dyDescent="0.3">
      <c r="A4071"/>
      <c r="L4071"/>
    </row>
    <row r="4072" spans="1:12" ht="14.4" customHeight="1" x14ac:dyDescent="0.3">
      <c r="A4072"/>
      <c r="L4072"/>
    </row>
    <row r="4073" spans="1:12" ht="14.4" customHeight="1" x14ac:dyDescent="0.3">
      <c r="A4073"/>
      <c r="L4073"/>
    </row>
    <row r="4074" spans="1:12" ht="14.4" customHeight="1" x14ac:dyDescent="0.3">
      <c r="A4074"/>
      <c r="L4074"/>
    </row>
    <row r="4075" spans="1:12" ht="14.4" customHeight="1" x14ac:dyDescent="0.3">
      <c r="A4075"/>
      <c r="L4075"/>
    </row>
    <row r="4076" spans="1:12" ht="14.4" customHeight="1" x14ac:dyDescent="0.3">
      <c r="A4076"/>
      <c r="L4076"/>
    </row>
    <row r="4077" spans="1:12" ht="14.4" customHeight="1" x14ac:dyDescent="0.3">
      <c r="A4077"/>
      <c r="L4077"/>
    </row>
    <row r="4078" spans="1:12" ht="14.4" customHeight="1" x14ac:dyDescent="0.3">
      <c r="A4078"/>
      <c r="L4078"/>
    </row>
    <row r="4079" spans="1:12" ht="14.4" customHeight="1" x14ac:dyDescent="0.3">
      <c r="A4079"/>
      <c r="L4079"/>
    </row>
    <row r="4080" spans="1:12" ht="14.4" customHeight="1" x14ac:dyDescent="0.3">
      <c r="A4080"/>
      <c r="L4080"/>
    </row>
    <row r="4081" spans="1:12" ht="14.4" customHeight="1" x14ac:dyDescent="0.3">
      <c r="A4081"/>
      <c r="L4081"/>
    </row>
    <row r="4082" spans="1:12" ht="14.4" customHeight="1" x14ac:dyDescent="0.3">
      <c r="A4082"/>
      <c r="L4082"/>
    </row>
    <row r="4083" spans="1:12" ht="14.4" customHeight="1" x14ac:dyDescent="0.3">
      <c r="A4083"/>
      <c r="L4083"/>
    </row>
    <row r="4084" spans="1:12" ht="14.4" customHeight="1" x14ac:dyDescent="0.3">
      <c r="A4084"/>
      <c r="L4084"/>
    </row>
    <row r="4085" spans="1:12" ht="14.4" customHeight="1" x14ac:dyDescent="0.3">
      <c r="A4085"/>
      <c r="L4085"/>
    </row>
    <row r="4086" spans="1:12" ht="14.4" customHeight="1" x14ac:dyDescent="0.3">
      <c r="A4086"/>
      <c r="L4086"/>
    </row>
    <row r="4087" spans="1:12" ht="14.4" customHeight="1" x14ac:dyDescent="0.3">
      <c r="A4087"/>
      <c r="L4087"/>
    </row>
    <row r="4088" spans="1:12" ht="14.4" customHeight="1" x14ac:dyDescent="0.3">
      <c r="A4088"/>
      <c r="L4088"/>
    </row>
    <row r="4089" spans="1:12" ht="14.4" customHeight="1" x14ac:dyDescent="0.3">
      <c r="A4089"/>
      <c r="L4089"/>
    </row>
    <row r="4090" spans="1:12" ht="14.4" customHeight="1" x14ac:dyDescent="0.3">
      <c r="A4090"/>
      <c r="L4090"/>
    </row>
    <row r="4091" spans="1:12" ht="14.4" customHeight="1" x14ac:dyDescent="0.3">
      <c r="A4091"/>
      <c r="L4091"/>
    </row>
    <row r="4092" spans="1:12" ht="14.4" customHeight="1" x14ac:dyDescent="0.3">
      <c r="A4092"/>
      <c r="L4092"/>
    </row>
    <row r="4093" spans="1:12" ht="14.4" customHeight="1" x14ac:dyDescent="0.3">
      <c r="A4093"/>
      <c r="L4093"/>
    </row>
    <row r="4094" spans="1:12" ht="14.4" customHeight="1" x14ac:dyDescent="0.3">
      <c r="A4094"/>
      <c r="L4094"/>
    </row>
    <row r="4095" spans="1:12" ht="14.4" customHeight="1" x14ac:dyDescent="0.3">
      <c r="A4095"/>
      <c r="L4095"/>
    </row>
    <row r="4096" spans="1:12" ht="14.4" customHeight="1" x14ac:dyDescent="0.3">
      <c r="A4096"/>
      <c r="L4096"/>
    </row>
    <row r="4097" spans="1:12" ht="14.4" customHeight="1" x14ac:dyDescent="0.3">
      <c r="A4097"/>
      <c r="L4097"/>
    </row>
    <row r="4098" spans="1:12" ht="14.4" customHeight="1" x14ac:dyDescent="0.3">
      <c r="A4098"/>
      <c r="L4098"/>
    </row>
    <row r="4099" spans="1:12" ht="14.4" customHeight="1" x14ac:dyDescent="0.3">
      <c r="A4099"/>
      <c r="L4099"/>
    </row>
    <row r="4100" spans="1:12" ht="14.4" customHeight="1" x14ac:dyDescent="0.3">
      <c r="A4100"/>
      <c r="L4100"/>
    </row>
    <row r="4101" spans="1:12" ht="14.4" customHeight="1" x14ac:dyDescent="0.3">
      <c r="A4101"/>
      <c r="L4101"/>
    </row>
    <row r="4102" spans="1:12" ht="14.4" customHeight="1" x14ac:dyDescent="0.3">
      <c r="A4102"/>
      <c r="L4102"/>
    </row>
    <row r="4103" spans="1:12" ht="14.4" customHeight="1" x14ac:dyDescent="0.3">
      <c r="A4103"/>
      <c r="L4103"/>
    </row>
    <row r="4104" spans="1:12" ht="14.4" customHeight="1" x14ac:dyDescent="0.3">
      <c r="A4104"/>
      <c r="L4104"/>
    </row>
    <row r="4105" spans="1:12" ht="14.4" customHeight="1" x14ac:dyDescent="0.3">
      <c r="A4105"/>
      <c r="L4105"/>
    </row>
    <row r="4106" spans="1:12" ht="14.4" customHeight="1" x14ac:dyDescent="0.3">
      <c r="A4106"/>
      <c r="L4106"/>
    </row>
    <row r="4107" spans="1:12" ht="14.4" customHeight="1" x14ac:dyDescent="0.3">
      <c r="A4107"/>
      <c r="L4107"/>
    </row>
    <row r="4108" spans="1:12" ht="14.4" customHeight="1" x14ac:dyDescent="0.3">
      <c r="A4108"/>
      <c r="L4108"/>
    </row>
    <row r="4109" spans="1:12" ht="14.4" customHeight="1" x14ac:dyDescent="0.3">
      <c r="A4109"/>
      <c r="L4109"/>
    </row>
    <row r="4110" spans="1:12" ht="14.4" customHeight="1" x14ac:dyDescent="0.3">
      <c r="A4110"/>
      <c r="L4110"/>
    </row>
    <row r="4111" spans="1:12" ht="14.4" customHeight="1" x14ac:dyDescent="0.3">
      <c r="A4111"/>
      <c r="L4111"/>
    </row>
    <row r="4112" spans="1:12" ht="14.4" customHeight="1" x14ac:dyDescent="0.3">
      <c r="A4112"/>
      <c r="L4112"/>
    </row>
    <row r="4113" spans="1:12" ht="14.4" customHeight="1" x14ac:dyDescent="0.3">
      <c r="A4113"/>
      <c r="L4113"/>
    </row>
    <row r="4114" spans="1:12" ht="14.4" customHeight="1" x14ac:dyDescent="0.3">
      <c r="A4114"/>
      <c r="L4114"/>
    </row>
    <row r="4115" spans="1:12" ht="14.4" customHeight="1" x14ac:dyDescent="0.3">
      <c r="A4115"/>
      <c r="L4115"/>
    </row>
    <row r="4116" spans="1:12" ht="14.4" customHeight="1" x14ac:dyDescent="0.3">
      <c r="A4116"/>
      <c r="L4116"/>
    </row>
    <row r="4117" spans="1:12" ht="14.4" customHeight="1" x14ac:dyDescent="0.3">
      <c r="A4117"/>
      <c r="L4117"/>
    </row>
    <row r="4118" spans="1:12" ht="14.4" customHeight="1" x14ac:dyDescent="0.3">
      <c r="A4118"/>
      <c r="L4118"/>
    </row>
    <row r="4119" spans="1:12" ht="14.4" customHeight="1" x14ac:dyDescent="0.3">
      <c r="A4119"/>
      <c r="L4119"/>
    </row>
    <row r="4120" spans="1:12" ht="14.4" customHeight="1" x14ac:dyDescent="0.3">
      <c r="A4120"/>
      <c r="L4120"/>
    </row>
    <row r="4121" spans="1:12" ht="14.4" customHeight="1" x14ac:dyDescent="0.3">
      <c r="A4121"/>
      <c r="L4121"/>
    </row>
    <row r="4122" spans="1:12" ht="14.4" customHeight="1" x14ac:dyDescent="0.3">
      <c r="A4122"/>
      <c r="L4122"/>
    </row>
    <row r="4123" spans="1:12" ht="14.4" customHeight="1" x14ac:dyDescent="0.3">
      <c r="A4123"/>
      <c r="L4123"/>
    </row>
    <row r="4124" spans="1:12" ht="14.4" customHeight="1" x14ac:dyDescent="0.3">
      <c r="A4124"/>
      <c r="L4124"/>
    </row>
    <row r="4125" spans="1:12" ht="14.4" customHeight="1" x14ac:dyDescent="0.3">
      <c r="A4125"/>
      <c r="L4125"/>
    </row>
    <row r="4126" spans="1:12" ht="14.4" customHeight="1" x14ac:dyDescent="0.3">
      <c r="A4126"/>
      <c r="L4126"/>
    </row>
    <row r="4127" spans="1:12" ht="14.4" customHeight="1" x14ac:dyDescent="0.3">
      <c r="A4127"/>
      <c r="L4127"/>
    </row>
    <row r="4128" spans="1:12" ht="14.4" customHeight="1" x14ac:dyDescent="0.3">
      <c r="A4128"/>
      <c r="L4128"/>
    </row>
    <row r="4129" spans="1:12" ht="14.4" customHeight="1" x14ac:dyDescent="0.3">
      <c r="A4129"/>
      <c r="L4129"/>
    </row>
    <row r="4130" spans="1:12" ht="14.4" customHeight="1" x14ac:dyDescent="0.3">
      <c r="A4130"/>
      <c r="L4130"/>
    </row>
    <row r="4131" spans="1:12" ht="14.4" customHeight="1" x14ac:dyDescent="0.3">
      <c r="A4131"/>
      <c r="L4131"/>
    </row>
    <row r="4132" spans="1:12" ht="14.4" customHeight="1" x14ac:dyDescent="0.3">
      <c r="A4132"/>
      <c r="L4132"/>
    </row>
    <row r="4133" spans="1:12" ht="14.4" customHeight="1" x14ac:dyDescent="0.3">
      <c r="A4133"/>
      <c r="L4133"/>
    </row>
    <row r="4134" spans="1:12" ht="14.4" customHeight="1" x14ac:dyDescent="0.3">
      <c r="A4134"/>
      <c r="L4134"/>
    </row>
    <row r="4135" spans="1:12" ht="14.4" customHeight="1" x14ac:dyDescent="0.3">
      <c r="A4135"/>
      <c r="L4135"/>
    </row>
    <row r="4136" spans="1:12" ht="14.4" customHeight="1" x14ac:dyDescent="0.3">
      <c r="A4136"/>
      <c r="L4136"/>
    </row>
    <row r="4137" spans="1:12" ht="14.4" customHeight="1" x14ac:dyDescent="0.3">
      <c r="A4137"/>
      <c r="L4137"/>
    </row>
    <row r="4138" spans="1:12" ht="14.4" customHeight="1" x14ac:dyDescent="0.3">
      <c r="A4138"/>
      <c r="L4138"/>
    </row>
    <row r="4139" spans="1:12" ht="14.4" customHeight="1" x14ac:dyDescent="0.3">
      <c r="A4139"/>
      <c r="L4139"/>
    </row>
    <row r="4140" spans="1:12" ht="14.4" customHeight="1" x14ac:dyDescent="0.3">
      <c r="A4140"/>
      <c r="L4140"/>
    </row>
    <row r="4141" spans="1:12" ht="14.4" customHeight="1" x14ac:dyDescent="0.3">
      <c r="A4141"/>
      <c r="L4141"/>
    </row>
    <row r="4142" spans="1:12" ht="14.4" customHeight="1" x14ac:dyDescent="0.3">
      <c r="A4142"/>
      <c r="L4142"/>
    </row>
    <row r="4143" spans="1:12" ht="14.4" customHeight="1" x14ac:dyDescent="0.3">
      <c r="A4143"/>
      <c r="L4143"/>
    </row>
    <row r="4144" spans="1:12" ht="14.4" customHeight="1" x14ac:dyDescent="0.3">
      <c r="A4144"/>
      <c r="L4144"/>
    </row>
    <row r="4145" spans="1:12" ht="14.4" customHeight="1" x14ac:dyDescent="0.3">
      <c r="A4145"/>
      <c r="L4145"/>
    </row>
    <row r="4146" spans="1:12" ht="14.4" customHeight="1" x14ac:dyDescent="0.3">
      <c r="A4146"/>
      <c r="L4146"/>
    </row>
    <row r="4147" spans="1:12" ht="14.4" customHeight="1" x14ac:dyDescent="0.3">
      <c r="A4147"/>
      <c r="L4147"/>
    </row>
    <row r="4148" spans="1:12" ht="14.4" customHeight="1" x14ac:dyDescent="0.3">
      <c r="A4148"/>
      <c r="L4148"/>
    </row>
    <row r="4149" spans="1:12" ht="14.4" customHeight="1" x14ac:dyDescent="0.3">
      <c r="A4149"/>
      <c r="L4149"/>
    </row>
    <row r="4150" spans="1:12" ht="14.4" customHeight="1" x14ac:dyDescent="0.3">
      <c r="A4150"/>
      <c r="L4150"/>
    </row>
    <row r="4151" spans="1:12" ht="14.4" customHeight="1" x14ac:dyDescent="0.3">
      <c r="A4151"/>
      <c r="L4151"/>
    </row>
    <row r="4152" spans="1:12" ht="14.4" customHeight="1" x14ac:dyDescent="0.3">
      <c r="A4152"/>
      <c r="L4152"/>
    </row>
    <row r="4153" spans="1:12" ht="14.4" customHeight="1" x14ac:dyDescent="0.3">
      <c r="A4153"/>
      <c r="L4153"/>
    </row>
    <row r="4154" spans="1:12" ht="14.4" customHeight="1" x14ac:dyDescent="0.3">
      <c r="A4154"/>
      <c r="L4154"/>
    </row>
    <row r="4155" spans="1:12" ht="14.4" customHeight="1" x14ac:dyDescent="0.3">
      <c r="A4155"/>
      <c r="L4155"/>
    </row>
    <row r="4156" spans="1:12" ht="14.4" customHeight="1" x14ac:dyDescent="0.3">
      <c r="A4156"/>
      <c r="L4156"/>
    </row>
    <row r="4157" spans="1:12" ht="14.4" customHeight="1" x14ac:dyDescent="0.3">
      <c r="A4157"/>
      <c r="L4157"/>
    </row>
    <row r="4158" spans="1:12" ht="14.4" customHeight="1" x14ac:dyDescent="0.3">
      <c r="A4158"/>
      <c r="L4158"/>
    </row>
    <row r="4159" spans="1:12" ht="14.4" customHeight="1" x14ac:dyDescent="0.3">
      <c r="A4159"/>
      <c r="L4159"/>
    </row>
    <row r="4160" spans="1:12" ht="14.4" customHeight="1" x14ac:dyDescent="0.3">
      <c r="A4160"/>
      <c r="L4160"/>
    </row>
    <row r="4161" spans="1:12" ht="14.4" customHeight="1" x14ac:dyDescent="0.3">
      <c r="A4161"/>
      <c r="L4161"/>
    </row>
    <row r="4162" spans="1:12" ht="14.4" customHeight="1" x14ac:dyDescent="0.3">
      <c r="A4162"/>
      <c r="L4162"/>
    </row>
    <row r="4163" spans="1:12" ht="14.4" customHeight="1" x14ac:dyDescent="0.3">
      <c r="A4163"/>
      <c r="L4163"/>
    </row>
    <row r="4164" spans="1:12" ht="14.4" customHeight="1" x14ac:dyDescent="0.3">
      <c r="A4164"/>
      <c r="L4164"/>
    </row>
    <row r="4165" spans="1:12" ht="14.4" customHeight="1" x14ac:dyDescent="0.3">
      <c r="A4165"/>
      <c r="L4165"/>
    </row>
    <row r="4166" spans="1:12" ht="14.4" customHeight="1" x14ac:dyDescent="0.3">
      <c r="A4166"/>
      <c r="L4166"/>
    </row>
    <row r="4167" spans="1:12" ht="14.4" customHeight="1" x14ac:dyDescent="0.3">
      <c r="A4167"/>
      <c r="L4167"/>
    </row>
    <row r="4168" spans="1:12" ht="14.4" customHeight="1" x14ac:dyDescent="0.3">
      <c r="A4168"/>
      <c r="L4168"/>
    </row>
    <row r="4169" spans="1:12" ht="14.4" customHeight="1" x14ac:dyDescent="0.3">
      <c r="A4169"/>
      <c r="L4169"/>
    </row>
    <row r="4170" spans="1:12" ht="14.4" customHeight="1" x14ac:dyDescent="0.3">
      <c r="A4170"/>
      <c r="L4170"/>
    </row>
    <row r="4171" spans="1:12" ht="14.4" customHeight="1" x14ac:dyDescent="0.3">
      <c r="A4171"/>
      <c r="L4171"/>
    </row>
    <row r="4172" spans="1:12" ht="14.4" customHeight="1" x14ac:dyDescent="0.3">
      <c r="A4172"/>
      <c r="L4172"/>
    </row>
    <row r="4173" spans="1:12" ht="14.4" customHeight="1" x14ac:dyDescent="0.3">
      <c r="A4173"/>
      <c r="L4173"/>
    </row>
    <row r="4174" spans="1:12" ht="14.4" customHeight="1" x14ac:dyDescent="0.3">
      <c r="A4174"/>
      <c r="L4174"/>
    </row>
    <row r="4175" spans="1:12" ht="14.4" customHeight="1" x14ac:dyDescent="0.3">
      <c r="A4175"/>
      <c r="L4175"/>
    </row>
    <row r="4176" spans="1:12" ht="14.4" customHeight="1" x14ac:dyDescent="0.3">
      <c r="A4176"/>
      <c r="L4176"/>
    </row>
    <row r="4177" spans="1:12" ht="14.4" customHeight="1" x14ac:dyDescent="0.3">
      <c r="A4177"/>
      <c r="L4177"/>
    </row>
    <row r="4178" spans="1:12" ht="14.4" customHeight="1" x14ac:dyDescent="0.3">
      <c r="A4178"/>
      <c r="L4178"/>
    </row>
    <row r="4179" spans="1:12" ht="14.4" customHeight="1" x14ac:dyDescent="0.3">
      <c r="A4179"/>
      <c r="L4179"/>
    </row>
    <row r="4180" spans="1:12" ht="14.4" customHeight="1" x14ac:dyDescent="0.3">
      <c r="A4180"/>
      <c r="L4180"/>
    </row>
    <row r="4181" spans="1:12" ht="14.4" customHeight="1" x14ac:dyDescent="0.3">
      <c r="A4181"/>
      <c r="L4181"/>
    </row>
    <row r="4182" spans="1:12" ht="14.4" customHeight="1" x14ac:dyDescent="0.3">
      <c r="A4182"/>
      <c r="L4182"/>
    </row>
    <row r="4183" spans="1:12" ht="14.4" customHeight="1" x14ac:dyDescent="0.3">
      <c r="A4183"/>
      <c r="L4183"/>
    </row>
    <row r="4184" spans="1:12" ht="14.4" customHeight="1" x14ac:dyDescent="0.3">
      <c r="A4184"/>
      <c r="L4184"/>
    </row>
    <row r="4185" spans="1:12" ht="14.4" customHeight="1" x14ac:dyDescent="0.3">
      <c r="A4185"/>
      <c r="L4185"/>
    </row>
    <row r="4186" spans="1:12" ht="14.4" customHeight="1" x14ac:dyDescent="0.3">
      <c r="A4186"/>
      <c r="L4186"/>
    </row>
    <row r="4187" spans="1:12" ht="14.4" customHeight="1" x14ac:dyDescent="0.3">
      <c r="A4187"/>
      <c r="L4187"/>
    </row>
    <row r="4188" spans="1:12" ht="14.4" customHeight="1" x14ac:dyDescent="0.3">
      <c r="A4188"/>
      <c r="L4188"/>
    </row>
    <row r="4189" spans="1:12" ht="14.4" customHeight="1" x14ac:dyDescent="0.3">
      <c r="A4189"/>
      <c r="L4189"/>
    </row>
    <row r="4190" spans="1:12" ht="14.4" customHeight="1" x14ac:dyDescent="0.3">
      <c r="A4190"/>
      <c r="L4190"/>
    </row>
    <row r="4191" spans="1:12" ht="14.4" customHeight="1" x14ac:dyDescent="0.3">
      <c r="A4191"/>
      <c r="L4191"/>
    </row>
    <row r="4192" spans="1:12" ht="14.4" customHeight="1" x14ac:dyDescent="0.3">
      <c r="A4192"/>
      <c r="L4192"/>
    </row>
    <row r="4193" spans="1:12" ht="14.4" customHeight="1" x14ac:dyDescent="0.3">
      <c r="A4193"/>
      <c r="L4193"/>
    </row>
    <row r="4194" spans="1:12" ht="14.4" customHeight="1" x14ac:dyDescent="0.3">
      <c r="A4194"/>
      <c r="L4194"/>
    </row>
    <row r="4195" spans="1:12" ht="14.4" customHeight="1" x14ac:dyDescent="0.3">
      <c r="A4195"/>
      <c r="L4195"/>
    </row>
    <row r="4196" spans="1:12" ht="14.4" customHeight="1" x14ac:dyDescent="0.3">
      <c r="A4196"/>
      <c r="L4196"/>
    </row>
    <row r="4197" spans="1:12" ht="14.4" customHeight="1" x14ac:dyDescent="0.3">
      <c r="A4197"/>
      <c r="L4197"/>
    </row>
    <row r="4198" spans="1:12" ht="14.4" customHeight="1" x14ac:dyDescent="0.3">
      <c r="A4198"/>
      <c r="L4198"/>
    </row>
    <row r="4199" spans="1:12" ht="14.4" customHeight="1" x14ac:dyDescent="0.3">
      <c r="A4199"/>
      <c r="L4199"/>
    </row>
    <row r="4200" spans="1:12" ht="14.4" customHeight="1" x14ac:dyDescent="0.3">
      <c r="A4200"/>
      <c r="L4200"/>
    </row>
    <row r="4201" spans="1:12" ht="14.4" customHeight="1" x14ac:dyDescent="0.3">
      <c r="A4201"/>
      <c r="L4201"/>
    </row>
    <row r="4202" spans="1:12" ht="14.4" customHeight="1" x14ac:dyDescent="0.3">
      <c r="A4202"/>
      <c r="L4202"/>
    </row>
    <row r="4203" spans="1:12" ht="14.4" customHeight="1" x14ac:dyDescent="0.3">
      <c r="A4203"/>
      <c r="L4203"/>
    </row>
    <row r="4204" spans="1:12" ht="14.4" customHeight="1" x14ac:dyDescent="0.3">
      <c r="A4204"/>
      <c r="L4204"/>
    </row>
    <row r="4205" spans="1:12" ht="14.4" customHeight="1" x14ac:dyDescent="0.3">
      <c r="A4205"/>
      <c r="L4205"/>
    </row>
    <row r="4206" spans="1:12" ht="14.4" customHeight="1" x14ac:dyDescent="0.3">
      <c r="A4206"/>
      <c r="L4206"/>
    </row>
    <row r="4207" spans="1:12" ht="14.4" customHeight="1" x14ac:dyDescent="0.3">
      <c r="A4207"/>
      <c r="L4207"/>
    </row>
    <row r="4208" spans="1:12" ht="14.4" customHeight="1" x14ac:dyDescent="0.3">
      <c r="A4208"/>
      <c r="L4208"/>
    </row>
    <row r="4209" spans="1:12" ht="14.4" customHeight="1" x14ac:dyDescent="0.3">
      <c r="A4209"/>
      <c r="L4209"/>
    </row>
    <row r="4210" spans="1:12" ht="14.4" customHeight="1" x14ac:dyDescent="0.3">
      <c r="A4210"/>
      <c r="L4210"/>
    </row>
    <row r="4211" spans="1:12" ht="14.4" customHeight="1" x14ac:dyDescent="0.3">
      <c r="A4211"/>
      <c r="L4211"/>
    </row>
    <row r="4212" spans="1:12" ht="14.4" customHeight="1" x14ac:dyDescent="0.3">
      <c r="A4212"/>
      <c r="L4212"/>
    </row>
    <row r="4213" spans="1:12" ht="14.4" customHeight="1" x14ac:dyDescent="0.3">
      <c r="A4213"/>
      <c r="L4213"/>
    </row>
    <row r="4214" spans="1:12" ht="14.4" customHeight="1" x14ac:dyDescent="0.3">
      <c r="A4214"/>
      <c r="L4214"/>
    </row>
    <row r="4215" spans="1:12" ht="14.4" customHeight="1" x14ac:dyDescent="0.3">
      <c r="A4215"/>
      <c r="L4215"/>
    </row>
    <row r="4216" spans="1:12" ht="14.4" customHeight="1" x14ac:dyDescent="0.3">
      <c r="A4216"/>
      <c r="L4216"/>
    </row>
    <row r="4217" spans="1:12" ht="14.4" customHeight="1" x14ac:dyDescent="0.3">
      <c r="A4217"/>
      <c r="L4217"/>
    </row>
    <row r="4218" spans="1:12" ht="14.4" customHeight="1" x14ac:dyDescent="0.3">
      <c r="A4218"/>
      <c r="L4218"/>
    </row>
    <row r="4219" spans="1:12" ht="14.4" customHeight="1" x14ac:dyDescent="0.3">
      <c r="A4219"/>
      <c r="L4219"/>
    </row>
    <row r="4220" spans="1:12" ht="14.4" customHeight="1" x14ac:dyDescent="0.3">
      <c r="A4220"/>
      <c r="L4220"/>
    </row>
    <row r="4221" spans="1:12" ht="14.4" customHeight="1" x14ac:dyDescent="0.3">
      <c r="A4221"/>
      <c r="L4221"/>
    </row>
    <row r="4222" spans="1:12" ht="14.4" customHeight="1" x14ac:dyDescent="0.3">
      <c r="A4222"/>
      <c r="L4222"/>
    </row>
    <row r="4223" spans="1:12" ht="14.4" customHeight="1" x14ac:dyDescent="0.3">
      <c r="A4223"/>
      <c r="L4223"/>
    </row>
    <row r="4224" spans="1:12" ht="14.4" customHeight="1" x14ac:dyDescent="0.3">
      <c r="A4224"/>
      <c r="L4224"/>
    </row>
    <row r="4225" spans="1:12" ht="14.4" customHeight="1" x14ac:dyDescent="0.3">
      <c r="A4225"/>
      <c r="L4225"/>
    </row>
    <row r="4226" spans="1:12" ht="14.4" customHeight="1" x14ac:dyDescent="0.3">
      <c r="A4226"/>
      <c r="L4226"/>
    </row>
    <row r="4227" spans="1:12" ht="14.4" customHeight="1" x14ac:dyDescent="0.3">
      <c r="A4227"/>
      <c r="L4227"/>
    </row>
    <row r="4228" spans="1:12" ht="14.4" customHeight="1" x14ac:dyDescent="0.3">
      <c r="A4228"/>
      <c r="L4228"/>
    </row>
    <row r="4229" spans="1:12" ht="14.4" customHeight="1" x14ac:dyDescent="0.3">
      <c r="A4229"/>
      <c r="L4229"/>
    </row>
    <row r="4230" spans="1:12" ht="14.4" customHeight="1" x14ac:dyDescent="0.3">
      <c r="A4230"/>
      <c r="L4230"/>
    </row>
    <row r="4231" spans="1:12" ht="14.4" customHeight="1" x14ac:dyDescent="0.3">
      <c r="A4231"/>
      <c r="L4231"/>
    </row>
    <row r="4232" spans="1:12" ht="14.4" customHeight="1" x14ac:dyDescent="0.3">
      <c r="A4232"/>
      <c r="L4232"/>
    </row>
    <row r="4233" spans="1:12" ht="14.4" customHeight="1" x14ac:dyDescent="0.3">
      <c r="A4233"/>
      <c r="L4233"/>
    </row>
    <row r="4234" spans="1:12" ht="14.4" customHeight="1" x14ac:dyDescent="0.3">
      <c r="A4234"/>
      <c r="L4234"/>
    </row>
    <row r="4235" spans="1:12" ht="14.4" customHeight="1" x14ac:dyDescent="0.3">
      <c r="A4235"/>
      <c r="L4235"/>
    </row>
    <row r="4236" spans="1:12" ht="14.4" customHeight="1" x14ac:dyDescent="0.3">
      <c r="A4236"/>
      <c r="L4236"/>
    </row>
    <row r="4237" spans="1:12" ht="14.4" customHeight="1" x14ac:dyDescent="0.3">
      <c r="A4237"/>
      <c r="L4237"/>
    </row>
    <row r="4238" spans="1:12" ht="14.4" customHeight="1" x14ac:dyDescent="0.3">
      <c r="A4238"/>
      <c r="L4238"/>
    </row>
    <row r="4239" spans="1:12" ht="14.4" customHeight="1" x14ac:dyDescent="0.3">
      <c r="A4239"/>
      <c r="L4239"/>
    </row>
    <row r="4240" spans="1:12" ht="14.4" customHeight="1" x14ac:dyDescent="0.3">
      <c r="A4240"/>
      <c r="L4240"/>
    </row>
    <row r="4241" spans="1:12" ht="14.4" customHeight="1" x14ac:dyDescent="0.3">
      <c r="A4241"/>
      <c r="L4241"/>
    </row>
    <row r="4242" spans="1:12" ht="14.4" customHeight="1" x14ac:dyDescent="0.3">
      <c r="A4242"/>
      <c r="L4242"/>
    </row>
    <row r="4243" spans="1:12" ht="14.4" customHeight="1" x14ac:dyDescent="0.3">
      <c r="A4243"/>
      <c r="L4243"/>
    </row>
    <row r="4244" spans="1:12" ht="14.4" customHeight="1" x14ac:dyDescent="0.3">
      <c r="A4244"/>
      <c r="L4244"/>
    </row>
    <row r="4245" spans="1:12" ht="14.4" customHeight="1" x14ac:dyDescent="0.3">
      <c r="A4245"/>
      <c r="L4245"/>
    </row>
    <row r="4246" spans="1:12" ht="14.4" customHeight="1" x14ac:dyDescent="0.3">
      <c r="A4246"/>
      <c r="L4246"/>
    </row>
    <row r="4247" spans="1:12" ht="14.4" customHeight="1" x14ac:dyDescent="0.3">
      <c r="A4247"/>
      <c r="L4247"/>
    </row>
    <row r="4248" spans="1:12" ht="14.4" customHeight="1" x14ac:dyDescent="0.3">
      <c r="A4248"/>
      <c r="L4248"/>
    </row>
    <row r="4249" spans="1:12" ht="14.4" customHeight="1" x14ac:dyDescent="0.3">
      <c r="A4249"/>
      <c r="L4249"/>
    </row>
    <row r="4250" spans="1:12" ht="14.4" customHeight="1" x14ac:dyDescent="0.3">
      <c r="A4250"/>
      <c r="L4250"/>
    </row>
    <row r="4251" spans="1:12" ht="14.4" customHeight="1" x14ac:dyDescent="0.3">
      <c r="A4251"/>
      <c r="L4251"/>
    </row>
    <row r="4252" spans="1:12" ht="14.4" customHeight="1" x14ac:dyDescent="0.3">
      <c r="A4252"/>
      <c r="L4252"/>
    </row>
    <row r="4253" spans="1:12" ht="14.4" customHeight="1" x14ac:dyDescent="0.3">
      <c r="A4253"/>
      <c r="L4253"/>
    </row>
    <row r="4254" spans="1:12" ht="14.4" customHeight="1" x14ac:dyDescent="0.3">
      <c r="A4254"/>
      <c r="L4254"/>
    </row>
    <row r="4255" spans="1:12" ht="14.4" customHeight="1" x14ac:dyDescent="0.3">
      <c r="A4255"/>
      <c r="L4255"/>
    </row>
    <row r="4256" spans="1:12" ht="14.4" customHeight="1" x14ac:dyDescent="0.3">
      <c r="A4256"/>
      <c r="L4256"/>
    </row>
    <row r="4257" spans="1:12" ht="14.4" customHeight="1" x14ac:dyDescent="0.3">
      <c r="A4257"/>
      <c r="L4257"/>
    </row>
    <row r="4258" spans="1:12" ht="14.4" customHeight="1" x14ac:dyDescent="0.3">
      <c r="A4258"/>
      <c r="L4258"/>
    </row>
    <row r="4259" spans="1:12" ht="14.4" customHeight="1" x14ac:dyDescent="0.3">
      <c r="A4259"/>
      <c r="L4259"/>
    </row>
    <row r="4260" spans="1:12" ht="14.4" customHeight="1" x14ac:dyDescent="0.3">
      <c r="A4260"/>
      <c r="L4260"/>
    </row>
    <row r="4261" spans="1:12" ht="14.4" customHeight="1" x14ac:dyDescent="0.3">
      <c r="A4261"/>
      <c r="L4261"/>
    </row>
    <row r="4262" spans="1:12" ht="14.4" customHeight="1" x14ac:dyDescent="0.3">
      <c r="A4262"/>
      <c r="L4262"/>
    </row>
    <row r="4263" spans="1:12" ht="14.4" customHeight="1" x14ac:dyDescent="0.3">
      <c r="A4263"/>
      <c r="L4263"/>
    </row>
    <row r="4264" spans="1:12" ht="14.4" customHeight="1" x14ac:dyDescent="0.3">
      <c r="A4264"/>
      <c r="L4264"/>
    </row>
    <row r="4265" spans="1:12" ht="14.4" customHeight="1" x14ac:dyDescent="0.3">
      <c r="A4265"/>
      <c r="L4265"/>
    </row>
    <row r="4266" spans="1:12" ht="14.4" customHeight="1" x14ac:dyDescent="0.3">
      <c r="A4266"/>
      <c r="L4266"/>
    </row>
    <row r="4267" spans="1:12" ht="14.4" customHeight="1" x14ac:dyDescent="0.3">
      <c r="A4267"/>
      <c r="L4267"/>
    </row>
    <row r="4268" spans="1:12" ht="14.4" customHeight="1" x14ac:dyDescent="0.3">
      <c r="A4268"/>
      <c r="L4268"/>
    </row>
    <row r="4269" spans="1:12" ht="14.4" customHeight="1" x14ac:dyDescent="0.3">
      <c r="A4269"/>
      <c r="L4269"/>
    </row>
    <row r="4270" spans="1:12" ht="14.4" customHeight="1" x14ac:dyDescent="0.3">
      <c r="A4270"/>
      <c r="L4270"/>
    </row>
    <row r="4271" spans="1:12" ht="14.4" customHeight="1" x14ac:dyDescent="0.3">
      <c r="A4271"/>
      <c r="L4271"/>
    </row>
    <row r="4272" spans="1:12" ht="14.4" customHeight="1" x14ac:dyDescent="0.3">
      <c r="A4272"/>
      <c r="L4272"/>
    </row>
    <row r="4273" spans="1:12" ht="14.4" customHeight="1" x14ac:dyDescent="0.3">
      <c r="A4273"/>
      <c r="L4273"/>
    </row>
    <row r="4274" spans="1:12" ht="14.4" customHeight="1" x14ac:dyDescent="0.3">
      <c r="A4274"/>
      <c r="L4274"/>
    </row>
    <row r="4275" spans="1:12" ht="14.4" customHeight="1" x14ac:dyDescent="0.3">
      <c r="A4275"/>
      <c r="L4275"/>
    </row>
    <row r="4276" spans="1:12" ht="14.4" customHeight="1" x14ac:dyDescent="0.3">
      <c r="A4276"/>
      <c r="L4276"/>
    </row>
    <row r="4277" spans="1:12" ht="14.4" customHeight="1" x14ac:dyDescent="0.3">
      <c r="A4277"/>
      <c r="L4277"/>
    </row>
    <row r="4278" spans="1:12" ht="14.4" customHeight="1" x14ac:dyDescent="0.3">
      <c r="A4278"/>
      <c r="L4278"/>
    </row>
    <row r="4279" spans="1:12" ht="14.4" customHeight="1" x14ac:dyDescent="0.3">
      <c r="A4279"/>
      <c r="L4279"/>
    </row>
    <row r="4280" spans="1:12" ht="14.4" customHeight="1" x14ac:dyDescent="0.3">
      <c r="A4280"/>
      <c r="L4280"/>
    </row>
    <row r="4281" spans="1:12" ht="14.4" customHeight="1" x14ac:dyDescent="0.3">
      <c r="A4281"/>
      <c r="L4281"/>
    </row>
    <row r="4282" spans="1:12" ht="14.4" customHeight="1" x14ac:dyDescent="0.3">
      <c r="A4282"/>
      <c r="L4282"/>
    </row>
    <row r="4283" spans="1:12" ht="14.4" customHeight="1" x14ac:dyDescent="0.3">
      <c r="A4283"/>
      <c r="L4283"/>
    </row>
    <row r="4284" spans="1:12" ht="14.4" customHeight="1" x14ac:dyDescent="0.3">
      <c r="A4284"/>
      <c r="L4284"/>
    </row>
    <row r="4285" spans="1:12" ht="14.4" customHeight="1" x14ac:dyDescent="0.3">
      <c r="A4285"/>
      <c r="L4285"/>
    </row>
    <row r="4286" spans="1:12" ht="14.4" customHeight="1" x14ac:dyDescent="0.3">
      <c r="A4286"/>
      <c r="L4286"/>
    </row>
    <row r="4287" spans="1:12" ht="14.4" customHeight="1" x14ac:dyDescent="0.3">
      <c r="A4287"/>
      <c r="L4287"/>
    </row>
    <row r="4288" spans="1:12" ht="14.4" customHeight="1" x14ac:dyDescent="0.3">
      <c r="A4288"/>
      <c r="L4288"/>
    </row>
    <row r="4289" spans="1:12" ht="14.4" customHeight="1" x14ac:dyDescent="0.3">
      <c r="A4289"/>
      <c r="L4289"/>
    </row>
    <row r="4290" spans="1:12" ht="14.4" customHeight="1" x14ac:dyDescent="0.3">
      <c r="A4290"/>
      <c r="L4290"/>
    </row>
    <row r="4291" spans="1:12" ht="14.4" customHeight="1" x14ac:dyDescent="0.3">
      <c r="A4291"/>
      <c r="L4291"/>
    </row>
    <row r="4292" spans="1:12" ht="14.4" customHeight="1" x14ac:dyDescent="0.3">
      <c r="A4292"/>
      <c r="L4292"/>
    </row>
    <row r="4293" spans="1:12" ht="14.4" customHeight="1" x14ac:dyDescent="0.3">
      <c r="A4293"/>
      <c r="L4293"/>
    </row>
    <row r="4294" spans="1:12" ht="14.4" customHeight="1" x14ac:dyDescent="0.3">
      <c r="A4294"/>
      <c r="L4294"/>
    </row>
    <row r="4295" spans="1:12" ht="14.4" customHeight="1" x14ac:dyDescent="0.3">
      <c r="A4295"/>
      <c r="L4295"/>
    </row>
    <row r="4296" spans="1:12" ht="14.4" customHeight="1" x14ac:dyDescent="0.3">
      <c r="A4296"/>
      <c r="L4296"/>
    </row>
    <row r="4297" spans="1:12" ht="14.4" customHeight="1" x14ac:dyDescent="0.3">
      <c r="A4297"/>
      <c r="L4297"/>
    </row>
    <row r="4298" spans="1:12" ht="14.4" customHeight="1" x14ac:dyDescent="0.3">
      <c r="A4298"/>
      <c r="L4298"/>
    </row>
    <row r="4299" spans="1:12" ht="14.4" customHeight="1" x14ac:dyDescent="0.3">
      <c r="A4299"/>
      <c r="L4299"/>
    </row>
    <row r="4300" spans="1:12" ht="14.4" customHeight="1" x14ac:dyDescent="0.3">
      <c r="A4300"/>
      <c r="L4300"/>
    </row>
    <row r="4301" spans="1:12" ht="14.4" customHeight="1" x14ac:dyDescent="0.3">
      <c r="A4301"/>
      <c r="L4301"/>
    </row>
    <row r="4302" spans="1:12" ht="14.4" customHeight="1" x14ac:dyDescent="0.3">
      <c r="A4302"/>
      <c r="L4302"/>
    </row>
    <row r="4303" spans="1:12" ht="14.4" customHeight="1" x14ac:dyDescent="0.3">
      <c r="A4303"/>
      <c r="L4303"/>
    </row>
    <row r="4304" spans="1:12" ht="14.4" customHeight="1" x14ac:dyDescent="0.3">
      <c r="A4304"/>
      <c r="L4304"/>
    </row>
    <row r="4305" spans="1:12" ht="14.4" customHeight="1" x14ac:dyDescent="0.3">
      <c r="A4305"/>
      <c r="L4305"/>
    </row>
    <row r="4306" spans="1:12" ht="14.4" customHeight="1" x14ac:dyDescent="0.3">
      <c r="A4306"/>
      <c r="L4306"/>
    </row>
    <row r="4307" spans="1:12" ht="14.4" customHeight="1" x14ac:dyDescent="0.3">
      <c r="A4307"/>
      <c r="L4307"/>
    </row>
    <row r="4308" spans="1:12" ht="14.4" customHeight="1" x14ac:dyDescent="0.3">
      <c r="A4308"/>
      <c r="L4308"/>
    </row>
    <row r="4309" spans="1:12" ht="14.4" customHeight="1" x14ac:dyDescent="0.3">
      <c r="A4309"/>
      <c r="L4309"/>
    </row>
    <row r="4310" spans="1:12" ht="14.4" customHeight="1" x14ac:dyDescent="0.3">
      <c r="A4310"/>
      <c r="L4310"/>
    </row>
    <row r="4311" spans="1:12" ht="14.4" customHeight="1" x14ac:dyDescent="0.3">
      <c r="A4311"/>
      <c r="L4311"/>
    </row>
    <row r="4312" spans="1:12" ht="14.4" customHeight="1" x14ac:dyDescent="0.3">
      <c r="A4312"/>
      <c r="L4312"/>
    </row>
    <row r="4313" spans="1:12" ht="14.4" customHeight="1" x14ac:dyDescent="0.3">
      <c r="A4313"/>
      <c r="L4313"/>
    </row>
    <row r="4314" spans="1:12" ht="14.4" customHeight="1" x14ac:dyDescent="0.3">
      <c r="A4314"/>
      <c r="L4314"/>
    </row>
    <row r="4315" spans="1:12" ht="14.4" customHeight="1" x14ac:dyDescent="0.3">
      <c r="A4315"/>
      <c r="L4315"/>
    </row>
    <row r="4316" spans="1:12" ht="14.4" customHeight="1" x14ac:dyDescent="0.3">
      <c r="A4316"/>
      <c r="L4316"/>
    </row>
    <row r="4317" spans="1:12" ht="14.4" customHeight="1" x14ac:dyDescent="0.3">
      <c r="A4317"/>
      <c r="L4317"/>
    </row>
    <row r="4318" spans="1:12" ht="14.4" customHeight="1" x14ac:dyDescent="0.3">
      <c r="A4318"/>
      <c r="L4318"/>
    </row>
    <row r="4319" spans="1:12" ht="14.4" customHeight="1" x14ac:dyDescent="0.3">
      <c r="A4319"/>
      <c r="L4319"/>
    </row>
    <row r="4320" spans="1:12" ht="14.4" customHeight="1" x14ac:dyDescent="0.3">
      <c r="A4320"/>
      <c r="L4320"/>
    </row>
    <row r="4321" spans="1:12" ht="14.4" customHeight="1" x14ac:dyDescent="0.3">
      <c r="A4321"/>
      <c r="L4321"/>
    </row>
    <row r="4322" spans="1:12" ht="14.4" customHeight="1" x14ac:dyDescent="0.3">
      <c r="A4322"/>
      <c r="L4322"/>
    </row>
    <row r="4323" spans="1:12" ht="14.4" customHeight="1" x14ac:dyDescent="0.3">
      <c r="A4323"/>
      <c r="L4323"/>
    </row>
    <row r="4324" spans="1:12" ht="14.4" customHeight="1" x14ac:dyDescent="0.3">
      <c r="A4324"/>
      <c r="L4324"/>
    </row>
    <row r="4325" spans="1:12" ht="14.4" customHeight="1" x14ac:dyDescent="0.3">
      <c r="A4325"/>
      <c r="L4325"/>
    </row>
    <row r="4326" spans="1:12" ht="14.4" customHeight="1" x14ac:dyDescent="0.3">
      <c r="A4326"/>
      <c r="L4326"/>
    </row>
    <row r="4327" spans="1:12" ht="14.4" customHeight="1" x14ac:dyDescent="0.3">
      <c r="A4327"/>
      <c r="L4327"/>
    </row>
    <row r="4328" spans="1:12" ht="14.4" customHeight="1" x14ac:dyDescent="0.3">
      <c r="A4328"/>
      <c r="L4328"/>
    </row>
    <row r="4329" spans="1:12" ht="14.4" customHeight="1" x14ac:dyDescent="0.3">
      <c r="A4329"/>
      <c r="L4329"/>
    </row>
    <row r="4330" spans="1:12" ht="14.4" customHeight="1" x14ac:dyDescent="0.3">
      <c r="A4330"/>
      <c r="L4330"/>
    </row>
    <row r="4331" spans="1:12" ht="14.4" customHeight="1" x14ac:dyDescent="0.3">
      <c r="A4331"/>
      <c r="L4331"/>
    </row>
    <row r="4332" spans="1:12" ht="14.4" customHeight="1" x14ac:dyDescent="0.3">
      <c r="A4332"/>
      <c r="L4332"/>
    </row>
    <row r="4333" spans="1:12" ht="14.4" customHeight="1" x14ac:dyDescent="0.3">
      <c r="A4333"/>
      <c r="L4333"/>
    </row>
    <row r="4334" spans="1:12" ht="14.4" customHeight="1" x14ac:dyDescent="0.3">
      <c r="A4334"/>
      <c r="L4334"/>
    </row>
    <row r="4335" spans="1:12" ht="14.4" customHeight="1" x14ac:dyDescent="0.3">
      <c r="A4335"/>
      <c r="L4335"/>
    </row>
    <row r="4336" spans="1:12" ht="14.4" customHeight="1" x14ac:dyDescent="0.3">
      <c r="A4336"/>
      <c r="L4336"/>
    </row>
    <row r="4337" spans="1:12" ht="14.4" customHeight="1" x14ac:dyDescent="0.3">
      <c r="A4337"/>
      <c r="L4337"/>
    </row>
    <row r="4338" spans="1:12" ht="14.4" customHeight="1" x14ac:dyDescent="0.3">
      <c r="A4338"/>
      <c r="L4338"/>
    </row>
    <row r="4339" spans="1:12" ht="14.4" customHeight="1" x14ac:dyDescent="0.3">
      <c r="A4339"/>
      <c r="L4339"/>
    </row>
    <row r="4340" spans="1:12" ht="14.4" customHeight="1" x14ac:dyDescent="0.3">
      <c r="A4340"/>
      <c r="L4340"/>
    </row>
    <row r="4341" spans="1:12" ht="14.4" customHeight="1" x14ac:dyDescent="0.3">
      <c r="A4341"/>
      <c r="L4341"/>
    </row>
    <row r="4342" spans="1:12" ht="14.4" customHeight="1" x14ac:dyDescent="0.3">
      <c r="A4342"/>
      <c r="L4342"/>
    </row>
    <row r="4343" spans="1:12" ht="14.4" customHeight="1" x14ac:dyDescent="0.3">
      <c r="A4343"/>
      <c r="L4343"/>
    </row>
    <row r="4344" spans="1:12" ht="14.4" customHeight="1" x14ac:dyDescent="0.3">
      <c r="A4344"/>
      <c r="L4344"/>
    </row>
    <row r="4345" spans="1:12" ht="14.4" customHeight="1" x14ac:dyDescent="0.3">
      <c r="A4345"/>
      <c r="L4345"/>
    </row>
    <row r="4346" spans="1:12" ht="14.4" customHeight="1" x14ac:dyDescent="0.3">
      <c r="A4346"/>
      <c r="L4346"/>
    </row>
    <row r="4347" spans="1:12" ht="14.4" customHeight="1" x14ac:dyDescent="0.3">
      <c r="A4347"/>
      <c r="L4347"/>
    </row>
    <row r="4348" spans="1:12" ht="14.4" customHeight="1" x14ac:dyDescent="0.3">
      <c r="A4348"/>
      <c r="L4348"/>
    </row>
    <row r="4349" spans="1:12" ht="14.4" customHeight="1" x14ac:dyDescent="0.3">
      <c r="A4349"/>
      <c r="L4349"/>
    </row>
    <row r="4350" spans="1:12" ht="14.4" customHeight="1" x14ac:dyDescent="0.3">
      <c r="A4350"/>
      <c r="L4350"/>
    </row>
    <row r="4351" spans="1:12" ht="14.4" customHeight="1" x14ac:dyDescent="0.3">
      <c r="A4351"/>
      <c r="L4351"/>
    </row>
    <row r="4352" spans="1:12" ht="14.4" customHeight="1" x14ac:dyDescent="0.3">
      <c r="A4352"/>
      <c r="L4352"/>
    </row>
    <row r="4353" spans="1:12" ht="14.4" customHeight="1" x14ac:dyDescent="0.3">
      <c r="A4353"/>
      <c r="L4353"/>
    </row>
    <row r="4354" spans="1:12" ht="14.4" customHeight="1" x14ac:dyDescent="0.3">
      <c r="A4354"/>
      <c r="L4354"/>
    </row>
    <row r="4355" spans="1:12" ht="14.4" customHeight="1" x14ac:dyDescent="0.3">
      <c r="A4355"/>
      <c r="L4355"/>
    </row>
    <row r="4356" spans="1:12" ht="14.4" customHeight="1" x14ac:dyDescent="0.3">
      <c r="A4356"/>
      <c r="L4356"/>
    </row>
    <row r="4357" spans="1:12" ht="14.4" customHeight="1" x14ac:dyDescent="0.3">
      <c r="A4357"/>
      <c r="L4357"/>
    </row>
    <row r="4358" spans="1:12" ht="14.4" customHeight="1" x14ac:dyDescent="0.3">
      <c r="A4358"/>
      <c r="L4358"/>
    </row>
    <row r="4359" spans="1:12" ht="14.4" customHeight="1" x14ac:dyDescent="0.3">
      <c r="A4359"/>
      <c r="L4359"/>
    </row>
    <row r="4360" spans="1:12" ht="14.4" customHeight="1" x14ac:dyDescent="0.3">
      <c r="A4360"/>
      <c r="L4360"/>
    </row>
    <row r="4361" spans="1:12" ht="14.4" customHeight="1" x14ac:dyDescent="0.3">
      <c r="A4361"/>
      <c r="L4361"/>
    </row>
    <row r="4362" spans="1:12" ht="14.4" customHeight="1" x14ac:dyDescent="0.3">
      <c r="A4362"/>
      <c r="L4362"/>
    </row>
    <row r="4363" spans="1:12" ht="14.4" customHeight="1" x14ac:dyDescent="0.3">
      <c r="A4363"/>
      <c r="L4363"/>
    </row>
    <row r="4364" spans="1:12" ht="14.4" customHeight="1" x14ac:dyDescent="0.3">
      <c r="A4364"/>
      <c r="L4364"/>
    </row>
    <row r="4365" spans="1:12" ht="14.4" customHeight="1" x14ac:dyDescent="0.3">
      <c r="A4365"/>
      <c r="L4365"/>
    </row>
    <row r="4366" spans="1:12" ht="14.4" customHeight="1" x14ac:dyDescent="0.3">
      <c r="A4366"/>
      <c r="L4366"/>
    </row>
    <row r="4367" spans="1:12" ht="14.4" customHeight="1" x14ac:dyDescent="0.3">
      <c r="A4367"/>
      <c r="L4367"/>
    </row>
    <row r="4368" spans="1:12" ht="14.4" customHeight="1" x14ac:dyDescent="0.3">
      <c r="A4368"/>
      <c r="L4368"/>
    </row>
    <row r="4369" spans="1:12" ht="14.4" customHeight="1" x14ac:dyDescent="0.3">
      <c r="A4369"/>
      <c r="L4369"/>
    </row>
    <row r="4370" spans="1:12" ht="14.4" customHeight="1" x14ac:dyDescent="0.3">
      <c r="A4370"/>
      <c r="L4370"/>
    </row>
    <row r="4371" spans="1:12" ht="14.4" customHeight="1" x14ac:dyDescent="0.3">
      <c r="A4371"/>
      <c r="L4371"/>
    </row>
    <row r="4372" spans="1:12" ht="14.4" customHeight="1" x14ac:dyDescent="0.3">
      <c r="A4372"/>
      <c r="L4372"/>
    </row>
    <row r="4373" spans="1:12" ht="14.4" customHeight="1" x14ac:dyDescent="0.3">
      <c r="A4373"/>
      <c r="L4373"/>
    </row>
    <row r="4374" spans="1:12" ht="14.4" customHeight="1" x14ac:dyDescent="0.3">
      <c r="A4374"/>
      <c r="L4374"/>
    </row>
    <row r="4375" spans="1:12" ht="14.4" customHeight="1" x14ac:dyDescent="0.3">
      <c r="A4375"/>
      <c r="L4375"/>
    </row>
    <row r="4376" spans="1:12" ht="14.4" customHeight="1" x14ac:dyDescent="0.3">
      <c r="A4376"/>
      <c r="L4376"/>
    </row>
    <row r="4377" spans="1:12" ht="14.4" customHeight="1" x14ac:dyDescent="0.3">
      <c r="A4377"/>
      <c r="L4377"/>
    </row>
    <row r="4378" spans="1:12" ht="14.4" customHeight="1" x14ac:dyDescent="0.3">
      <c r="A4378"/>
      <c r="L4378"/>
    </row>
    <row r="4379" spans="1:12" ht="14.4" customHeight="1" x14ac:dyDescent="0.3">
      <c r="A4379"/>
      <c r="L4379"/>
    </row>
    <row r="4380" spans="1:12" ht="14.4" customHeight="1" x14ac:dyDescent="0.3">
      <c r="A4380"/>
      <c r="L4380"/>
    </row>
    <row r="4381" spans="1:12" ht="14.4" customHeight="1" x14ac:dyDescent="0.3">
      <c r="A4381"/>
      <c r="L4381"/>
    </row>
    <row r="4382" spans="1:12" ht="14.4" customHeight="1" x14ac:dyDescent="0.3">
      <c r="A4382"/>
      <c r="L4382"/>
    </row>
    <row r="4383" spans="1:12" ht="14.4" customHeight="1" x14ac:dyDescent="0.3">
      <c r="A4383"/>
      <c r="L4383"/>
    </row>
    <row r="4384" spans="1:12" ht="14.4" customHeight="1" x14ac:dyDescent="0.3">
      <c r="A4384"/>
      <c r="L4384"/>
    </row>
    <row r="4385" spans="1:12" ht="14.4" customHeight="1" x14ac:dyDescent="0.3">
      <c r="A4385"/>
      <c r="L4385"/>
    </row>
    <row r="4386" spans="1:12" ht="14.4" customHeight="1" x14ac:dyDescent="0.3">
      <c r="A4386"/>
      <c r="L4386"/>
    </row>
    <row r="4387" spans="1:12" ht="14.4" customHeight="1" x14ac:dyDescent="0.3">
      <c r="A4387"/>
      <c r="L4387"/>
    </row>
    <row r="4388" spans="1:12" ht="14.4" customHeight="1" x14ac:dyDescent="0.3">
      <c r="A4388"/>
      <c r="L4388"/>
    </row>
    <row r="4389" spans="1:12" ht="14.4" customHeight="1" x14ac:dyDescent="0.3">
      <c r="A4389"/>
      <c r="L4389"/>
    </row>
    <row r="4390" spans="1:12" ht="14.4" customHeight="1" x14ac:dyDescent="0.3">
      <c r="A4390"/>
      <c r="L4390"/>
    </row>
    <row r="4391" spans="1:12" ht="14.4" customHeight="1" x14ac:dyDescent="0.3">
      <c r="A4391"/>
      <c r="L4391"/>
    </row>
    <row r="4392" spans="1:12" ht="14.4" customHeight="1" x14ac:dyDescent="0.3">
      <c r="A4392"/>
      <c r="L4392"/>
    </row>
    <row r="4393" spans="1:12" ht="14.4" customHeight="1" x14ac:dyDescent="0.3">
      <c r="A4393"/>
      <c r="L4393"/>
    </row>
    <row r="4394" spans="1:12" ht="14.4" customHeight="1" x14ac:dyDescent="0.3">
      <c r="A4394"/>
      <c r="L4394"/>
    </row>
    <row r="4395" spans="1:12" ht="14.4" customHeight="1" x14ac:dyDescent="0.3">
      <c r="A4395"/>
      <c r="L4395"/>
    </row>
    <row r="4396" spans="1:12" ht="14.4" customHeight="1" x14ac:dyDescent="0.3">
      <c r="A4396"/>
      <c r="L4396"/>
    </row>
    <row r="4397" spans="1:12" ht="14.4" customHeight="1" x14ac:dyDescent="0.3">
      <c r="A4397"/>
      <c r="L4397"/>
    </row>
    <row r="4398" spans="1:12" ht="14.4" customHeight="1" x14ac:dyDescent="0.3">
      <c r="A4398"/>
      <c r="L4398"/>
    </row>
    <row r="4399" spans="1:12" ht="14.4" customHeight="1" x14ac:dyDescent="0.3">
      <c r="A4399"/>
      <c r="L4399"/>
    </row>
    <row r="4400" spans="1:12" ht="14.4" customHeight="1" x14ac:dyDescent="0.3">
      <c r="A4400"/>
      <c r="L4400"/>
    </row>
    <row r="4401" spans="1:12" ht="14.4" customHeight="1" x14ac:dyDescent="0.3">
      <c r="A4401"/>
      <c r="L4401"/>
    </row>
    <row r="4402" spans="1:12" ht="14.4" customHeight="1" x14ac:dyDescent="0.3">
      <c r="A4402"/>
      <c r="L4402"/>
    </row>
    <row r="4403" spans="1:12" ht="14.4" customHeight="1" x14ac:dyDescent="0.3">
      <c r="A4403"/>
      <c r="L4403"/>
    </row>
    <row r="4404" spans="1:12" ht="14.4" customHeight="1" x14ac:dyDescent="0.3">
      <c r="A4404"/>
      <c r="L4404"/>
    </row>
    <row r="4405" spans="1:12" ht="14.4" customHeight="1" x14ac:dyDescent="0.3">
      <c r="A4405"/>
      <c r="L4405"/>
    </row>
    <row r="4406" spans="1:12" ht="14.4" customHeight="1" x14ac:dyDescent="0.3">
      <c r="A4406"/>
      <c r="L4406"/>
    </row>
    <row r="4407" spans="1:12" ht="14.4" customHeight="1" x14ac:dyDescent="0.3">
      <c r="A4407"/>
      <c r="L4407"/>
    </row>
    <row r="4408" spans="1:12" ht="14.4" customHeight="1" x14ac:dyDescent="0.3">
      <c r="A4408"/>
      <c r="L4408"/>
    </row>
    <row r="4409" spans="1:12" ht="14.4" customHeight="1" x14ac:dyDescent="0.3">
      <c r="A4409"/>
      <c r="L4409"/>
    </row>
    <row r="4410" spans="1:12" ht="14.4" customHeight="1" x14ac:dyDescent="0.3">
      <c r="A4410"/>
      <c r="L4410"/>
    </row>
    <row r="4411" spans="1:12" ht="14.4" customHeight="1" x14ac:dyDescent="0.3">
      <c r="A4411"/>
      <c r="L4411"/>
    </row>
    <row r="4412" spans="1:12" ht="14.4" customHeight="1" x14ac:dyDescent="0.3">
      <c r="A4412"/>
      <c r="L4412"/>
    </row>
    <row r="4413" spans="1:12" ht="14.4" customHeight="1" x14ac:dyDescent="0.3">
      <c r="A4413"/>
      <c r="L4413"/>
    </row>
    <row r="4414" spans="1:12" ht="14.4" customHeight="1" x14ac:dyDescent="0.3">
      <c r="A4414"/>
      <c r="L4414"/>
    </row>
    <row r="4415" spans="1:12" ht="14.4" customHeight="1" x14ac:dyDescent="0.3">
      <c r="A4415"/>
      <c r="L4415"/>
    </row>
    <row r="4416" spans="1:12" ht="14.4" customHeight="1" x14ac:dyDescent="0.3">
      <c r="A4416"/>
      <c r="L4416"/>
    </row>
    <row r="4417" spans="1:12" ht="14.4" customHeight="1" x14ac:dyDescent="0.3">
      <c r="A4417"/>
      <c r="L4417"/>
    </row>
    <row r="4418" spans="1:12" ht="14.4" customHeight="1" x14ac:dyDescent="0.3">
      <c r="A4418"/>
      <c r="L4418"/>
    </row>
    <row r="4419" spans="1:12" ht="14.4" customHeight="1" x14ac:dyDescent="0.3">
      <c r="A4419"/>
      <c r="L4419"/>
    </row>
    <row r="4420" spans="1:12" ht="14.4" customHeight="1" x14ac:dyDescent="0.3">
      <c r="A4420"/>
      <c r="L4420"/>
    </row>
    <row r="4421" spans="1:12" ht="14.4" customHeight="1" x14ac:dyDescent="0.3">
      <c r="A4421"/>
      <c r="L4421"/>
    </row>
    <row r="4422" spans="1:12" ht="14.4" customHeight="1" x14ac:dyDescent="0.3">
      <c r="A4422"/>
      <c r="L4422"/>
    </row>
    <row r="4423" spans="1:12" ht="14.4" customHeight="1" x14ac:dyDescent="0.3">
      <c r="A4423"/>
      <c r="L4423"/>
    </row>
    <row r="4424" spans="1:12" ht="14.4" customHeight="1" x14ac:dyDescent="0.3">
      <c r="A4424"/>
      <c r="L4424"/>
    </row>
    <row r="4425" spans="1:12" ht="14.4" customHeight="1" x14ac:dyDescent="0.3">
      <c r="A4425"/>
      <c r="L4425"/>
    </row>
    <row r="4426" spans="1:12" ht="14.4" customHeight="1" x14ac:dyDescent="0.3">
      <c r="A4426"/>
      <c r="L4426"/>
    </row>
    <row r="4427" spans="1:12" ht="14.4" customHeight="1" x14ac:dyDescent="0.3">
      <c r="A4427"/>
      <c r="L4427"/>
    </row>
    <row r="4428" spans="1:12" ht="14.4" customHeight="1" x14ac:dyDescent="0.3">
      <c r="A4428"/>
      <c r="L4428"/>
    </row>
    <row r="4429" spans="1:12" ht="14.4" customHeight="1" x14ac:dyDescent="0.3">
      <c r="A4429"/>
      <c r="L4429"/>
    </row>
    <row r="4430" spans="1:12" ht="14.4" customHeight="1" x14ac:dyDescent="0.3">
      <c r="A4430"/>
      <c r="L4430"/>
    </row>
    <row r="4431" spans="1:12" ht="14.4" customHeight="1" x14ac:dyDescent="0.3">
      <c r="A4431"/>
      <c r="L4431"/>
    </row>
    <row r="4432" spans="1:12" ht="14.4" customHeight="1" x14ac:dyDescent="0.3">
      <c r="A4432"/>
      <c r="L4432"/>
    </row>
    <row r="4433" spans="1:12" ht="14.4" customHeight="1" x14ac:dyDescent="0.3">
      <c r="A4433"/>
      <c r="L4433"/>
    </row>
    <row r="4434" spans="1:12" ht="14.4" customHeight="1" x14ac:dyDescent="0.3">
      <c r="A4434"/>
      <c r="L4434"/>
    </row>
    <row r="4435" spans="1:12" ht="14.4" customHeight="1" x14ac:dyDescent="0.3">
      <c r="A4435"/>
      <c r="L4435"/>
    </row>
    <row r="4436" spans="1:12" ht="14.4" customHeight="1" x14ac:dyDescent="0.3">
      <c r="A4436"/>
      <c r="L4436"/>
    </row>
    <row r="4437" spans="1:12" ht="14.4" customHeight="1" x14ac:dyDescent="0.3">
      <c r="A4437"/>
      <c r="L4437"/>
    </row>
    <row r="4438" spans="1:12" ht="14.4" customHeight="1" x14ac:dyDescent="0.3">
      <c r="A4438"/>
      <c r="L4438"/>
    </row>
    <row r="4439" spans="1:12" ht="14.4" customHeight="1" x14ac:dyDescent="0.3">
      <c r="A4439"/>
      <c r="L4439"/>
    </row>
    <row r="4440" spans="1:12" ht="14.4" customHeight="1" x14ac:dyDescent="0.3">
      <c r="A4440"/>
      <c r="L4440"/>
    </row>
    <row r="4441" spans="1:12" ht="14.4" customHeight="1" x14ac:dyDescent="0.3">
      <c r="A4441"/>
      <c r="L4441"/>
    </row>
    <row r="4442" spans="1:12" ht="14.4" customHeight="1" x14ac:dyDescent="0.3">
      <c r="A4442"/>
      <c r="L4442"/>
    </row>
    <row r="4443" spans="1:12" ht="14.4" customHeight="1" x14ac:dyDescent="0.3">
      <c r="A4443"/>
      <c r="L4443"/>
    </row>
    <row r="4444" spans="1:12" ht="14.4" customHeight="1" x14ac:dyDescent="0.3">
      <c r="A4444"/>
      <c r="L4444"/>
    </row>
    <row r="4445" spans="1:12" ht="14.4" customHeight="1" x14ac:dyDescent="0.3">
      <c r="A4445"/>
      <c r="L4445"/>
    </row>
    <row r="4446" spans="1:12" ht="14.4" customHeight="1" x14ac:dyDescent="0.3">
      <c r="A4446"/>
      <c r="L4446"/>
    </row>
    <row r="4447" spans="1:12" ht="14.4" customHeight="1" x14ac:dyDescent="0.3">
      <c r="A4447"/>
      <c r="L4447"/>
    </row>
    <row r="4448" spans="1:12" ht="14.4" customHeight="1" x14ac:dyDescent="0.3">
      <c r="A4448"/>
      <c r="L4448"/>
    </row>
    <row r="4449" spans="1:12" ht="14.4" customHeight="1" x14ac:dyDescent="0.3">
      <c r="A4449"/>
      <c r="L4449"/>
    </row>
    <row r="4450" spans="1:12" ht="14.4" customHeight="1" x14ac:dyDescent="0.3">
      <c r="A4450"/>
      <c r="L4450"/>
    </row>
    <row r="4451" spans="1:12" ht="14.4" customHeight="1" x14ac:dyDescent="0.3">
      <c r="A4451"/>
      <c r="L4451"/>
    </row>
    <row r="4452" spans="1:12" ht="14.4" customHeight="1" x14ac:dyDescent="0.3">
      <c r="A4452"/>
      <c r="L4452"/>
    </row>
    <row r="4453" spans="1:12" ht="14.4" customHeight="1" x14ac:dyDescent="0.3">
      <c r="A4453"/>
      <c r="L4453"/>
    </row>
    <row r="4454" spans="1:12" ht="14.4" customHeight="1" x14ac:dyDescent="0.3">
      <c r="A4454"/>
      <c r="L4454"/>
    </row>
    <row r="4455" spans="1:12" ht="14.4" customHeight="1" x14ac:dyDescent="0.3">
      <c r="A4455"/>
      <c r="L4455"/>
    </row>
    <row r="4456" spans="1:12" ht="14.4" customHeight="1" x14ac:dyDescent="0.3">
      <c r="A4456"/>
      <c r="L4456"/>
    </row>
    <row r="4457" spans="1:12" ht="14.4" customHeight="1" x14ac:dyDescent="0.3">
      <c r="A4457"/>
      <c r="L4457"/>
    </row>
    <row r="4458" spans="1:12" ht="14.4" customHeight="1" x14ac:dyDescent="0.3">
      <c r="A4458"/>
      <c r="L4458"/>
    </row>
    <row r="4459" spans="1:12" ht="14.4" customHeight="1" x14ac:dyDescent="0.3">
      <c r="A4459"/>
      <c r="L4459"/>
    </row>
    <row r="4460" spans="1:12" ht="14.4" customHeight="1" x14ac:dyDescent="0.3">
      <c r="A4460"/>
      <c r="L4460"/>
    </row>
    <row r="4461" spans="1:12" ht="14.4" customHeight="1" x14ac:dyDescent="0.3">
      <c r="A4461"/>
      <c r="L4461"/>
    </row>
    <row r="4462" spans="1:12" ht="14.4" customHeight="1" x14ac:dyDescent="0.3">
      <c r="A4462"/>
      <c r="L4462"/>
    </row>
    <row r="4463" spans="1:12" ht="14.4" customHeight="1" x14ac:dyDescent="0.3">
      <c r="A4463"/>
      <c r="L4463"/>
    </row>
    <row r="4464" spans="1:12" ht="14.4" customHeight="1" x14ac:dyDescent="0.3">
      <c r="A4464"/>
      <c r="L4464"/>
    </row>
    <row r="4465" spans="1:12" ht="14.4" customHeight="1" x14ac:dyDescent="0.3">
      <c r="A4465"/>
      <c r="L4465"/>
    </row>
    <row r="4466" spans="1:12" ht="14.4" customHeight="1" x14ac:dyDescent="0.3">
      <c r="A4466"/>
      <c r="L4466"/>
    </row>
    <row r="4467" spans="1:12" ht="14.4" customHeight="1" x14ac:dyDescent="0.3">
      <c r="A4467"/>
      <c r="L4467"/>
    </row>
    <row r="4468" spans="1:12" ht="14.4" customHeight="1" x14ac:dyDescent="0.3">
      <c r="A4468"/>
      <c r="L4468"/>
    </row>
    <row r="4469" spans="1:12" ht="14.4" customHeight="1" x14ac:dyDescent="0.3">
      <c r="A4469"/>
      <c r="L4469"/>
    </row>
    <row r="4470" spans="1:12" ht="14.4" customHeight="1" x14ac:dyDescent="0.3">
      <c r="A4470"/>
      <c r="L4470"/>
    </row>
    <row r="4471" spans="1:12" ht="14.4" customHeight="1" x14ac:dyDescent="0.3">
      <c r="A4471"/>
      <c r="L4471"/>
    </row>
    <row r="4472" spans="1:12" ht="14.4" customHeight="1" x14ac:dyDescent="0.3">
      <c r="A4472"/>
      <c r="L4472"/>
    </row>
    <row r="4473" spans="1:12" ht="14.4" customHeight="1" x14ac:dyDescent="0.3">
      <c r="A4473"/>
      <c r="L4473"/>
    </row>
    <row r="4474" spans="1:12" ht="14.4" customHeight="1" x14ac:dyDescent="0.3">
      <c r="A4474"/>
      <c r="L4474"/>
    </row>
    <row r="4475" spans="1:12" ht="14.4" customHeight="1" x14ac:dyDescent="0.3">
      <c r="A4475"/>
      <c r="L4475"/>
    </row>
    <row r="4476" spans="1:12" ht="14.4" customHeight="1" x14ac:dyDescent="0.3">
      <c r="A4476"/>
      <c r="L4476"/>
    </row>
    <row r="4477" spans="1:12" ht="14.4" customHeight="1" x14ac:dyDescent="0.3">
      <c r="A4477"/>
      <c r="L4477"/>
    </row>
    <row r="4478" spans="1:12" ht="14.4" customHeight="1" x14ac:dyDescent="0.3">
      <c r="A4478"/>
      <c r="L4478"/>
    </row>
    <row r="4479" spans="1:12" ht="14.4" customHeight="1" x14ac:dyDescent="0.3">
      <c r="A4479"/>
      <c r="L4479"/>
    </row>
    <row r="4480" spans="1:12" ht="14.4" customHeight="1" x14ac:dyDescent="0.3">
      <c r="A4480"/>
      <c r="L4480"/>
    </row>
    <row r="4481" spans="1:12" ht="14.4" customHeight="1" x14ac:dyDescent="0.3">
      <c r="A4481"/>
      <c r="L4481"/>
    </row>
    <row r="4482" spans="1:12" ht="14.4" customHeight="1" x14ac:dyDescent="0.3">
      <c r="A4482"/>
      <c r="L4482"/>
    </row>
    <row r="4483" spans="1:12" ht="14.4" customHeight="1" x14ac:dyDescent="0.3">
      <c r="A4483"/>
      <c r="L4483"/>
    </row>
    <row r="4484" spans="1:12" ht="14.4" customHeight="1" x14ac:dyDescent="0.3">
      <c r="A4484"/>
      <c r="L4484"/>
    </row>
    <row r="4485" spans="1:12" ht="14.4" customHeight="1" x14ac:dyDescent="0.3">
      <c r="A4485"/>
      <c r="L4485"/>
    </row>
    <row r="4486" spans="1:12" ht="14.4" customHeight="1" x14ac:dyDescent="0.3">
      <c r="A4486"/>
      <c r="L4486"/>
    </row>
    <row r="4487" spans="1:12" ht="14.4" customHeight="1" x14ac:dyDescent="0.3">
      <c r="A4487"/>
      <c r="L4487"/>
    </row>
    <row r="4488" spans="1:12" ht="14.4" customHeight="1" x14ac:dyDescent="0.3">
      <c r="A4488"/>
      <c r="L4488"/>
    </row>
    <row r="4489" spans="1:12" ht="14.4" customHeight="1" x14ac:dyDescent="0.3">
      <c r="A4489"/>
      <c r="L4489"/>
    </row>
    <row r="4490" spans="1:12" ht="14.4" customHeight="1" x14ac:dyDescent="0.3">
      <c r="A4490"/>
      <c r="L4490"/>
    </row>
    <row r="4491" spans="1:12" ht="14.4" customHeight="1" x14ac:dyDescent="0.3">
      <c r="A4491"/>
      <c r="L4491"/>
    </row>
    <row r="4492" spans="1:12" ht="14.4" customHeight="1" x14ac:dyDescent="0.3">
      <c r="A4492"/>
      <c r="L4492"/>
    </row>
    <row r="4493" spans="1:12" ht="14.4" customHeight="1" x14ac:dyDescent="0.3">
      <c r="A4493"/>
      <c r="L4493"/>
    </row>
    <row r="4494" spans="1:12" ht="14.4" customHeight="1" x14ac:dyDescent="0.3">
      <c r="A4494"/>
      <c r="L4494"/>
    </row>
    <row r="4495" spans="1:12" ht="14.4" customHeight="1" x14ac:dyDescent="0.3">
      <c r="A4495"/>
      <c r="L4495"/>
    </row>
    <row r="4496" spans="1:12" ht="14.4" customHeight="1" x14ac:dyDescent="0.3">
      <c r="A4496"/>
      <c r="L4496"/>
    </row>
    <row r="4497" spans="1:12" ht="14.4" customHeight="1" x14ac:dyDescent="0.3">
      <c r="A4497"/>
      <c r="L4497"/>
    </row>
    <row r="4498" spans="1:12" ht="14.4" customHeight="1" x14ac:dyDescent="0.3">
      <c r="A4498"/>
      <c r="L4498"/>
    </row>
    <row r="4499" spans="1:12" ht="14.4" customHeight="1" x14ac:dyDescent="0.3">
      <c r="A4499"/>
      <c r="L4499"/>
    </row>
    <row r="4500" spans="1:12" ht="14.4" customHeight="1" x14ac:dyDescent="0.3">
      <c r="A4500"/>
      <c r="L4500"/>
    </row>
    <row r="4501" spans="1:12" ht="14.4" customHeight="1" x14ac:dyDescent="0.3">
      <c r="A4501"/>
      <c r="L4501"/>
    </row>
    <row r="4502" spans="1:12" ht="14.4" customHeight="1" x14ac:dyDescent="0.3">
      <c r="A4502"/>
      <c r="L4502"/>
    </row>
    <row r="4503" spans="1:12" ht="14.4" customHeight="1" x14ac:dyDescent="0.3">
      <c r="A4503"/>
      <c r="L4503"/>
    </row>
    <row r="4504" spans="1:12" ht="14.4" customHeight="1" x14ac:dyDescent="0.3">
      <c r="A4504"/>
      <c r="L4504"/>
    </row>
    <row r="4505" spans="1:12" ht="14.4" customHeight="1" x14ac:dyDescent="0.3">
      <c r="A4505"/>
      <c r="L4505"/>
    </row>
    <row r="4506" spans="1:12" ht="14.4" customHeight="1" x14ac:dyDescent="0.3">
      <c r="A4506"/>
      <c r="L4506"/>
    </row>
    <row r="4507" spans="1:12" ht="14.4" customHeight="1" x14ac:dyDescent="0.3">
      <c r="A4507"/>
      <c r="L4507"/>
    </row>
    <row r="4508" spans="1:12" ht="14.4" customHeight="1" x14ac:dyDescent="0.3">
      <c r="A4508"/>
      <c r="L4508"/>
    </row>
    <row r="4509" spans="1:12" ht="14.4" customHeight="1" x14ac:dyDescent="0.3">
      <c r="A4509"/>
      <c r="L4509"/>
    </row>
    <row r="4510" spans="1:12" ht="14.4" customHeight="1" x14ac:dyDescent="0.3">
      <c r="A4510"/>
      <c r="L4510"/>
    </row>
    <row r="4511" spans="1:12" ht="14.4" customHeight="1" x14ac:dyDescent="0.3">
      <c r="A4511"/>
      <c r="L4511"/>
    </row>
    <row r="4512" spans="1:12" ht="14.4" customHeight="1" x14ac:dyDescent="0.3">
      <c r="A4512"/>
      <c r="L4512"/>
    </row>
    <row r="4513" spans="1:12" ht="14.4" customHeight="1" x14ac:dyDescent="0.3">
      <c r="A4513"/>
      <c r="L4513"/>
    </row>
    <row r="4514" spans="1:12" ht="14.4" customHeight="1" x14ac:dyDescent="0.3">
      <c r="A4514"/>
      <c r="L4514"/>
    </row>
    <row r="4515" spans="1:12" ht="14.4" customHeight="1" x14ac:dyDescent="0.3">
      <c r="A4515"/>
      <c r="L4515"/>
    </row>
    <row r="4516" spans="1:12" ht="14.4" customHeight="1" x14ac:dyDescent="0.3">
      <c r="A4516"/>
      <c r="L4516"/>
    </row>
    <row r="4517" spans="1:12" ht="14.4" customHeight="1" x14ac:dyDescent="0.3">
      <c r="A4517"/>
      <c r="L4517"/>
    </row>
    <row r="4518" spans="1:12" ht="14.4" customHeight="1" x14ac:dyDescent="0.3">
      <c r="A4518"/>
      <c r="L4518"/>
    </row>
    <row r="4519" spans="1:12" ht="14.4" customHeight="1" x14ac:dyDescent="0.3">
      <c r="A4519"/>
      <c r="L4519"/>
    </row>
    <row r="4520" spans="1:12" ht="14.4" customHeight="1" x14ac:dyDescent="0.3">
      <c r="A4520"/>
      <c r="L4520"/>
    </row>
    <row r="4521" spans="1:12" ht="14.4" customHeight="1" x14ac:dyDescent="0.3">
      <c r="A4521"/>
      <c r="L4521"/>
    </row>
    <row r="4522" spans="1:12" ht="14.4" customHeight="1" x14ac:dyDescent="0.3">
      <c r="A4522"/>
      <c r="L4522"/>
    </row>
    <row r="4523" spans="1:12" ht="14.4" customHeight="1" x14ac:dyDescent="0.3">
      <c r="A4523"/>
      <c r="L4523"/>
    </row>
    <row r="4524" spans="1:12" ht="14.4" customHeight="1" x14ac:dyDescent="0.3">
      <c r="A4524"/>
      <c r="L4524"/>
    </row>
    <row r="4525" spans="1:12" ht="14.4" customHeight="1" x14ac:dyDescent="0.3">
      <c r="A4525"/>
      <c r="L4525"/>
    </row>
    <row r="4526" spans="1:12" ht="14.4" customHeight="1" x14ac:dyDescent="0.3">
      <c r="A4526"/>
      <c r="L4526"/>
    </row>
    <row r="4527" spans="1:12" ht="14.4" customHeight="1" x14ac:dyDescent="0.3">
      <c r="A4527"/>
      <c r="L4527"/>
    </row>
    <row r="4528" spans="1:12" ht="14.4" customHeight="1" x14ac:dyDescent="0.3">
      <c r="A4528"/>
      <c r="L4528"/>
    </row>
    <row r="4529" spans="1:12" ht="14.4" customHeight="1" x14ac:dyDescent="0.3">
      <c r="A4529"/>
      <c r="L4529"/>
    </row>
    <row r="4530" spans="1:12" ht="14.4" customHeight="1" x14ac:dyDescent="0.3">
      <c r="A4530"/>
      <c r="L4530"/>
    </row>
    <row r="4531" spans="1:12" ht="14.4" customHeight="1" x14ac:dyDescent="0.3">
      <c r="A4531"/>
      <c r="L4531"/>
    </row>
    <row r="4532" spans="1:12" ht="14.4" customHeight="1" x14ac:dyDescent="0.3">
      <c r="A4532"/>
      <c r="L4532"/>
    </row>
    <row r="4533" spans="1:12" ht="14.4" customHeight="1" x14ac:dyDescent="0.3">
      <c r="A4533"/>
      <c r="L4533"/>
    </row>
    <row r="4534" spans="1:12" ht="14.4" customHeight="1" x14ac:dyDescent="0.3">
      <c r="A4534"/>
      <c r="L4534"/>
    </row>
    <row r="4535" spans="1:12" ht="14.4" customHeight="1" x14ac:dyDescent="0.3">
      <c r="A4535"/>
      <c r="L4535"/>
    </row>
    <row r="4536" spans="1:12" ht="14.4" customHeight="1" x14ac:dyDescent="0.3">
      <c r="A4536"/>
      <c r="L4536"/>
    </row>
    <row r="4537" spans="1:12" ht="14.4" customHeight="1" x14ac:dyDescent="0.3">
      <c r="A4537"/>
      <c r="L4537"/>
    </row>
    <row r="4538" spans="1:12" ht="14.4" customHeight="1" x14ac:dyDescent="0.3">
      <c r="A4538"/>
      <c r="L4538"/>
    </row>
    <row r="4539" spans="1:12" ht="14.4" customHeight="1" x14ac:dyDescent="0.3">
      <c r="A4539"/>
      <c r="L4539"/>
    </row>
    <row r="4540" spans="1:12" ht="14.4" customHeight="1" x14ac:dyDescent="0.3">
      <c r="A4540"/>
      <c r="L4540"/>
    </row>
    <row r="4541" spans="1:12" ht="14.4" customHeight="1" x14ac:dyDescent="0.3">
      <c r="A4541"/>
      <c r="L4541"/>
    </row>
    <row r="4542" spans="1:12" ht="14.4" customHeight="1" x14ac:dyDescent="0.3">
      <c r="A4542"/>
      <c r="L4542"/>
    </row>
    <row r="4543" spans="1:12" ht="14.4" customHeight="1" x14ac:dyDescent="0.3">
      <c r="A4543"/>
      <c r="L4543"/>
    </row>
    <row r="4544" spans="1:12" ht="14.4" customHeight="1" x14ac:dyDescent="0.3">
      <c r="A4544"/>
      <c r="L4544"/>
    </row>
    <row r="4545" spans="1:12" ht="14.4" customHeight="1" x14ac:dyDescent="0.3">
      <c r="A4545"/>
      <c r="L4545"/>
    </row>
    <row r="4546" spans="1:12" ht="14.4" customHeight="1" x14ac:dyDescent="0.3">
      <c r="A4546"/>
      <c r="L4546"/>
    </row>
    <row r="4547" spans="1:12" ht="14.4" customHeight="1" x14ac:dyDescent="0.3">
      <c r="A4547"/>
      <c r="L4547"/>
    </row>
    <row r="4548" spans="1:12" ht="14.4" customHeight="1" x14ac:dyDescent="0.3">
      <c r="A4548"/>
      <c r="L4548"/>
    </row>
    <row r="4549" spans="1:12" ht="14.4" customHeight="1" x14ac:dyDescent="0.3">
      <c r="A4549"/>
      <c r="L4549"/>
    </row>
    <row r="4550" spans="1:12" ht="14.4" customHeight="1" x14ac:dyDescent="0.3">
      <c r="A4550"/>
      <c r="L4550"/>
    </row>
    <row r="4551" spans="1:12" ht="14.4" customHeight="1" x14ac:dyDescent="0.3">
      <c r="A4551"/>
      <c r="L4551"/>
    </row>
    <row r="4552" spans="1:12" ht="14.4" customHeight="1" x14ac:dyDescent="0.3">
      <c r="A4552"/>
      <c r="L4552"/>
    </row>
    <row r="4553" spans="1:12" ht="14.4" customHeight="1" x14ac:dyDescent="0.3">
      <c r="A4553"/>
      <c r="L4553"/>
    </row>
    <row r="4554" spans="1:12" ht="14.4" customHeight="1" x14ac:dyDescent="0.3">
      <c r="A4554"/>
      <c r="L4554"/>
    </row>
    <row r="4555" spans="1:12" ht="14.4" customHeight="1" x14ac:dyDescent="0.3">
      <c r="A4555"/>
      <c r="L4555"/>
    </row>
    <row r="4556" spans="1:12" ht="14.4" customHeight="1" x14ac:dyDescent="0.3">
      <c r="A4556"/>
      <c r="L4556"/>
    </row>
    <row r="4557" spans="1:12" ht="14.4" customHeight="1" x14ac:dyDescent="0.3">
      <c r="A4557"/>
      <c r="L4557"/>
    </row>
    <row r="4558" spans="1:12" ht="14.4" customHeight="1" x14ac:dyDescent="0.3">
      <c r="A4558"/>
      <c r="L4558"/>
    </row>
    <row r="4559" spans="1:12" ht="14.4" customHeight="1" x14ac:dyDescent="0.3">
      <c r="A4559"/>
      <c r="L4559"/>
    </row>
    <row r="4560" spans="1:12" ht="14.4" customHeight="1" x14ac:dyDescent="0.3">
      <c r="A4560"/>
      <c r="L4560"/>
    </row>
    <row r="4561" spans="1:12" ht="14.4" customHeight="1" x14ac:dyDescent="0.3">
      <c r="A4561"/>
      <c r="L4561"/>
    </row>
    <row r="4562" spans="1:12" ht="14.4" customHeight="1" x14ac:dyDescent="0.3">
      <c r="A4562"/>
      <c r="L4562"/>
    </row>
    <row r="4563" spans="1:12" ht="14.4" customHeight="1" x14ac:dyDescent="0.3">
      <c r="A4563"/>
      <c r="L4563"/>
    </row>
    <row r="4564" spans="1:12" ht="14.4" customHeight="1" x14ac:dyDescent="0.3">
      <c r="A4564"/>
      <c r="L4564"/>
    </row>
    <row r="4565" spans="1:12" ht="14.4" customHeight="1" x14ac:dyDescent="0.3">
      <c r="A4565"/>
      <c r="L4565"/>
    </row>
    <row r="4566" spans="1:12" ht="14.4" customHeight="1" x14ac:dyDescent="0.3">
      <c r="A4566"/>
      <c r="L4566"/>
    </row>
    <row r="4567" spans="1:12" ht="14.4" customHeight="1" x14ac:dyDescent="0.3">
      <c r="A4567"/>
      <c r="L4567"/>
    </row>
    <row r="4568" spans="1:12" ht="14.4" customHeight="1" x14ac:dyDescent="0.3">
      <c r="A4568"/>
      <c r="L4568"/>
    </row>
    <row r="4569" spans="1:12" ht="14.4" customHeight="1" x14ac:dyDescent="0.3">
      <c r="A4569"/>
      <c r="L4569"/>
    </row>
    <row r="4570" spans="1:12" ht="14.4" customHeight="1" x14ac:dyDescent="0.3">
      <c r="A4570"/>
      <c r="L4570"/>
    </row>
    <row r="4571" spans="1:12" ht="14.4" customHeight="1" x14ac:dyDescent="0.3">
      <c r="A4571"/>
      <c r="L4571"/>
    </row>
    <row r="4572" spans="1:12" ht="14.4" customHeight="1" x14ac:dyDescent="0.3">
      <c r="A4572"/>
      <c r="L4572"/>
    </row>
    <row r="4573" spans="1:12" ht="14.4" customHeight="1" x14ac:dyDescent="0.3">
      <c r="A4573"/>
      <c r="L4573"/>
    </row>
    <row r="4574" spans="1:12" ht="14.4" customHeight="1" x14ac:dyDescent="0.3">
      <c r="A4574"/>
      <c r="L4574"/>
    </row>
    <row r="4575" spans="1:12" ht="14.4" customHeight="1" x14ac:dyDescent="0.3">
      <c r="A4575"/>
      <c r="L4575"/>
    </row>
    <row r="4576" spans="1:12" ht="14.4" customHeight="1" x14ac:dyDescent="0.3">
      <c r="A4576"/>
      <c r="L4576"/>
    </row>
    <row r="4577" spans="1:12" ht="14.4" customHeight="1" x14ac:dyDescent="0.3">
      <c r="A4577"/>
      <c r="L4577"/>
    </row>
    <row r="4578" spans="1:12" ht="14.4" customHeight="1" x14ac:dyDescent="0.3">
      <c r="A4578"/>
      <c r="L4578"/>
    </row>
    <row r="4579" spans="1:12" ht="14.4" customHeight="1" x14ac:dyDescent="0.3">
      <c r="A4579"/>
      <c r="L4579"/>
    </row>
    <row r="4580" spans="1:12" ht="14.4" customHeight="1" x14ac:dyDescent="0.3">
      <c r="A4580"/>
      <c r="L4580"/>
    </row>
    <row r="4581" spans="1:12" ht="14.4" customHeight="1" x14ac:dyDescent="0.3">
      <c r="A4581"/>
      <c r="L4581"/>
    </row>
    <row r="4582" spans="1:12" ht="14.4" customHeight="1" x14ac:dyDescent="0.3">
      <c r="A4582"/>
      <c r="L4582"/>
    </row>
    <row r="4583" spans="1:12" ht="14.4" customHeight="1" x14ac:dyDescent="0.3">
      <c r="A4583"/>
      <c r="L4583"/>
    </row>
    <row r="4584" spans="1:12" ht="14.4" customHeight="1" x14ac:dyDescent="0.3">
      <c r="A4584"/>
      <c r="L4584"/>
    </row>
    <row r="4585" spans="1:12" ht="14.4" customHeight="1" x14ac:dyDescent="0.3">
      <c r="A4585"/>
      <c r="L4585"/>
    </row>
    <row r="4586" spans="1:12" ht="14.4" customHeight="1" x14ac:dyDescent="0.3">
      <c r="A4586"/>
      <c r="L4586"/>
    </row>
    <row r="4587" spans="1:12" ht="14.4" customHeight="1" x14ac:dyDescent="0.3">
      <c r="A4587"/>
      <c r="L4587"/>
    </row>
    <row r="4588" spans="1:12" ht="14.4" customHeight="1" x14ac:dyDescent="0.3">
      <c r="A4588"/>
      <c r="L4588"/>
    </row>
    <row r="4589" spans="1:12" ht="14.4" customHeight="1" x14ac:dyDescent="0.3">
      <c r="A4589"/>
      <c r="L4589"/>
    </row>
    <row r="4590" spans="1:12" ht="14.4" customHeight="1" x14ac:dyDescent="0.3">
      <c r="A4590"/>
      <c r="L4590"/>
    </row>
    <row r="4591" spans="1:12" ht="14.4" customHeight="1" x14ac:dyDescent="0.3">
      <c r="A4591"/>
      <c r="L4591"/>
    </row>
    <row r="4592" spans="1:12" ht="14.4" customHeight="1" x14ac:dyDescent="0.3">
      <c r="A4592"/>
      <c r="L4592"/>
    </row>
    <row r="4593" spans="1:12" ht="14.4" customHeight="1" x14ac:dyDescent="0.3">
      <c r="A4593"/>
      <c r="L4593"/>
    </row>
    <row r="4594" spans="1:12" ht="14.4" customHeight="1" x14ac:dyDescent="0.3">
      <c r="A4594"/>
      <c r="L4594"/>
    </row>
    <row r="4595" spans="1:12" ht="14.4" customHeight="1" x14ac:dyDescent="0.3">
      <c r="A4595"/>
      <c r="L4595"/>
    </row>
    <row r="4596" spans="1:12" ht="14.4" customHeight="1" x14ac:dyDescent="0.3">
      <c r="A4596"/>
      <c r="L4596"/>
    </row>
    <row r="4597" spans="1:12" ht="14.4" customHeight="1" x14ac:dyDescent="0.3">
      <c r="A4597"/>
      <c r="L4597"/>
    </row>
    <row r="4598" spans="1:12" ht="14.4" customHeight="1" x14ac:dyDescent="0.3">
      <c r="A4598"/>
      <c r="L4598"/>
    </row>
    <row r="4599" spans="1:12" ht="14.4" customHeight="1" x14ac:dyDescent="0.3">
      <c r="A4599"/>
      <c r="L4599"/>
    </row>
    <row r="4600" spans="1:12" ht="14.4" customHeight="1" x14ac:dyDescent="0.3">
      <c r="A4600"/>
      <c r="L4600"/>
    </row>
    <row r="4601" spans="1:12" ht="14.4" customHeight="1" x14ac:dyDescent="0.3">
      <c r="A4601"/>
      <c r="L4601"/>
    </row>
    <row r="4602" spans="1:12" ht="14.4" customHeight="1" x14ac:dyDescent="0.3">
      <c r="A4602"/>
      <c r="L4602"/>
    </row>
    <row r="4603" spans="1:12" ht="14.4" customHeight="1" x14ac:dyDescent="0.3">
      <c r="A4603"/>
      <c r="L4603"/>
    </row>
    <row r="4604" spans="1:12" ht="14.4" customHeight="1" x14ac:dyDescent="0.3">
      <c r="A4604"/>
      <c r="L4604"/>
    </row>
    <row r="4605" spans="1:12" ht="14.4" customHeight="1" x14ac:dyDescent="0.3">
      <c r="A4605"/>
      <c r="L4605"/>
    </row>
    <row r="4606" spans="1:12" ht="14.4" customHeight="1" x14ac:dyDescent="0.3">
      <c r="A4606"/>
      <c r="L4606"/>
    </row>
    <row r="4607" spans="1:12" ht="14.4" customHeight="1" x14ac:dyDescent="0.3">
      <c r="A4607"/>
      <c r="L4607"/>
    </row>
    <row r="4608" spans="1:12" ht="14.4" customHeight="1" x14ac:dyDescent="0.3">
      <c r="A4608"/>
      <c r="L4608"/>
    </row>
    <row r="4609" spans="1:12" ht="14.4" customHeight="1" x14ac:dyDescent="0.3">
      <c r="A4609"/>
      <c r="L4609"/>
    </row>
    <row r="4610" spans="1:12" ht="14.4" customHeight="1" x14ac:dyDescent="0.3">
      <c r="A4610"/>
      <c r="L4610"/>
    </row>
    <row r="4611" spans="1:12" ht="14.4" customHeight="1" x14ac:dyDescent="0.3">
      <c r="A4611"/>
      <c r="L4611"/>
    </row>
    <row r="4612" spans="1:12" ht="14.4" customHeight="1" x14ac:dyDescent="0.3">
      <c r="A4612"/>
      <c r="L4612"/>
    </row>
    <row r="4613" spans="1:12" ht="14.4" customHeight="1" x14ac:dyDescent="0.3">
      <c r="A4613"/>
      <c r="L4613"/>
    </row>
    <row r="4614" spans="1:12" ht="14.4" customHeight="1" x14ac:dyDescent="0.3">
      <c r="A4614"/>
      <c r="L4614"/>
    </row>
    <row r="4615" spans="1:12" ht="14.4" customHeight="1" x14ac:dyDescent="0.3">
      <c r="A4615"/>
      <c r="L4615"/>
    </row>
    <row r="4616" spans="1:12" ht="14.4" customHeight="1" x14ac:dyDescent="0.3">
      <c r="A4616"/>
      <c r="L4616"/>
    </row>
    <row r="4617" spans="1:12" ht="14.4" customHeight="1" x14ac:dyDescent="0.3">
      <c r="A4617"/>
      <c r="L4617"/>
    </row>
    <row r="4618" spans="1:12" ht="14.4" customHeight="1" x14ac:dyDescent="0.3">
      <c r="A4618"/>
      <c r="L4618"/>
    </row>
    <row r="4619" spans="1:12" ht="14.4" customHeight="1" x14ac:dyDescent="0.3">
      <c r="A4619"/>
      <c r="L4619"/>
    </row>
    <row r="4620" spans="1:12" ht="14.4" customHeight="1" x14ac:dyDescent="0.3">
      <c r="A4620"/>
      <c r="L4620"/>
    </row>
    <row r="4621" spans="1:12" ht="14.4" customHeight="1" x14ac:dyDescent="0.3">
      <c r="A4621"/>
      <c r="L4621"/>
    </row>
    <row r="4622" spans="1:12" ht="14.4" customHeight="1" x14ac:dyDescent="0.3">
      <c r="A4622"/>
      <c r="L4622"/>
    </row>
    <row r="4623" spans="1:12" ht="14.4" customHeight="1" x14ac:dyDescent="0.3">
      <c r="A4623"/>
      <c r="L4623"/>
    </row>
    <row r="4624" spans="1:12" ht="14.4" customHeight="1" x14ac:dyDescent="0.3">
      <c r="A4624"/>
      <c r="L4624"/>
    </row>
    <row r="4625" spans="1:12" ht="14.4" customHeight="1" x14ac:dyDescent="0.3">
      <c r="A4625"/>
      <c r="L4625"/>
    </row>
    <row r="4626" spans="1:12" ht="14.4" customHeight="1" x14ac:dyDescent="0.3">
      <c r="A4626"/>
      <c r="L4626"/>
    </row>
    <row r="4627" spans="1:12" ht="14.4" customHeight="1" x14ac:dyDescent="0.3">
      <c r="A4627"/>
      <c r="L4627"/>
    </row>
    <row r="4628" spans="1:12" ht="14.4" customHeight="1" x14ac:dyDescent="0.3">
      <c r="A4628"/>
      <c r="L4628"/>
    </row>
    <row r="4629" spans="1:12" ht="14.4" customHeight="1" x14ac:dyDescent="0.3">
      <c r="A4629"/>
      <c r="L4629"/>
    </row>
    <row r="4630" spans="1:12" ht="14.4" customHeight="1" x14ac:dyDescent="0.3">
      <c r="A4630"/>
      <c r="L4630"/>
    </row>
    <row r="4631" spans="1:12" ht="14.4" customHeight="1" x14ac:dyDescent="0.3">
      <c r="A4631"/>
      <c r="L4631"/>
    </row>
    <row r="4632" spans="1:12" ht="14.4" customHeight="1" x14ac:dyDescent="0.3">
      <c r="A4632"/>
      <c r="L4632"/>
    </row>
    <row r="4633" spans="1:12" ht="14.4" customHeight="1" x14ac:dyDescent="0.3">
      <c r="A4633"/>
      <c r="L4633"/>
    </row>
    <row r="4634" spans="1:12" ht="14.4" customHeight="1" x14ac:dyDescent="0.3">
      <c r="A4634"/>
      <c r="L4634"/>
    </row>
    <row r="4635" spans="1:12" ht="14.4" customHeight="1" x14ac:dyDescent="0.3">
      <c r="A4635"/>
      <c r="L4635"/>
    </row>
    <row r="4636" spans="1:12" ht="14.4" customHeight="1" x14ac:dyDescent="0.3">
      <c r="A4636"/>
      <c r="L4636"/>
    </row>
    <row r="4637" spans="1:12" ht="14.4" customHeight="1" x14ac:dyDescent="0.3">
      <c r="A4637"/>
      <c r="L4637"/>
    </row>
    <row r="4638" spans="1:12" ht="14.4" customHeight="1" x14ac:dyDescent="0.3">
      <c r="A4638"/>
      <c r="L4638"/>
    </row>
    <row r="4639" spans="1:12" ht="14.4" customHeight="1" x14ac:dyDescent="0.3">
      <c r="A4639"/>
      <c r="L4639"/>
    </row>
    <row r="4640" spans="1:12" ht="14.4" customHeight="1" x14ac:dyDescent="0.3">
      <c r="A4640"/>
      <c r="L4640"/>
    </row>
    <row r="4641" spans="1:12" ht="14.4" customHeight="1" x14ac:dyDescent="0.3">
      <c r="A4641"/>
      <c r="L4641"/>
    </row>
    <row r="4642" spans="1:12" ht="14.4" customHeight="1" x14ac:dyDescent="0.3">
      <c r="A4642"/>
      <c r="L4642"/>
    </row>
    <row r="4643" spans="1:12" ht="14.4" customHeight="1" x14ac:dyDescent="0.3">
      <c r="A4643"/>
      <c r="L4643"/>
    </row>
    <row r="4644" spans="1:12" ht="14.4" customHeight="1" x14ac:dyDescent="0.3">
      <c r="A4644"/>
      <c r="L4644"/>
    </row>
    <row r="4645" spans="1:12" ht="14.4" customHeight="1" x14ac:dyDescent="0.3">
      <c r="A4645"/>
      <c r="L4645"/>
    </row>
    <row r="4646" spans="1:12" ht="14.4" customHeight="1" x14ac:dyDescent="0.3">
      <c r="A4646"/>
      <c r="L4646"/>
    </row>
    <row r="4647" spans="1:12" ht="14.4" customHeight="1" x14ac:dyDescent="0.3">
      <c r="A4647"/>
      <c r="L4647"/>
    </row>
    <row r="4648" spans="1:12" ht="14.4" customHeight="1" x14ac:dyDescent="0.3">
      <c r="A4648"/>
      <c r="L4648"/>
    </row>
    <row r="4649" spans="1:12" ht="14.4" customHeight="1" x14ac:dyDescent="0.3">
      <c r="A4649"/>
      <c r="L4649"/>
    </row>
    <row r="4650" spans="1:12" ht="14.4" customHeight="1" x14ac:dyDescent="0.3">
      <c r="A4650"/>
      <c r="L4650"/>
    </row>
    <row r="4651" spans="1:12" ht="14.4" customHeight="1" x14ac:dyDescent="0.3">
      <c r="A4651"/>
      <c r="L4651"/>
    </row>
    <row r="4652" spans="1:12" ht="14.4" customHeight="1" x14ac:dyDescent="0.3">
      <c r="A4652"/>
      <c r="L4652"/>
    </row>
    <row r="4653" spans="1:12" ht="14.4" customHeight="1" x14ac:dyDescent="0.3">
      <c r="A4653"/>
      <c r="L4653"/>
    </row>
    <row r="4654" spans="1:12" ht="14.4" customHeight="1" x14ac:dyDescent="0.3">
      <c r="A4654"/>
      <c r="L4654"/>
    </row>
    <row r="4655" spans="1:12" ht="14.4" customHeight="1" x14ac:dyDescent="0.3">
      <c r="A4655"/>
      <c r="L4655"/>
    </row>
    <row r="4656" spans="1:12" ht="14.4" customHeight="1" x14ac:dyDescent="0.3">
      <c r="A4656"/>
      <c r="L4656"/>
    </row>
    <row r="4657" spans="1:12" ht="14.4" customHeight="1" x14ac:dyDescent="0.3">
      <c r="A4657"/>
      <c r="L4657"/>
    </row>
    <row r="4658" spans="1:12" ht="14.4" customHeight="1" x14ac:dyDescent="0.3">
      <c r="A4658"/>
      <c r="L4658"/>
    </row>
    <row r="4659" spans="1:12" ht="14.4" customHeight="1" x14ac:dyDescent="0.3">
      <c r="A4659"/>
      <c r="L4659"/>
    </row>
    <row r="4660" spans="1:12" ht="14.4" customHeight="1" x14ac:dyDescent="0.3">
      <c r="A4660"/>
      <c r="L4660"/>
    </row>
    <row r="4661" spans="1:12" ht="14.4" customHeight="1" x14ac:dyDescent="0.3">
      <c r="A4661"/>
      <c r="L4661"/>
    </row>
    <row r="4662" spans="1:12" ht="14.4" customHeight="1" x14ac:dyDescent="0.3">
      <c r="A4662"/>
      <c r="L4662"/>
    </row>
    <row r="4663" spans="1:12" ht="14.4" customHeight="1" x14ac:dyDescent="0.3">
      <c r="A4663"/>
      <c r="L4663"/>
    </row>
    <row r="4664" spans="1:12" ht="14.4" customHeight="1" x14ac:dyDescent="0.3">
      <c r="A4664"/>
      <c r="L4664"/>
    </row>
    <row r="4665" spans="1:12" ht="14.4" customHeight="1" x14ac:dyDescent="0.3">
      <c r="A4665"/>
      <c r="L4665"/>
    </row>
    <row r="4666" spans="1:12" ht="14.4" customHeight="1" x14ac:dyDescent="0.3">
      <c r="A4666"/>
      <c r="L4666"/>
    </row>
    <row r="4667" spans="1:12" ht="14.4" customHeight="1" x14ac:dyDescent="0.3">
      <c r="A4667"/>
      <c r="L4667"/>
    </row>
    <row r="4668" spans="1:12" ht="14.4" customHeight="1" x14ac:dyDescent="0.3">
      <c r="A4668"/>
      <c r="L4668"/>
    </row>
    <row r="4669" spans="1:12" ht="14.4" customHeight="1" x14ac:dyDescent="0.3">
      <c r="A4669"/>
      <c r="L4669"/>
    </row>
    <row r="4670" spans="1:12" ht="14.4" customHeight="1" x14ac:dyDescent="0.3">
      <c r="A4670"/>
      <c r="L4670"/>
    </row>
    <row r="4671" spans="1:12" ht="14.4" customHeight="1" x14ac:dyDescent="0.3">
      <c r="A4671"/>
      <c r="L4671"/>
    </row>
    <row r="4672" spans="1:12" ht="14.4" customHeight="1" x14ac:dyDescent="0.3">
      <c r="A4672"/>
      <c r="L4672"/>
    </row>
    <row r="4673" spans="1:12" ht="14.4" customHeight="1" x14ac:dyDescent="0.3">
      <c r="A4673"/>
      <c r="L4673"/>
    </row>
    <row r="4674" spans="1:12" ht="14.4" customHeight="1" x14ac:dyDescent="0.3">
      <c r="A4674"/>
      <c r="L4674"/>
    </row>
    <row r="4675" spans="1:12" ht="14.4" customHeight="1" x14ac:dyDescent="0.3">
      <c r="A4675"/>
      <c r="L4675"/>
    </row>
    <row r="4676" spans="1:12" ht="14.4" customHeight="1" x14ac:dyDescent="0.3">
      <c r="A4676"/>
      <c r="L4676"/>
    </row>
    <row r="4677" spans="1:12" ht="14.4" customHeight="1" x14ac:dyDescent="0.3">
      <c r="A4677"/>
      <c r="L4677"/>
    </row>
    <row r="4678" spans="1:12" ht="14.4" customHeight="1" x14ac:dyDescent="0.3">
      <c r="A4678"/>
      <c r="L4678"/>
    </row>
    <row r="4679" spans="1:12" ht="14.4" customHeight="1" x14ac:dyDescent="0.3">
      <c r="A4679"/>
      <c r="L4679"/>
    </row>
    <row r="4680" spans="1:12" ht="14.4" customHeight="1" x14ac:dyDescent="0.3">
      <c r="A4680"/>
      <c r="L4680"/>
    </row>
    <row r="4681" spans="1:12" ht="14.4" customHeight="1" x14ac:dyDescent="0.3">
      <c r="A4681"/>
      <c r="L4681"/>
    </row>
    <row r="4682" spans="1:12" ht="14.4" customHeight="1" x14ac:dyDescent="0.3">
      <c r="A4682"/>
      <c r="L4682"/>
    </row>
    <row r="4683" spans="1:12" ht="14.4" customHeight="1" x14ac:dyDescent="0.3">
      <c r="A4683"/>
      <c r="L4683"/>
    </row>
    <row r="4684" spans="1:12" ht="14.4" customHeight="1" x14ac:dyDescent="0.3">
      <c r="A4684"/>
      <c r="L4684"/>
    </row>
    <row r="4685" spans="1:12" ht="14.4" customHeight="1" x14ac:dyDescent="0.3">
      <c r="A4685"/>
      <c r="L4685"/>
    </row>
    <row r="4686" spans="1:12" ht="14.4" customHeight="1" x14ac:dyDescent="0.3">
      <c r="A4686"/>
      <c r="L4686"/>
    </row>
    <row r="4687" spans="1:12" ht="14.4" customHeight="1" x14ac:dyDescent="0.3">
      <c r="A4687"/>
      <c r="L4687"/>
    </row>
    <row r="4688" spans="1:12" ht="14.4" customHeight="1" x14ac:dyDescent="0.3">
      <c r="A4688"/>
      <c r="L4688"/>
    </row>
    <row r="4689" spans="1:12" ht="14.4" customHeight="1" x14ac:dyDescent="0.3">
      <c r="A4689"/>
      <c r="L4689"/>
    </row>
    <row r="4690" spans="1:12" ht="14.4" customHeight="1" x14ac:dyDescent="0.3">
      <c r="A4690"/>
      <c r="L4690"/>
    </row>
    <row r="4691" spans="1:12" ht="14.4" customHeight="1" x14ac:dyDescent="0.3">
      <c r="A4691"/>
      <c r="L4691"/>
    </row>
    <row r="4692" spans="1:12" ht="14.4" customHeight="1" x14ac:dyDescent="0.3">
      <c r="A4692"/>
      <c r="L4692"/>
    </row>
    <row r="4693" spans="1:12" ht="14.4" customHeight="1" x14ac:dyDescent="0.3">
      <c r="A4693"/>
      <c r="L4693"/>
    </row>
    <row r="4694" spans="1:12" ht="14.4" customHeight="1" x14ac:dyDescent="0.3">
      <c r="A4694"/>
      <c r="L4694"/>
    </row>
    <row r="4695" spans="1:12" ht="14.4" customHeight="1" x14ac:dyDescent="0.3">
      <c r="A4695"/>
      <c r="L4695"/>
    </row>
    <row r="4696" spans="1:12" ht="14.4" customHeight="1" x14ac:dyDescent="0.3">
      <c r="A4696"/>
      <c r="L4696"/>
    </row>
    <row r="4697" spans="1:12" ht="14.4" customHeight="1" x14ac:dyDescent="0.3">
      <c r="A4697"/>
      <c r="L4697"/>
    </row>
    <row r="4698" spans="1:12" ht="14.4" customHeight="1" x14ac:dyDescent="0.3">
      <c r="A4698"/>
      <c r="L4698"/>
    </row>
    <row r="4699" spans="1:12" ht="14.4" customHeight="1" x14ac:dyDescent="0.3">
      <c r="A4699"/>
      <c r="L4699"/>
    </row>
    <row r="4700" spans="1:12" ht="14.4" customHeight="1" x14ac:dyDescent="0.3">
      <c r="A4700"/>
      <c r="L4700"/>
    </row>
    <row r="4701" spans="1:12" ht="14.4" customHeight="1" x14ac:dyDescent="0.3">
      <c r="A4701"/>
      <c r="L4701"/>
    </row>
    <row r="4702" spans="1:12" ht="14.4" customHeight="1" x14ac:dyDescent="0.3">
      <c r="A4702"/>
      <c r="L4702"/>
    </row>
    <row r="4703" spans="1:12" ht="14.4" customHeight="1" x14ac:dyDescent="0.3">
      <c r="A4703"/>
      <c r="L4703"/>
    </row>
    <row r="4704" spans="1:12" ht="14.4" customHeight="1" x14ac:dyDescent="0.3">
      <c r="A4704"/>
      <c r="L4704"/>
    </row>
    <row r="4705" spans="1:12" ht="14.4" customHeight="1" x14ac:dyDescent="0.3">
      <c r="A4705"/>
      <c r="L4705"/>
    </row>
    <row r="4706" spans="1:12" ht="14.4" customHeight="1" x14ac:dyDescent="0.3">
      <c r="A4706"/>
      <c r="L4706"/>
    </row>
    <row r="4707" spans="1:12" ht="14.4" customHeight="1" x14ac:dyDescent="0.3">
      <c r="A4707"/>
      <c r="L4707"/>
    </row>
    <row r="4708" spans="1:12" ht="14.4" customHeight="1" x14ac:dyDescent="0.3">
      <c r="A4708"/>
      <c r="L4708"/>
    </row>
    <row r="4709" spans="1:12" ht="14.4" customHeight="1" x14ac:dyDescent="0.3">
      <c r="A4709"/>
      <c r="L4709"/>
    </row>
    <row r="4710" spans="1:12" ht="14.4" customHeight="1" x14ac:dyDescent="0.3">
      <c r="A4710"/>
      <c r="L4710"/>
    </row>
    <row r="4711" spans="1:12" ht="14.4" customHeight="1" x14ac:dyDescent="0.3">
      <c r="A4711"/>
      <c r="L4711"/>
    </row>
    <row r="4712" spans="1:12" ht="14.4" customHeight="1" x14ac:dyDescent="0.3">
      <c r="A4712"/>
      <c r="L4712"/>
    </row>
    <row r="4713" spans="1:12" ht="14.4" customHeight="1" x14ac:dyDescent="0.3">
      <c r="A4713"/>
      <c r="L4713"/>
    </row>
    <row r="4714" spans="1:12" ht="14.4" customHeight="1" x14ac:dyDescent="0.3">
      <c r="A4714"/>
      <c r="L4714"/>
    </row>
    <row r="4715" spans="1:12" ht="14.4" customHeight="1" x14ac:dyDescent="0.3">
      <c r="A4715"/>
      <c r="L4715"/>
    </row>
    <row r="4716" spans="1:12" ht="14.4" customHeight="1" x14ac:dyDescent="0.3">
      <c r="A4716"/>
      <c r="L4716"/>
    </row>
    <row r="4717" spans="1:12" ht="14.4" customHeight="1" x14ac:dyDescent="0.3">
      <c r="A4717"/>
      <c r="L4717"/>
    </row>
    <row r="4718" spans="1:12" ht="14.4" customHeight="1" x14ac:dyDescent="0.3">
      <c r="A4718"/>
      <c r="L4718"/>
    </row>
    <row r="4719" spans="1:12" ht="14.4" customHeight="1" x14ac:dyDescent="0.3">
      <c r="A4719"/>
      <c r="L4719"/>
    </row>
    <row r="4720" spans="1:12" ht="14.4" customHeight="1" x14ac:dyDescent="0.3">
      <c r="A4720"/>
      <c r="L4720"/>
    </row>
    <row r="4721" spans="1:12" ht="14.4" customHeight="1" x14ac:dyDescent="0.3">
      <c r="A4721"/>
      <c r="L4721"/>
    </row>
    <row r="4722" spans="1:12" ht="14.4" customHeight="1" x14ac:dyDescent="0.3">
      <c r="A4722"/>
      <c r="L4722"/>
    </row>
    <row r="4723" spans="1:12" ht="14.4" customHeight="1" x14ac:dyDescent="0.3">
      <c r="A4723"/>
      <c r="L4723"/>
    </row>
    <row r="4724" spans="1:12" ht="14.4" customHeight="1" x14ac:dyDescent="0.3">
      <c r="A4724"/>
      <c r="L4724"/>
    </row>
    <row r="4725" spans="1:12" ht="14.4" customHeight="1" x14ac:dyDescent="0.3">
      <c r="A4725"/>
      <c r="L4725"/>
    </row>
    <row r="4726" spans="1:12" ht="14.4" customHeight="1" x14ac:dyDescent="0.3">
      <c r="A4726"/>
      <c r="L4726"/>
    </row>
    <row r="4727" spans="1:12" ht="14.4" customHeight="1" x14ac:dyDescent="0.3">
      <c r="A4727"/>
      <c r="L4727"/>
    </row>
    <row r="4728" spans="1:12" ht="14.4" customHeight="1" x14ac:dyDescent="0.3">
      <c r="A4728"/>
      <c r="L4728"/>
    </row>
    <row r="4729" spans="1:12" ht="14.4" customHeight="1" x14ac:dyDescent="0.3">
      <c r="A4729"/>
      <c r="L4729"/>
    </row>
    <row r="4730" spans="1:12" ht="14.4" customHeight="1" x14ac:dyDescent="0.3">
      <c r="A4730"/>
      <c r="L4730"/>
    </row>
    <row r="4731" spans="1:12" ht="14.4" customHeight="1" x14ac:dyDescent="0.3">
      <c r="A4731"/>
      <c r="L4731"/>
    </row>
    <row r="4732" spans="1:12" ht="14.4" customHeight="1" x14ac:dyDescent="0.3">
      <c r="A4732"/>
      <c r="L4732"/>
    </row>
    <row r="4733" spans="1:12" ht="14.4" customHeight="1" x14ac:dyDescent="0.3">
      <c r="A4733"/>
      <c r="L4733"/>
    </row>
    <row r="4734" spans="1:12" ht="14.4" customHeight="1" x14ac:dyDescent="0.3">
      <c r="A4734"/>
      <c r="L4734"/>
    </row>
    <row r="4735" spans="1:12" ht="14.4" customHeight="1" x14ac:dyDescent="0.3">
      <c r="A4735"/>
      <c r="L4735"/>
    </row>
    <row r="4736" spans="1:12" ht="14.4" customHeight="1" x14ac:dyDescent="0.3">
      <c r="A4736"/>
      <c r="L4736"/>
    </row>
    <row r="4737" spans="1:12" ht="14.4" customHeight="1" x14ac:dyDescent="0.3">
      <c r="A4737"/>
      <c r="L4737"/>
    </row>
    <row r="4738" spans="1:12" ht="14.4" customHeight="1" x14ac:dyDescent="0.3">
      <c r="A4738"/>
      <c r="L4738"/>
    </row>
    <row r="4739" spans="1:12" ht="14.4" customHeight="1" x14ac:dyDescent="0.3">
      <c r="A4739"/>
      <c r="L4739"/>
    </row>
    <row r="4740" spans="1:12" ht="14.4" customHeight="1" x14ac:dyDescent="0.3">
      <c r="A4740"/>
      <c r="L4740"/>
    </row>
    <row r="4741" spans="1:12" ht="14.4" customHeight="1" x14ac:dyDescent="0.3">
      <c r="A4741"/>
      <c r="L4741"/>
    </row>
    <row r="4742" spans="1:12" ht="14.4" customHeight="1" x14ac:dyDescent="0.3">
      <c r="A4742"/>
      <c r="L4742"/>
    </row>
    <row r="4743" spans="1:12" ht="14.4" customHeight="1" x14ac:dyDescent="0.3">
      <c r="A4743"/>
      <c r="L4743"/>
    </row>
    <row r="4744" spans="1:12" ht="14.4" customHeight="1" x14ac:dyDescent="0.3">
      <c r="A4744"/>
      <c r="L4744"/>
    </row>
    <row r="4745" spans="1:12" ht="14.4" customHeight="1" x14ac:dyDescent="0.3">
      <c r="A4745"/>
      <c r="L4745"/>
    </row>
    <row r="4746" spans="1:12" ht="14.4" customHeight="1" x14ac:dyDescent="0.3">
      <c r="A4746"/>
      <c r="L4746"/>
    </row>
    <row r="4747" spans="1:12" ht="14.4" customHeight="1" x14ac:dyDescent="0.3">
      <c r="A4747"/>
      <c r="L4747"/>
    </row>
    <row r="4748" spans="1:12" ht="14.4" customHeight="1" x14ac:dyDescent="0.3">
      <c r="A4748"/>
      <c r="L4748"/>
    </row>
    <row r="4749" spans="1:12" ht="14.4" customHeight="1" x14ac:dyDescent="0.3">
      <c r="A4749"/>
      <c r="L4749"/>
    </row>
    <row r="4750" spans="1:12" ht="14.4" customHeight="1" x14ac:dyDescent="0.3">
      <c r="A4750"/>
      <c r="L4750"/>
    </row>
    <row r="4751" spans="1:12" ht="14.4" customHeight="1" x14ac:dyDescent="0.3">
      <c r="A4751"/>
      <c r="L4751"/>
    </row>
    <row r="4752" spans="1:12" ht="14.4" customHeight="1" x14ac:dyDescent="0.3">
      <c r="A4752"/>
      <c r="L4752"/>
    </row>
    <row r="4753" spans="1:12" ht="14.4" customHeight="1" x14ac:dyDescent="0.3">
      <c r="A4753"/>
      <c r="L4753"/>
    </row>
    <row r="4754" spans="1:12" ht="14.4" customHeight="1" x14ac:dyDescent="0.3">
      <c r="A4754"/>
      <c r="L4754"/>
    </row>
    <row r="4755" spans="1:12" ht="14.4" customHeight="1" x14ac:dyDescent="0.3">
      <c r="A4755"/>
      <c r="L4755"/>
    </row>
    <row r="4756" spans="1:12" ht="14.4" customHeight="1" x14ac:dyDescent="0.3">
      <c r="A4756"/>
      <c r="L4756"/>
    </row>
    <row r="4757" spans="1:12" ht="14.4" customHeight="1" x14ac:dyDescent="0.3">
      <c r="A4757"/>
      <c r="L4757"/>
    </row>
    <row r="4758" spans="1:12" ht="14.4" customHeight="1" x14ac:dyDescent="0.3">
      <c r="A4758"/>
      <c r="L4758"/>
    </row>
    <row r="4759" spans="1:12" ht="14.4" customHeight="1" x14ac:dyDescent="0.3">
      <c r="A4759"/>
      <c r="L4759"/>
    </row>
    <row r="4760" spans="1:12" ht="14.4" customHeight="1" x14ac:dyDescent="0.3">
      <c r="A4760"/>
      <c r="L4760"/>
    </row>
    <row r="4761" spans="1:12" ht="14.4" customHeight="1" x14ac:dyDescent="0.3">
      <c r="A4761"/>
      <c r="L4761"/>
    </row>
    <row r="4762" spans="1:12" ht="14.4" customHeight="1" x14ac:dyDescent="0.3">
      <c r="A4762"/>
      <c r="L4762"/>
    </row>
    <row r="4763" spans="1:12" ht="14.4" customHeight="1" x14ac:dyDescent="0.3">
      <c r="A4763"/>
      <c r="L4763"/>
    </row>
    <row r="4764" spans="1:12" ht="14.4" customHeight="1" x14ac:dyDescent="0.3">
      <c r="A4764"/>
      <c r="L4764"/>
    </row>
    <row r="4765" spans="1:12" ht="14.4" customHeight="1" x14ac:dyDescent="0.3">
      <c r="A4765"/>
      <c r="L4765"/>
    </row>
    <row r="4766" spans="1:12" ht="14.4" customHeight="1" x14ac:dyDescent="0.3">
      <c r="A4766"/>
      <c r="L4766"/>
    </row>
    <row r="4767" spans="1:12" ht="14.4" customHeight="1" x14ac:dyDescent="0.3">
      <c r="A4767"/>
      <c r="L4767"/>
    </row>
    <row r="4768" spans="1:12" ht="14.4" customHeight="1" x14ac:dyDescent="0.3">
      <c r="A4768"/>
      <c r="L4768"/>
    </row>
    <row r="4769" spans="1:12" ht="14.4" customHeight="1" x14ac:dyDescent="0.3">
      <c r="A4769"/>
      <c r="L4769"/>
    </row>
    <row r="4770" spans="1:12" ht="14.4" customHeight="1" x14ac:dyDescent="0.3">
      <c r="A4770"/>
      <c r="L4770"/>
    </row>
    <row r="4771" spans="1:12" ht="14.4" customHeight="1" x14ac:dyDescent="0.3">
      <c r="A4771"/>
      <c r="L4771"/>
    </row>
    <row r="4772" spans="1:12" ht="14.4" customHeight="1" x14ac:dyDescent="0.3">
      <c r="A4772"/>
      <c r="L4772"/>
    </row>
    <row r="4773" spans="1:12" ht="14.4" customHeight="1" x14ac:dyDescent="0.3">
      <c r="A4773"/>
      <c r="L4773"/>
    </row>
    <row r="4774" spans="1:12" ht="14.4" customHeight="1" x14ac:dyDescent="0.3">
      <c r="A4774"/>
      <c r="L4774"/>
    </row>
    <row r="4775" spans="1:12" ht="14.4" customHeight="1" x14ac:dyDescent="0.3">
      <c r="A4775"/>
      <c r="L4775"/>
    </row>
    <row r="4776" spans="1:12" ht="14.4" customHeight="1" x14ac:dyDescent="0.3">
      <c r="A4776"/>
      <c r="L4776"/>
    </row>
    <row r="4777" spans="1:12" ht="14.4" customHeight="1" x14ac:dyDescent="0.3">
      <c r="A4777"/>
      <c r="L4777"/>
    </row>
    <row r="4778" spans="1:12" ht="14.4" customHeight="1" x14ac:dyDescent="0.3">
      <c r="A4778"/>
      <c r="L4778"/>
    </row>
    <row r="4779" spans="1:12" ht="14.4" customHeight="1" x14ac:dyDescent="0.3">
      <c r="A4779"/>
      <c r="L4779"/>
    </row>
    <row r="4780" spans="1:12" ht="14.4" customHeight="1" x14ac:dyDescent="0.3">
      <c r="A4780"/>
      <c r="L4780"/>
    </row>
    <row r="4781" spans="1:12" ht="14.4" customHeight="1" x14ac:dyDescent="0.3">
      <c r="A4781"/>
      <c r="L4781"/>
    </row>
    <row r="4782" spans="1:12" ht="14.4" customHeight="1" x14ac:dyDescent="0.3">
      <c r="A4782"/>
      <c r="L4782"/>
    </row>
    <row r="4783" spans="1:12" ht="14.4" customHeight="1" x14ac:dyDescent="0.3">
      <c r="A4783"/>
      <c r="L4783"/>
    </row>
    <row r="4784" spans="1:12" ht="14.4" customHeight="1" x14ac:dyDescent="0.3">
      <c r="A4784"/>
      <c r="L4784"/>
    </row>
    <row r="4785" spans="1:12" ht="14.4" customHeight="1" x14ac:dyDescent="0.3">
      <c r="A4785"/>
      <c r="L4785"/>
    </row>
    <row r="4786" spans="1:12" ht="14.4" customHeight="1" x14ac:dyDescent="0.3">
      <c r="A4786"/>
      <c r="L4786"/>
    </row>
    <row r="4787" spans="1:12" ht="14.4" customHeight="1" x14ac:dyDescent="0.3">
      <c r="A4787"/>
      <c r="L4787"/>
    </row>
    <row r="4788" spans="1:12" ht="14.4" customHeight="1" x14ac:dyDescent="0.3">
      <c r="A4788"/>
      <c r="L4788"/>
    </row>
    <row r="4789" spans="1:12" ht="14.4" customHeight="1" x14ac:dyDescent="0.3">
      <c r="A4789"/>
      <c r="L4789"/>
    </row>
    <row r="4790" spans="1:12" ht="14.4" customHeight="1" x14ac:dyDescent="0.3">
      <c r="A4790"/>
      <c r="L4790"/>
    </row>
    <row r="4791" spans="1:12" ht="14.4" customHeight="1" x14ac:dyDescent="0.3">
      <c r="A4791"/>
      <c r="L4791"/>
    </row>
    <row r="4792" spans="1:12" ht="14.4" customHeight="1" x14ac:dyDescent="0.3">
      <c r="A4792"/>
      <c r="L4792"/>
    </row>
    <row r="4793" spans="1:12" ht="14.4" customHeight="1" x14ac:dyDescent="0.3">
      <c r="A4793"/>
      <c r="L4793"/>
    </row>
    <row r="4794" spans="1:12" ht="14.4" customHeight="1" x14ac:dyDescent="0.3">
      <c r="A4794"/>
      <c r="L4794"/>
    </row>
    <row r="4795" spans="1:12" ht="14.4" customHeight="1" x14ac:dyDescent="0.3">
      <c r="A4795"/>
      <c r="L4795"/>
    </row>
    <row r="4796" spans="1:12" ht="14.4" customHeight="1" x14ac:dyDescent="0.3">
      <c r="A4796"/>
      <c r="L4796"/>
    </row>
    <row r="4797" spans="1:12" ht="14.4" customHeight="1" x14ac:dyDescent="0.3">
      <c r="A4797"/>
      <c r="L4797"/>
    </row>
    <row r="4798" spans="1:12" ht="14.4" customHeight="1" x14ac:dyDescent="0.3">
      <c r="A4798"/>
      <c r="L4798"/>
    </row>
    <row r="4799" spans="1:12" ht="14.4" customHeight="1" x14ac:dyDescent="0.3">
      <c r="A4799"/>
      <c r="L4799"/>
    </row>
    <row r="4800" spans="1:12" ht="14.4" customHeight="1" x14ac:dyDescent="0.3">
      <c r="A4800"/>
      <c r="L4800"/>
    </row>
    <row r="4801" spans="1:12" ht="14.4" customHeight="1" x14ac:dyDescent="0.3">
      <c r="A4801"/>
      <c r="L4801"/>
    </row>
    <row r="4802" spans="1:12" ht="14.4" customHeight="1" x14ac:dyDescent="0.3">
      <c r="A4802"/>
      <c r="L4802"/>
    </row>
    <row r="4803" spans="1:12" ht="14.4" customHeight="1" x14ac:dyDescent="0.3">
      <c r="A4803"/>
      <c r="L4803"/>
    </row>
    <row r="4804" spans="1:12" ht="14.4" customHeight="1" x14ac:dyDescent="0.3">
      <c r="A4804"/>
      <c r="L4804"/>
    </row>
    <row r="4805" spans="1:12" ht="14.4" customHeight="1" x14ac:dyDescent="0.3">
      <c r="A4805"/>
      <c r="L4805"/>
    </row>
    <row r="4806" spans="1:12" ht="14.4" customHeight="1" x14ac:dyDescent="0.3">
      <c r="A4806"/>
      <c r="L4806"/>
    </row>
    <row r="4807" spans="1:12" ht="14.4" customHeight="1" x14ac:dyDescent="0.3">
      <c r="A4807"/>
      <c r="L4807"/>
    </row>
    <row r="4808" spans="1:12" ht="14.4" customHeight="1" x14ac:dyDescent="0.3">
      <c r="A4808"/>
      <c r="L4808"/>
    </row>
    <row r="4809" spans="1:12" ht="14.4" customHeight="1" x14ac:dyDescent="0.3">
      <c r="A4809"/>
      <c r="L4809"/>
    </row>
    <row r="4810" spans="1:12" ht="14.4" customHeight="1" x14ac:dyDescent="0.3">
      <c r="A4810"/>
      <c r="L4810"/>
    </row>
    <row r="4811" spans="1:12" ht="14.4" customHeight="1" x14ac:dyDescent="0.3">
      <c r="A4811"/>
      <c r="L4811"/>
    </row>
    <row r="4812" spans="1:12" ht="14.4" customHeight="1" x14ac:dyDescent="0.3">
      <c r="A4812"/>
      <c r="L4812"/>
    </row>
    <row r="4813" spans="1:12" ht="14.4" customHeight="1" x14ac:dyDescent="0.3">
      <c r="A4813"/>
      <c r="L4813"/>
    </row>
    <row r="4814" spans="1:12" ht="14.4" customHeight="1" x14ac:dyDescent="0.3">
      <c r="A4814"/>
      <c r="L4814"/>
    </row>
    <row r="4815" spans="1:12" ht="14.4" customHeight="1" x14ac:dyDescent="0.3">
      <c r="A4815"/>
      <c r="L4815"/>
    </row>
    <row r="4816" spans="1:12" ht="14.4" customHeight="1" x14ac:dyDescent="0.3">
      <c r="A4816"/>
      <c r="L4816"/>
    </row>
    <row r="4817" spans="1:12" ht="14.4" customHeight="1" x14ac:dyDescent="0.3">
      <c r="A4817"/>
      <c r="L4817"/>
    </row>
    <row r="4818" spans="1:12" ht="14.4" customHeight="1" x14ac:dyDescent="0.3">
      <c r="A4818"/>
      <c r="L4818"/>
    </row>
    <row r="4819" spans="1:12" ht="14.4" customHeight="1" x14ac:dyDescent="0.3">
      <c r="A4819"/>
      <c r="L4819"/>
    </row>
    <row r="4820" spans="1:12" ht="14.4" customHeight="1" x14ac:dyDescent="0.3">
      <c r="A4820"/>
      <c r="L4820"/>
    </row>
    <row r="4821" spans="1:12" ht="14.4" customHeight="1" x14ac:dyDescent="0.3">
      <c r="A4821"/>
      <c r="L4821"/>
    </row>
    <row r="4822" spans="1:12" ht="14.4" customHeight="1" x14ac:dyDescent="0.3">
      <c r="A4822"/>
      <c r="L4822"/>
    </row>
    <row r="4823" spans="1:12" ht="14.4" customHeight="1" x14ac:dyDescent="0.3">
      <c r="A4823"/>
      <c r="L4823"/>
    </row>
    <row r="4824" spans="1:12" ht="14.4" customHeight="1" x14ac:dyDescent="0.3">
      <c r="A4824"/>
      <c r="L4824"/>
    </row>
    <row r="4825" spans="1:12" ht="14.4" customHeight="1" x14ac:dyDescent="0.3">
      <c r="A4825"/>
      <c r="L4825"/>
    </row>
    <row r="4826" spans="1:12" ht="14.4" customHeight="1" x14ac:dyDescent="0.3">
      <c r="A4826"/>
      <c r="L4826"/>
    </row>
    <row r="4827" spans="1:12" ht="14.4" customHeight="1" x14ac:dyDescent="0.3">
      <c r="A4827"/>
      <c r="L4827"/>
    </row>
    <row r="4828" spans="1:12" ht="14.4" customHeight="1" x14ac:dyDescent="0.3">
      <c r="A4828"/>
      <c r="L4828"/>
    </row>
    <row r="4829" spans="1:12" ht="14.4" customHeight="1" x14ac:dyDescent="0.3">
      <c r="A4829"/>
      <c r="L4829"/>
    </row>
    <row r="4830" spans="1:12" ht="14.4" customHeight="1" x14ac:dyDescent="0.3">
      <c r="A4830"/>
      <c r="L4830"/>
    </row>
    <row r="4831" spans="1:12" ht="14.4" customHeight="1" x14ac:dyDescent="0.3">
      <c r="A4831"/>
      <c r="L4831"/>
    </row>
    <row r="4832" spans="1:12" ht="14.4" customHeight="1" x14ac:dyDescent="0.3">
      <c r="A4832"/>
      <c r="L4832"/>
    </row>
    <row r="4833" spans="1:12" ht="14.4" customHeight="1" x14ac:dyDescent="0.3">
      <c r="A4833"/>
      <c r="L4833"/>
    </row>
    <row r="4834" spans="1:12" ht="14.4" customHeight="1" x14ac:dyDescent="0.3">
      <c r="A4834"/>
      <c r="L4834"/>
    </row>
    <row r="4835" spans="1:12" ht="14.4" customHeight="1" x14ac:dyDescent="0.3">
      <c r="A4835"/>
      <c r="L4835"/>
    </row>
    <row r="4836" spans="1:12" ht="14.4" customHeight="1" x14ac:dyDescent="0.3">
      <c r="A4836"/>
      <c r="L4836"/>
    </row>
    <row r="4837" spans="1:12" ht="14.4" customHeight="1" x14ac:dyDescent="0.3">
      <c r="A4837"/>
      <c r="L4837"/>
    </row>
    <row r="4838" spans="1:12" ht="14.4" customHeight="1" x14ac:dyDescent="0.3">
      <c r="A4838"/>
      <c r="L4838"/>
    </row>
    <row r="4839" spans="1:12" ht="14.4" customHeight="1" x14ac:dyDescent="0.3">
      <c r="A4839"/>
      <c r="L4839"/>
    </row>
    <row r="4840" spans="1:12" ht="14.4" customHeight="1" x14ac:dyDescent="0.3">
      <c r="A4840"/>
      <c r="L4840"/>
    </row>
    <row r="4841" spans="1:12" ht="14.4" customHeight="1" x14ac:dyDescent="0.3">
      <c r="A4841"/>
      <c r="L4841"/>
    </row>
    <row r="4842" spans="1:12" ht="14.4" customHeight="1" x14ac:dyDescent="0.3">
      <c r="A4842"/>
      <c r="L4842"/>
    </row>
    <row r="4843" spans="1:12" ht="14.4" customHeight="1" x14ac:dyDescent="0.3">
      <c r="A4843"/>
      <c r="L4843"/>
    </row>
    <row r="4844" spans="1:12" ht="14.4" customHeight="1" x14ac:dyDescent="0.3">
      <c r="A4844"/>
      <c r="L4844"/>
    </row>
    <row r="4845" spans="1:12" ht="14.4" customHeight="1" x14ac:dyDescent="0.3">
      <c r="A4845"/>
      <c r="L4845"/>
    </row>
    <row r="4846" spans="1:12" ht="14.4" customHeight="1" x14ac:dyDescent="0.3">
      <c r="A4846"/>
      <c r="L4846"/>
    </row>
    <row r="4847" spans="1:12" ht="14.4" customHeight="1" x14ac:dyDescent="0.3">
      <c r="A4847"/>
      <c r="L4847"/>
    </row>
    <row r="4848" spans="1:12" ht="14.4" customHeight="1" x14ac:dyDescent="0.3">
      <c r="A4848"/>
      <c r="L4848"/>
    </row>
    <row r="4849" spans="1:12" ht="14.4" customHeight="1" x14ac:dyDescent="0.3">
      <c r="A4849"/>
      <c r="L4849"/>
    </row>
    <row r="4850" spans="1:12" ht="14.4" customHeight="1" x14ac:dyDescent="0.3">
      <c r="A4850"/>
      <c r="L4850"/>
    </row>
    <row r="4851" spans="1:12" ht="14.4" customHeight="1" x14ac:dyDescent="0.3">
      <c r="A4851"/>
      <c r="L4851"/>
    </row>
    <row r="4852" spans="1:12" ht="14.4" customHeight="1" x14ac:dyDescent="0.3">
      <c r="A4852"/>
      <c r="L4852"/>
    </row>
    <row r="4853" spans="1:12" ht="14.4" customHeight="1" x14ac:dyDescent="0.3">
      <c r="A4853"/>
      <c r="L4853"/>
    </row>
    <row r="4854" spans="1:12" ht="14.4" customHeight="1" x14ac:dyDescent="0.3">
      <c r="A4854"/>
      <c r="L4854"/>
    </row>
    <row r="4855" spans="1:12" ht="14.4" customHeight="1" x14ac:dyDescent="0.3">
      <c r="A4855"/>
      <c r="L4855"/>
    </row>
    <row r="4856" spans="1:12" ht="14.4" customHeight="1" x14ac:dyDescent="0.3">
      <c r="A4856"/>
      <c r="L4856"/>
    </row>
    <row r="4857" spans="1:12" ht="14.4" customHeight="1" x14ac:dyDescent="0.3">
      <c r="A4857"/>
      <c r="L4857"/>
    </row>
    <row r="4858" spans="1:12" ht="14.4" customHeight="1" x14ac:dyDescent="0.3">
      <c r="A4858"/>
      <c r="L4858"/>
    </row>
    <row r="4859" spans="1:12" ht="14.4" customHeight="1" x14ac:dyDescent="0.3">
      <c r="A4859"/>
      <c r="L4859"/>
    </row>
    <row r="4860" spans="1:12" ht="14.4" customHeight="1" x14ac:dyDescent="0.3">
      <c r="A4860"/>
      <c r="L4860"/>
    </row>
    <row r="4861" spans="1:12" ht="14.4" customHeight="1" x14ac:dyDescent="0.3">
      <c r="A4861"/>
      <c r="L4861"/>
    </row>
    <row r="4862" spans="1:12" ht="14.4" customHeight="1" x14ac:dyDescent="0.3">
      <c r="A4862"/>
      <c r="L4862"/>
    </row>
    <row r="4863" spans="1:12" ht="14.4" customHeight="1" x14ac:dyDescent="0.3">
      <c r="A4863"/>
      <c r="L4863"/>
    </row>
    <row r="4864" spans="1:12" ht="14.4" customHeight="1" x14ac:dyDescent="0.3">
      <c r="A4864"/>
      <c r="L4864"/>
    </row>
    <row r="4865" spans="1:12" ht="14.4" customHeight="1" x14ac:dyDescent="0.3">
      <c r="A4865"/>
      <c r="L4865"/>
    </row>
    <row r="4866" spans="1:12" ht="14.4" customHeight="1" x14ac:dyDescent="0.3">
      <c r="A4866"/>
      <c r="L4866"/>
    </row>
    <row r="4867" spans="1:12" ht="14.4" customHeight="1" x14ac:dyDescent="0.3">
      <c r="A4867"/>
      <c r="L4867"/>
    </row>
    <row r="4868" spans="1:12" ht="14.4" customHeight="1" x14ac:dyDescent="0.3">
      <c r="A4868"/>
      <c r="L4868"/>
    </row>
    <row r="4869" spans="1:12" ht="14.4" customHeight="1" x14ac:dyDescent="0.3">
      <c r="A4869"/>
      <c r="L4869"/>
    </row>
    <row r="4870" spans="1:12" ht="14.4" customHeight="1" x14ac:dyDescent="0.3">
      <c r="A4870"/>
      <c r="L4870"/>
    </row>
    <row r="4871" spans="1:12" ht="14.4" customHeight="1" x14ac:dyDescent="0.3">
      <c r="A4871"/>
      <c r="L4871"/>
    </row>
    <row r="4872" spans="1:12" ht="14.4" customHeight="1" x14ac:dyDescent="0.3">
      <c r="A4872"/>
      <c r="L4872"/>
    </row>
    <row r="4873" spans="1:12" ht="14.4" customHeight="1" x14ac:dyDescent="0.3">
      <c r="A4873"/>
      <c r="L4873"/>
    </row>
    <row r="4874" spans="1:12" ht="14.4" customHeight="1" x14ac:dyDescent="0.3">
      <c r="A4874"/>
      <c r="L4874"/>
    </row>
    <row r="4875" spans="1:12" ht="14.4" customHeight="1" x14ac:dyDescent="0.3">
      <c r="A4875"/>
      <c r="L4875"/>
    </row>
    <row r="4876" spans="1:12" ht="14.4" customHeight="1" x14ac:dyDescent="0.3">
      <c r="A4876"/>
      <c r="L4876"/>
    </row>
    <row r="4877" spans="1:12" ht="14.4" customHeight="1" x14ac:dyDescent="0.3">
      <c r="A4877"/>
      <c r="L4877"/>
    </row>
    <row r="4878" spans="1:12" ht="14.4" customHeight="1" x14ac:dyDescent="0.3">
      <c r="A4878"/>
      <c r="L4878"/>
    </row>
    <row r="4879" spans="1:12" ht="14.4" customHeight="1" x14ac:dyDescent="0.3">
      <c r="A4879"/>
      <c r="L4879"/>
    </row>
    <row r="4880" spans="1:12" ht="14.4" customHeight="1" x14ac:dyDescent="0.3">
      <c r="A4880"/>
      <c r="L4880"/>
    </row>
    <row r="4881" spans="1:12" ht="14.4" customHeight="1" x14ac:dyDescent="0.3">
      <c r="A4881"/>
      <c r="L4881"/>
    </row>
    <row r="4882" spans="1:12" ht="14.4" customHeight="1" x14ac:dyDescent="0.3">
      <c r="A4882"/>
      <c r="L4882"/>
    </row>
    <row r="4883" spans="1:12" ht="14.4" customHeight="1" x14ac:dyDescent="0.3">
      <c r="A4883"/>
      <c r="L4883"/>
    </row>
    <row r="4884" spans="1:12" ht="14.4" customHeight="1" x14ac:dyDescent="0.3">
      <c r="A4884"/>
      <c r="L4884"/>
    </row>
    <row r="4885" spans="1:12" ht="14.4" customHeight="1" x14ac:dyDescent="0.3">
      <c r="A4885"/>
      <c r="L4885"/>
    </row>
    <row r="4886" spans="1:12" ht="14.4" customHeight="1" x14ac:dyDescent="0.3">
      <c r="A4886"/>
      <c r="L4886"/>
    </row>
    <row r="4887" spans="1:12" ht="14.4" customHeight="1" x14ac:dyDescent="0.3">
      <c r="A4887"/>
      <c r="L4887"/>
    </row>
    <row r="4888" spans="1:12" ht="14.4" customHeight="1" x14ac:dyDescent="0.3">
      <c r="A4888"/>
      <c r="L4888"/>
    </row>
    <row r="4889" spans="1:12" ht="14.4" customHeight="1" x14ac:dyDescent="0.3">
      <c r="A4889"/>
      <c r="L4889"/>
    </row>
    <row r="4890" spans="1:12" ht="14.4" customHeight="1" x14ac:dyDescent="0.3">
      <c r="A4890"/>
      <c r="L4890"/>
    </row>
    <row r="4891" spans="1:12" ht="14.4" customHeight="1" x14ac:dyDescent="0.3">
      <c r="A4891"/>
      <c r="L4891"/>
    </row>
    <row r="4892" spans="1:12" ht="14.4" customHeight="1" x14ac:dyDescent="0.3">
      <c r="A4892"/>
      <c r="L4892"/>
    </row>
    <row r="4893" spans="1:12" ht="14.4" customHeight="1" x14ac:dyDescent="0.3">
      <c r="A4893"/>
      <c r="L4893"/>
    </row>
    <row r="4894" spans="1:12" ht="14.4" customHeight="1" x14ac:dyDescent="0.3">
      <c r="A4894"/>
      <c r="L4894"/>
    </row>
    <row r="4895" spans="1:12" ht="14.4" customHeight="1" x14ac:dyDescent="0.3">
      <c r="A4895"/>
      <c r="L4895"/>
    </row>
    <row r="4896" spans="1:12" ht="14.4" customHeight="1" x14ac:dyDescent="0.3">
      <c r="A4896"/>
      <c r="L4896"/>
    </row>
    <row r="4897" spans="1:12" ht="14.4" customHeight="1" x14ac:dyDescent="0.3">
      <c r="A4897"/>
      <c r="L4897"/>
    </row>
    <row r="4898" spans="1:12" ht="14.4" customHeight="1" x14ac:dyDescent="0.3">
      <c r="A4898"/>
      <c r="L4898"/>
    </row>
    <row r="4899" spans="1:12" ht="14.4" customHeight="1" x14ac:dyDescent="0.3">
      <c r="A4899"/>
      <c r="L4899"/>
    </row>
    <row r="4900" spans="1:12" ht="14.4" customHeight="1" x14ac:dyDescent="0.3">
      <c r="A4900"/>
      <c r="L4900"/>
    </row>
    <row r="4901" spans="1:12" ht="14.4" customHeight="1" x14ac:dyDescent="0.3">
      <c r="A4901"/>
      <c r="L4901"/>
    </row>
    <row r="4902" spans="1:12" ht="14.4" customHeight="1" x14ac:dyDescent="0.3">
      <c r="A4902"/>
      <c r="L4902"/>
    </row>
    <row r="4903" spans="1:12" ht="14.4" customHeight="1" x14ac:dyDescent="0.3">
      <c r="A4903"/>
      <c r="L4903"/>
    </row>
    <row r="4904" spans="1:12" ht="14.4" customHeight="1" x14ac:dyDescent="0.3">
      <c r="A4904"/>
      <c r="L4904"/>
    </row>
    <row r="4905" spans="1:12" ht="14.4" customHeight="1" x14ac:dyDescent="0.3">
      <c r="A4905"/>
      <c r="L4905"/>
    </row>
    <row r="4906" spans="1:12" ht="14.4" customHeight="1" x14ac:dyDescent="0.3">
      <c r="A4906"/>
      <c r="L4906"/>
    </row>
    <row r="4907" spans="1:12" ht="14.4" customHeight="1" x14ac:dyDescent="0.3">
      <c r="A4907"/>
      <c r="L4907"/>
    </row>
    <row r="4908" spans="1:12" ht="14.4" customHeight="1" x14ac:dyDescent="0.3">
      <c r="A4908"/>
      <c r="L4908"/>
    </row>
    <row r="4909" spans="1:12" ht="14.4" customHeight="1" x14ac:dyDescent="0.3">
      <c r="A4909"/>
      <c r="L4909"/>
    </row>
    <row r="4910" spans="1:12" ht="14.4" customHeight="1" x14ac:dyDescent="0.3">
      <c r="A4910"/>
      <c r="L4910"/>
    </row>
    <row r="4911" spans="1:12" ht="14.4" customHeight="1" x14ac:dyDescent="0.3">
      <c r="A4911"/>
      <c r="L4911"/>
    </row>
    <row r="4912" spans="1:12" ht="14.4" customHeight="1" x14ac:dyDescent="0.3">
      <c r="A4912"/>
      <c r="L4912"/>
    </row>
    <row r="4913" spans="1:12" ht="14.4" customHeight="1" x14ac:dyDescent="0.3">
      <c r="A4913"/>
      <c r="L4913"/>
    </row>
    <row r="4914" spans="1:12" ht="14.4" customHeight="1" x14ac:dyDescent="0.3">
      <c r="A4914"/>
      <c r="L4914"/>
    </row>
    <row r="4915" spans="1:12" ht="14.4" customHeight="1" x14ac:dyDescent="0.3">
      <c r="A4915"/>
      <c r="L4915"/>
    </row>
    <row r="4916" spans="1:12" ht="14.4" customHeight="1" x14ac:dyDescent="0.3">
      <c r="A4916"/>
      <c r="L4916"/>
    </row>
    <row r="4917" spans="1:12" ht="14.4" customHeight="1" x14ac:dyDescent="0.3">
      <c r="A4917"/>
      <c r="L4917"/>
    </row>
    <row r="4918" spans="1:12" ht="14.4" customHeight="1" x14ac:dyDescent="0.3">
      <c r="A4918"/>
      <c r="L4918"/>
    </row>
    <row r="4919" spans="1:12" ht="14.4" customHeight="1" x14ac:dyDescent="0.3">
      <c r="A4919"/>
      <c r="L4919"/>
    </row>
    <row r="4920" spans="1:12" ht="14.4" customHeight="1" x14ac:dyDescent="0.3">
      <c r="A4920"/>
      <c r="L4920"/>
    </row>
    <row r="4921" spans="1:12" ht="14.4" customHeight="1" x14ac:dyDescent="0.3">
      <c r="A4921"/>
      <c r="L4921"/>
    </row>
    <row r="4922" spans="1:12" ht="14.4" customHeight="1" x14ac:dyDescent="0.3">
      <c r="A4922"/>
      <c r="L4922"/>
    </row>
    <row r="4923" spans="1:12" ht="14.4" customHeight="1" x14ac:dyDescent="0.3">
      <c r="A4923"/>
      <c r="L4923"/>
    </row>
    <row r="4924" spans="1:12" ht="14.4" customHeight="1" x14ac:dyDescent="0.3">
      <c r="A4924"/>
      <c r="L4924"/>
    </row>
    <row r="4925" spans="1:12" ht="14.4" customHeight="1" x14ac:dyDescent="0.3">
      <c r="A4925"/>
      <c r="L4925"/>
    </row>
    <row r="4926" spans="1:12" ht="14.4" customHeight="1" x14ac:dyDescent="0.3">
      <c r="A4926"/>
      <c r="L4926"/>
    </row>
    <row r="4927" spans="1:12" ht="14.4" customHeight="1" x14ac:dyDescent="0.3">
      <c r="A4927"/>
      <c r="L4927"/>
    </row>
    <row r="4928" spans="1:12" ht="14.4" customHeight="1" x14ac:dyDescent="0.3">
      <c r="A4928"/>
      <c r="L4928"/>
    </row>
    <row r="4929" spans="1:12" ht="14.4" customHeight="1" x14ac:dyDescent="0.3">
      <c r="A4929"/>
      <c r="L4929"/>
    </row>
    <row r="4930" spans="1:12" ht="14.4" customHeight="1" x14ac:dyDescent="0.3">
      <c r="A4930"/>
      <c r="L4930"/>
    </row>
    <row r="4931" spans="1:12" ht="14.4" customHeight="1" x14ac:dyDescent="0.3">
      <c r="A4931"/>
      <c r="L4931"/>
    </row>
    <row r="4932" spans="1:12" ht="14.4" customHeight="1" x14ac:dyDescent="0.3">
      <c r="A4932"/>
      <c r="L4932"/>
    </row>
    <row r="4933" spans="1:12" ht="14.4" customHeight="1" x14ac:dyDescent="0.3">
      <c r="A4933"/>
      <c r="L4933"/>
    </row>
    <row r="4934" spans="1:12" ht="14.4" customHeight="1" x14ac:dyDescent="0.3">
      <c r="A4934"/>
      <c r="L4934"/>
    </row>
    <row r="4935" spans="1:12" ht="14.4" customHeight="1" x14ac:dyDescent="0.3">
      <c r="A4935"/>
      <c r="L4935"/>
    </row>
    <row r="4936" spans="1:12" ht="14.4" customHeight="1" x14ac:dyDescent="0.3">
      <c r="A4936"/>
      <c r="L4936"/>
    </row>
    <row r="4937" spans="1:12" ht="14.4" customHeight="1" x14ac:dyDescent="0.3">
      <c r="A4937"/>
      <c r="L4937"/>
    </row>
    <row r="4938" spans="1:12" ht="14.4" customHeight="1" x14ac:dyDescent="0.3">
      <c r="A4938"/>
      <c r="L4938"/>
    </row>
    <row r="4939" spans="1:12" ht="14.4" customHeight="1" x14ac:dyDescent="0.3">
      <c r="A4939"/>
      <c r="L4939"/>
    </row>
    <row r="4940" spans="1:12" ht="14.4" customHeight="1" x14ac:dyDescent="0.3">
      <c r="A4940"/>
      <c r="L4940"/>
    </row>
    <row r="4941" spans="1:12" ht="14.4" customHeight="1" x14ac:dyDescent="0.3">
      <c r="A4941"/>
      <c r="L4941"/>
    </row>
    <row r="4942" spans="1:12" ht="14.4" customHeight="1" x14ac:dyDescent="0.3">
      <c r="A4942"/>
      <c r="L4942"/>
    </row>
    <row r="4943" spans="1:12" ht="14.4" customHeight="1" x14ac:dyDescent="0.3">
      <c r="A4943"/>
      <c r="L4943"/>
    </row>
    <row r="4944" spans="1:12" ht="14.4" customHeight="1" x14ac:dyDescent="0.3">
      <c r="A4944"/>
      <c r="L4944"/>
    </row>
    <row r="4945" spans="1:12" ht="14.4" customHeight="1" x14ac:dyDescent="0.3">
      <c r="A4945"/>
      <c r="L4945"/>
    </row>
    <row r="4946" spans="1:12" ht="14.4" customHeight="1" x14ac:dyDescent="0.3">
      <c r="A4946"/>
      <c r="L4946"/>
    </row>
    <row r="4947" spans="1:12" ht="14.4" customHeight="1" x14ac:dyDescent="0.3">
      <c r="A4947"/>
      <c r="L4947"/>
    </row>
    <row r="4948" spans="1:12" ht="14.4" customHeight="1" x14ac:dyDescent="0.3">
      <c r="A4948"/>
      <c r="L4948"/>
    </row>
    <row r="4949" spans="1:12" ht="14.4" customHeight="1" x14ac:dyDescent="0.3">
      <c r="A4949"/>
      <c r="L4949"/>
    </row>
    <row r="4950" spans="1:12" ht="14.4" customHeight="1" x14ac:dyDescent="0.3">
      <c r="A4950"/>
      <c r="L4950"/>
    </row>
    <row r="4951" spans="1:12" ht="14.4" customHeight="1" x14ac:dyDescent="0.3">
      <c r="A4951"/>
      <c r="L4951"/>
    </row>
    <row r="4952" spans="1:12" ht="14.4" customHeight="1" x14ac:dyDescent="0.3">
      <c r="A4952"/>
      <c r="L4952"/>
    </row>
    <row r="4953" spans="1:12" ht="14.4" customHeight="1" x14ac:dyDescent="0.3">
      <c r="A4953"/>
      <c r="L4953"/>
    </row>
    <row r="4954" spans="1:12" ht="14.4" customHeight="1" x14ac:dyDescent="0.3">
      <c r="A4954"/>
      <c r="L4954"/>
    </row>
    <row r="4955" spans="1:12" ht="14.4" customHeight="1" x14ac:dyDescent="0.3">
      <c r="A4955"/>
      <c r="L4955"/>
    </row>
    <row r="4956" spans="1:12" ht="14.4" customHeight="1" x14ac:dyDescent="0.3">
      <c r="A4956"/>
      <c r="L4956"/>
    </row>
    <row r="4957" spans="1:12" ht="14.4" customHeight="1" x14ac:dyDescent="0.3">
      <c r="A4957"/>
      <c r="L4957"/>
    </row>
    <row r="4958" spans="1:12" ht="14.4" customHeight="1" x14ac:dyDescent="0.3">
      <c r="A4958"/>
      <c r="L4958"/>
    </row>
    <row r="4959" spans="1:12" ht="14.4" customHeight="1" x14ac:dyDescent="0.3">
      <c r="A4959"/>
      <c r="L4959"/>
    </row>
    <row r="4960" spans="1:12" ht="14.4" customHeight="1" x14ac:dyDescent="0.3">
      <c r="A4960"/>
      <c r="L4960"/>
    </row>
    <row r="4961" spans="1:12" ht="14.4" customHeight="1" x14ac:dyDescent="0.3">
      <c r="A4961"/>
      <c r="L4961"/>
    </row>
    <row r="4962" spans="1:12" ht="14.4" customHeight="1" x14ac:dyDescent="0.3">
      <c r="A4962"/>
      <c r="L4962"/>
    </row>
    <row r="4963" spans="1:12" ht="14.4" customHeight="1" x14ac:dyDescent="0.3">
      <c r="A4963"/>
      <c r="L4963"/>
    </row>
    <row r="4964" spans="1:12" ht="14.4" customHeight="1" x14ac:dyDescent="0.3">
      <c r="A4964"/>
      <c r="L4964"/>
    </row>
    <row r="4965" spans="1:12" ht="14.4" customHeight="1" x14ac:dyDescent="0.3">
      <c r="A4965"/>
      <c r="L4965"/>
    </row>
    <row r="4966" spans="1:12" ht="14.4" customHeight="1" x14ac:dyDescent="0.3">
      <c r="A4966"/>
      <c r="L4966"/>
    </row>
    <row r="4967" spans="1:12" ht="14.4" customHeight="1" x14ac:dyDescent="0.3">
      <c r="A4967"/>
      <c r="L4967"/>
    </row>
    <row r="4968" spans="1:12" ht="14.4" customHeight="1" x14ac:dyDescent="0.3">
      <c r="A4968"/>
      <c r="L4968"/>
    </row>
    <row r="4969" spans="1:12" ht="14.4" customHeight="1" x14ac:dyDescent="0.3">
      <c r="A4969"/>
      <c r="L4969"/>
    </row>
    <row r="4970" spans="1:12" ht="14.4" customHeight="1" x14ac:dyDescent="0.3">
      <c r="A4970"/>
      <c r="L4970"/>
    </row>
    <row r="4971" spans="1:12" ht="14.4" customHeight="1" x14ac:dyDescent="0.3">
      <c r="A4971"/>
      <c r="L4971"/>
    </row>
    <row r="4972" spans="1:12" ht="14.4" customHeight="1" x14ac:dyDescent="0.3">
      <c r="A4972"/>
      <c r="L4972"/>
    </row>
    <row r="4973" spans="1:12" ht="14.4" customHeight="1" x14ac:dyDescent="0.3">
      <c r="A4973"/>
      <c r="L4973"/>
    </row>
    <row r="4974" spans="1:12" ht="14.4" customHeight="1" x14ac:dyDescent="0.3">
      <c r="A4974"/>
      <c r="L4974"/>
    </row>
    <row r="4975" spans="1:12" ht="14.4" customHeight="1" x14ac:dyDescent="0.3">
      <c r="A4975"/>
      <c r="L4975"/>
    </row>
    <row r="4976" spans="1:12" ht="14.4" customHeight="1" x14ac:dyDescent="0.3">
      <c r="A4976"/>
      <c r="L4976"/>
    </row>
    <row r="4977" spans="1:12" ht="14.4" customHeight="1" x14ac:dyDescent="0.3">
      <c r="A4977"/>
      <c r="L4977"/>
    </row>
    <row r="4978" spans="1:12" ht="14.4" customHeight="1" x14ac:dyDescent="0.3">
      <c r="A4978"/>
      <c r="L4978"/>
    </row>
    <row r="4979" spans="1:12" ht="14.4" customHeight="1" x14ac:dyDescent="0.3">
      <c r="A4979"/>
      <c r="L4979"/>
    </row>
    <row r="4980" spans="1:12" ht="14.4" customHeight="1" x14ac:dyDescent="0.3">
      <c r="A4980"/>
      <c r="L4980"/>
    </row>
    <row r="4981" spans="1:12" ht="14.4" customHeight="1" x14ac:dyDescent="0.3">
      <c r="A4981"/>
      <c r="L4981"/>
    </row>
    <row r="4982" spans="1:12" ht="14.4" customHeight="1" x14ac:dyDescent="0.3">
      <c r="A4982"/>
      <c r="L4982"/>
    </row>
    <row r="4983" spans="1:12" ht="14.4" customHeight="1" x14ac:dyDescent="0.3">
      <c r="A4983"/>
      <c r="L4983"/>
    </row>
    <row r="4984" spans="1:12" ht="14.4" customHeight="1" x14ac:dyDescent="0.3">
      <c r="A4984"/>
      <c r="L4984"/>
    </row>
    <row r="4985" spans="1:12" ht="14.4" customHeight="1" x14ac:dyDescent="0.3">
      <c r="A4985"/>
      <c r="L4985"/>
    </row>
    <row r="4986" spans="1:12" ht="14.4" customHeight="1" x14ac:dyDescent="0.3">
      <c r="A4986"/>
      <c r="L4986"/>
    </row>
    <row r="4987" spans="1:12" ht="14.4" customHeight="1" x14ac:dyDescent="0.3">
      <c r="A4987"/>
      <c r="L4987"/>
    </row>
    <row r="4988" spans="1:12" ht="14.4" customHeight="1" x14ac:dyDescent="0.3">
      <c r="A4988"/>
      <c r="L4988"/>
    </row>
    <row r="4989" spans="1:12" ht="14.4" customHeight="1" x14ac:dyDescent="0.3">
      <c r="A4989"/>
      <c r="L4989"/>
    </row>
    <row r="4990" spans="1:12" ht="14.4" customHeight="1" x14ac:dyDescent="0.3">
      <c r="A4990"/>
      <c r="L4990"/>
    </row>
    <row r="4991" spans="1:12" ht="14.4" customHeight="1" x14ac:dyDescent="0.3">
      <c r="A4991"/>
      <c r="L4991"/>
    </row>
    <row r="4992" spans="1:12" ht="14.4" customHeight="1" x14ac:dyDescent="0.3">
      <c r="A4992"/>
      <c r="L4992"/>
    </row>
    <row r="4993" spans="1:12" ht="14.4" customHeight="1" x14ac:dyDescent="0.3">
      <c r="A4993"/>
      <c r="L4993"/>
    </row>
    <row r="4994" spans="1:12" ht="14.4" customHeight="1" x14ac:dyDescent="0.3">
      <c r="A4994"/>
      <c r="L4994"/>
    </row>
    <row r="4995" spans="1:12" ht="14.4" customHeight="1" x14ac:dyDescent="0.3">
      <c r="A4995"/>
      <c r="L4995"/>
    </row>
    <row r="4996" spans="1:12" ht="14.4" customHeight="1" x14ac:dyDescent="0.3">
      <c r="A4996"/>
      <c r="L4996"/>
    </row>
    <row r="4997" spans="1:12" ht="14.4" customHeight="1" x14ac:dyDescent="0.3">
      <c r="A4997"/>
      <c r="L4997"/>
    </row>
    <row r="4998" spans="1:12" ht="14.4" customHeight="1" x14ac:dyDescent="0.3">
      <c r="A4998"/>
      <c r="L4998"/>
    </row>
    <row r="4999" spans="1:12" ht="14.4" customHeight="1" x14ac:dyDescent="0.3">
      <c r="A4999"/>
      <c r="L4999"/>
    </row>
    <row r="5000" spans="1:12" ht="14.4" customHeight="1" x14ac:dyDescent="0.3">
      <c r="A5000"/>
      <c r="L5000"/>
    </row>
    <row r="5001" spans="1:12" ht="14.4" customHeight="1" x14ac:dyDescent="0.3">
      <c r="A5001"/>
      <c r="L5001"/>
    </row>
    <row r="5002" spans="1:12" ht="14.4" customHeight="1" x14ac:dyDescent="0.3">
      <c r="A5002"/>
      <c r="L5002"/>
    </row>
    <row r="5003" spans="1:12" ht="14.4" customHeight="1" x14ac:dyDescent="0.3">
      <c r="A5003"/>
      <c r="L5003"/>
    </row>
    <row r="5004" spans="1:12" ht="14.4" customHeight="1" x14ac:dyDescent="0.3">
      <c r="A5004"/>
      <c r="L5004"/>
    </row>
    <row r="5005" spans="1:12" ht="14.4" customHeight="1" x14ac:dyDescent="0.3">
      <c r="A5005"/>
      <c r="L5005"/>
    </row>
    <row r="5006" spans="1:12" ht="14.4" customHeight="1" x14ac:dyDescent="0.3">
      <c r="A5006"/>
      <c r="L5006"/>
    </row>
    <row r="5007" spans="1:12" ht="14.4" customHeight="1" x14ac:dyDescent="0.3">
      <c r="A5007"/>
      <c r="L5007"/>
    </row>
    <row r="5008" spans="1:12" ht="14.4" customHeight="1" x14ac:dyDescent="0.3">
      <c r="A5008"/>
      <c r="L5008"/>
    </row>
    <row r="5009" spans="1:12" ht="14.4" customHeight="1" x14ac:dyDescent="0.3">
      <c r="A5009"/>
      <c r="L5009"/>
    </row>
    <row r="5010" spans="1:12" ht="14.4" customHeight="1" x14ac:dyDescent="0.3">
      <c r="A5010"/>
      <c r="L5010"/>
    </row>
    <row r="5011" spans="1:12" ht="14.4" customHeight="1" x14ac:dyDescent="0.3">
      <c r="A5011"/>
      <c r="L5011"/>
    </row>
    <row r="5012" spans="1:12" ht="14.4" customHeight="1" x14ac:dyDescent="0.3">
      <c r="A5012"/>
      <c r="L5012"/>
    </row>
    <row r="5013" spans="1:12" ht="14.4" customHeight="1" x14ac:dyDescent="0.3">
      <c r="A5013"/>
      <c r="L5013"/>
    </row>
    <row r="5014" spans="1:12" ht="14.4" customHeight="1" x14ac:dyDescent="0.3">
      <c r="A5014"/>
      <c r="L5014"/>
    </row>
    <row r="5015" spans="1:12" ht="14.4" customHeight="1" x14ac:dyDescent="0.3">
      <c r="A5015"/>
      <c r="L5015"/>
    </row>
    <row r="5016" spans="1:12" ht="14.4" customHeight="1" x14ac:dyDescent="0.3">
      <c r="A5016"/>
      <c r="L5016"/>
    </row>
    <row r="5017" spans="1:12" ht="14.4" customHeight="1" x14ac:dyDescent="0.3">
      <c r="A5017"/>
      <c r="L5017"/>
    </row>
    <row r="5018" spans="1:12" ht="14.4" customHeight="1" x14ac:dyDescent="0.3">
      <c r="A5018"/>
      <c r="L5018"/>
    </row>
    <row r="5019" spans="1:12" ht="14.4" customHeight="1" x14ac:dyDescent="0.3">
      <c r="A5019"/>
      <c r="L5019"/>
    </row>
    <row r="5020" spans="1:12" ht="14.4" customHeight="1" x14ac:dyDescent="0.3">
      <c r="A5020"/>
      <c r="L5020"/>
    </row>
    <row r="5021" spans="1:12" ht="14.4" customHeight="1" x14ac:dyDescent="0.3">
      <c r="A5021"/>
      <c r="L5021"/>
    </row>
    <row r="5022" spans="1:12" ht="14.4" customHeight="1" x14ac:dyDescent="0.3">
      <c r="A5022"/>
      <c r="L5022"/>
    </row>
    <row r="5023" spans="1:12" ht="14.4" customHeight="1" x14ac:dyDescent="0.3">
      <c r="A5023"/>
      <c r="L5023"/>
    </row>
    <row r="5024" spans="1:12" ht="14.4" customHeight="1" x14ac:dyDescent="0.3">
      <c r="A5024"/>
      <c r="L5024"/>
    </row>
    <row r="5025" spans="1:12" ht="14.4" customHeight="1" x14ac:dyDescent="0.3">
      <c r="A5025"/>
      <c r="L5025"/>
    </row>
    <row r="5026" spans="1:12" ht="14.4" customHeight="1" x14ac:dyDescent="0.3">
      <c r="A5026"/>
      <c r="L5026"/>
    </row>
    <row r="5027" spans="1:12" ht="14.4" customHeight="1" x14ac:dyDescent="0.3">
      <c r="A5027"/>
      <c r="L5027"/>
    </row>
    <row r="5028" spans="1:12" ht="14.4" customHeight="1" x14ac:dyDescent="0.3">
      <c r="A5028"/>
      <c r="L5028"/>
    </row>
    <row r="5029" spans="1:12" ht="14.4" customHeight="1" x14ac:dyDescent="0.3">
      <c r="A5029"/>
      <c r="L5029"/>
    </row>
    <row r="5030" spans="1:12" ht="14.4" customHeight="1" x14ac:dyDescent="0.3">
      <c r="A5030"/>
      <c r="L5030"/>
    </row>
    <row r="5031" spans="1:12" ht="14.4" customHeight="1" x14ac:dyDescent="0.3">
      <c r="A5031"/>
      <c r="L5031"/>
    </row>
    <row r="5032" spans="1:12" ht="14.4" customHeight="1" x14ac:dyDescent="0.3">
      <c r="A5032"/>
      <c r="L5032"/>
    </row>
    <row r="5033" spans="1:12" ht="14.4" customHeight="1" x14ac:dyDescent="0.3">
      <c r="A5033"/>
      <c r="L5033"/>
    </row>
    <row r="5034" spans="1:12" ht="14.4" customHeight="1" x14ac:dyDescent="0.3">
      <c r="A5034"/>
      <c r="L5034"/>
    </row>
    <row r="5035" spans="1:12" ht="14.4" customHeight="1" x14ac:dyDescent="0.3">
      <c r="A5035"/>
      <c r="L5035"/>
    </row>
    <row r="5036" spans="1:12" ht="14.4" customHeight="1" x14ac:dyDescent="0.3">
      <c r="A5036"/>
      <c r="L5036"/>
    </row>
    <row r="5037" spans="1:12" ht="14.4" customHeight="1" x14ac:dyDescent="0.3">
      <c r="A5037"/>
      <c r="L5037"/>
    </row>
    <row r="5038" spans="1:12" ht="14.4" customHeight="1" x14ac:dyDescent="0.3">
      <c r="A5038"/>
      <c r="L5038"/>
    </row>
    <row r="5039" spans="1:12" ht="14.4" customHeight="1" x14ac:dyDescent="0.3">
      <c r="A5039"/>
      <c r="L5039"/>
    </row>
    <row r="5040" spans="1:12" ht="14.4" customHeight="1" x14ac:dyDescent="0.3">
      <c r="A5040"/>
      <c r="L5040"/>
    </row>
    <row r="5041" spans="1:12" ht="14.4" customHeight="1" x14ac:dyDescent="0.3">
      <c r="A5041"/>
      <c r="L5041"/>
    </row>
    <row r="5042" spans="1:12" ht="14.4" customHeight="1" x14ac:dyDescent="0.3">
      <c r="A5042"/>
      <c r="L5042"/>
    </row>
    <row r="5043" spans="1:12" ht="14.4" customHeight="1" x14ac:dyDescent="0.3">
      <c r="A5043"/>
      <c r="L5043"/>
    </row>
    <row r="5044" spans="1:12" ht="14.4" customHeight="1" x14ac:dyDescent="0.3">
      <c r="A5044"/>
      <c r="L5044"/>
    </row>
    <row r="5045" spans="1:12" ht="14.4" customHeight="1" x14ac:dyDescent="0.3">
      <c r="A5045"/>
      <c r="L5045"/>
    </row>
    <row r="5046" spans="1:12" ht="14.4" customHeight="1" x14ac:dyDescent="0.3">
      <c r="A5046"/>
      <c r="L5046"/>
    </row>
    <row r="5047" spans="1:12" ht="14.4" customHeight="1" x14ac:dyDescent="0.3">
      <c r="A5047"/>
      <c r="L5047"/>
    </row>
    <row r="5048" spans="1:12" ht="14.4" customHeight="1" x14ac:dyDescent="0.3">
      <c r="A5048"/>
      <c r="L5048"/>
    </row>
    <row r="5049" spans="1:12" ht="14.4" customHeight="1" x14ac:dyDescent="0.3">
      <c r="A5049"/>
      <c r="L5049"/>
    </row>
    <row r="5050" spans="1:12" ht="14.4" customHeight="1" x14ac:dyDescent="0.3">
      <c r="A5050"/>
      <c r="L5050"/>
    </row>
    <row r="5051" spans="1:12" ht="14.4" customHeight="1" x14ac:dyDescent="0.3">
      <c r="A5051"/>
      <c r="L5051"/>
    </row>
    <row r="5052" spans="1:12" ht="14.4" customHeight="1" x14ac:dyDescent="0.3">
      <c r="A5052"/>
      <c r="L5052"/>
    </row>
    <row r="5053" spans="1:12" ht="14.4" customHeight="1" x14ac:dyDescent="0.3">
      <c r="A5053"/>
      <c r="L5053"/>
    </row>
    <row r="5054" spans="1:12" ht="14.4" customHeight="1" x14ac:dyDescent="0.3">
      <c r="A5054"/>
      <c r="L5054"/>
    </row>
    <row r="5055" spans="1:12" ht="14.4" customHeight="1" x14ac:dyDescent="0.3">
      <c r="A5055"/>
      <c r="L5055"/>
    </row>
    <row r="5056" spans="1:12" ht="14.4" customHeight="1" x14ac:dyDescent="0.3">
      <c r="A5056"/>
      <c r="L5056"/>
    </row>
    <row r="5057" spans="1:12" ht="14.4" customHeight="1" x14ac:dyDescent="0.3">
      <c r="A5057"/>
      <c r="L5057"/>
    </row>
    <row r="5058" spans="1:12" ht="14.4" customHeight="1" x14ac:dyDescent="0.3">
      <c r="A5058"/>
      <c r="L5058"/>
    </row>
    <row r="5059" spans="1:12" ht="14.4" customHeight="1" x14ac:dyDescent="0.3">
      <c r="A5059"/>
      <c r="L5059"/>
    </row>
    <row r="5060" spans="1:12" ht="14.4" customHeight="1" x14ac:dyDescent="0.3">
      <c r="A5060"/>
      <c r="L5060"/>
    </row>
    <row r="5061" spans="1:12" ht="14.4" customHeight="1" x14ac:dyDescent="0.3">
      <c r="A5061"/>
      <c r="L5061"/>
    </row>
    <row r="5062" spans="1:12" ht="14.4" customHeight="1" x14ac:dyDescent="0.3">
      <c r="A5062"/>
      <c r="L5062"/>
    </row>
    <row r="5063" spans="1:12" ht="14.4" customHeight="1" x14ac:dyDescent="0.3">
      <c r="A5063"/>
      <c r="L5063"/>
    </row>
    <row r="5064" spans="1:12" ht="14.4" customHeight="1" x14ac:dyDescent="0.3">
      <c r="A5064"/>
      <c r="L5064"/>
    </row>
    <row r="5065" spans="1:12" ht="14.4" customHeight="1" x14ac:dyDescent="0.3">
      <c r="A5065"/>
      <c r="L5065"/>
    </row>
    <row r="5066" spans="1:12" ht="14.4" customHeight="1" x14ac:dyDescent="0.3">
      <c r="A5066"/>
      <c r="L5066"/>
    </row>
    <row r="5067" spans="1:12" ht="14.4" customHeight="1" x14ac:dyDescent="0.3">
      <c r="A5067"/>
      <c r="L5067"/>
    </row>
    <row r="5068" spans="1:12" ht="14.4" customHeight="1" x14ac:dyDescent="0.3">
      <c r="A5068"/>
      <c r="L5068"/>
    </row>
    <row r="5069" spans="1:12" ht="14.4" customHeight="1" x14ac:dyDescent="0.3">
      <c r="A5069"/>
      <c r="L5069"/>
    </row>
    <row r="5070" spans="1:12" ht="14.4" customHeight="1" x14ac:dyDescent="0.3">
      <c r="A5070"/>
      <c r="L5070"/>
    </row>
    <row r="5071" spans="1:12" ht="14.4" customHeight="1" x14ac:dyDescent="0.3">
      <c r="A5071"/>
      <c r="L5071"/>
    </row>
    <row r="5072" spans="1:12" ht="14.4" customHeight="1" x14ac:dyDescent="0.3">
      <c r="A5072"/>
      <c r="L5072"/>
    </row>
    <row r="5073" spans="1:12" ht="14.4" customHeight="1" x14ac:dyDescent="0.3">
      <c r="A5073"/>
      <c r="L5073"/>
    </row>
    <row r="5074" spans="1:12" ht="14.4" customHeight="1" x14ac:dyDescent="0.3">
      <c r="A5074"/>
      <c r="L5074"/>
    </row>
    <row r="5075" spans="1:12" ht="14.4" customHeight="1" x14ac:dyDescent="0.3">
      <c r="A5075"/>
      <c r="L5075"/>
    </row>
    <row r="5076" spans="1:12" ht="14.4" customHeight="1" x14ac:dyDescent="0.3">
      <c r="A5076"/>
      <c r="L5076"/>
    </row>
    <row r="5077" spans="1:12" ht="14.4" customHeight="1" x14ac:dyDescent="0.3">
      <c r="A5077"/>
      <c r="L5077"/>
    </row>
    <row r="5078" spans="1:12" ht="14.4" customHeight="1" x14ac:dyDescent="0.3">
      <c r="A5078"/>
      <c r="L5078"/>
    </row>
    <row r="5079" spans="1:12" ht="14.4" customHeight="1" x14ac:dyDescent="0.3">
      <c r="A5079"/>
      <c r="L5079"/>
    </row>
    <row r="5080" spans="1:12" ht="14.4" customHeight="1" x14ac:dyDescent="0.3">
      <c r="A5080"/>
      <c r="L5080"/>
    </row>
    <row r="5081" spans="1:12" ht="14.4" customHeight="1" x14ac:dyDescent="0.3">
      <c r="A5081"/>
      <c r="L5081"/>
    </row>
    <row r="5082" spans="1:12" ht="14.4" customHeight="1" x14ac:dyDescent="0.3">
      <c r="A5082"/>
      <c r="L5082"/>
    </row>
    <row r="5083" spans="1:12" ht="14.4" customHeight="1" x14ac:dyDescent="0.3">
      <c r="A5083"/>
      <c r="L5083"/>
    </row>
    <row r="5084" spans="1:12" ht="14.4" customHeight="1" x14ac:dyDescent="0.3">
      <c r="A5084"/>
      <c r="L5084"/>
    </row>
    <row r="5085" spans="1:12" ht="14.4" customHeight="1" x14ac:dyDescent="0.3">
      <c r="A5085"/>
      <c r="L5085"/>
    </row>
    <row r="5086" spans="1:12" ht="14.4" customHeight="1" x14ac:dyDescent="0.3">
      <c r="A5086"/>
      <c r="L5086"/>
    </row>
    <row r="5087" spans="1:12" ht="14.4" customHeight="1" x14ac:dyDescent="0.3">
      <c r="A5087"/>
      <c r="L5087"/>
    </row>
    <row r="5088" spans="1:12" ht="14.4" customHeight="1" x14ac:dyDescent="0.3">
      <c r="A5088"/>
      <c r="L5088"/>
    </row>
    <row r="5089" spans="1:12" ht="14.4" customHeight="1" x14ac:dyDescent="0.3">
      <c r="A5089"/>
      <c r="L5089"/>
    </row>
    <row r="5090" spans="1:12" ht="14.4" customHeight="1" x14ac:dyDescent="0.3">
      <c r="A5090"/>
      <c r="L5090"/>
    </row>
    <row r="5091" spans="1:12" ht="14.4" customHeight="1" x14ac:dyDescent="0.3">
      <c r="A5091"/>
      <c r="L5091"/>
    </row>
    <row r="5092" spans="1:12" ht="14.4" customHeight="1" x14ac:dyDescent="0.3">
      <c r="A5092"/>
      <c r="L5092"/>
    </row>
    <row r="5093" spans="1:12" ht="14.4" customHeight="1" x14ac:dyDescent="0.3">
      <c r="A5093"/>
      <c r="L5093"/>
    </row>
    <row r="5094" spans="1:12" ht="14.4" customHeight="1" x14ac:dyDescent="0.3">
      <c r="A5094"/>
      <c r="L5094"/>
    </row>
    <row r="5095" spans="1:12" ht="14.4" customHeight="1" x14ac:dyDescent="0.3">
      <c r="A5095"/>
      <c r="L5095"/>
    </row>
    <row r="5096" spans="1:12" ht="14.4" customHeight="1" x14ac:dyDescent="0.3">
      <c r="A5096"/>
      <c r="L5096"/>
    </row>
    <row r="5097" spans="1:12" ht="14.4" customHeight="1" x14ac:dyDescent="0.3">
      <c r="A5097"/>
      <c r="L5097"/>
    </row>
    <row r="5098" spans="1:12" ht="14.4" customHeight="1" x14ac:dyDescent="0.3">
      <c r="A5098"/>
      <c r="L5098"/>
    </row>
    <row r="5099" spans="1:12" ht="14.4" customHeight="1" x14ac:dyDescent="0.3">
      <c r="A5099"/>
      <c r="L5099"/>
    </row>
    <row r="5100" spans="1:12" ht="14.4" customHeight="1" x14ac:dyDescent="0.3">
      <c r="A5100"/>
      <c r="L5100"/>
    </row>
    <row r="5101" spans="1:12" ht="14.4" customHeight="1" x14ac:dyDescent="0.3">
      <c r="A5101"/>
      <c r="L5101"/>
    </row>
    <row r="5102" spans="1:12" ht="14.4" customHeight="1" x14ac:dyDescent="0.3">
      <c r="A5102"/>
      <c r="L5102"/>
    </row>
    <row r="5103" spans="1:12" ht="14.4" customHeight="1" x14ac:dyDescent="0.3">
      <c r="A5103"/>
      <c r="L5103"/>
    </row>
    <row r="5104" spans="1:12" ht="14.4" customHeight="1" x14ac:dyDescent="0.3">
      <c r="A5104"/>
      <c r="L5104"/>
    </row>
    <row r="5105" spans="1:12" ht="14.4" customHeight="1" x14ac:dyDescent="0.3">
      <c r="A5105"/>
      <c r="L5105"/>
    </row>
    <row r="5106" spans="1:12" ht="14.4" customHeight="1" x14ac:dyDescent="0.3">
      <c r="A5106"/>
      <c r="L5106"/>
    </row>
    <row r="5107" spans="1:12" ht="14.4" customHeight="1" x14ac:dyDescent="0.3">
      <c r="A5107"/>
      <c r="L5107"/>
    </row>
    <row r="5108" spans="1:12" ht="14.4" customHeight="1" x14ac:dyDescent="0.3">
      <c r="A5108"/>
      <c r="L5108"/>
    </row>
    <row r="5109" spans="1:12" ht="14.4" customHeight="1" x14ac:dyDescent="0.3">
      <c r="A5109"/>
      <c r="L5109"/>
    </row>
    <row r="5110" spans="1:12" ht="14.4" customHeight="1" x14ac:dyDescent="0.3">
      <c r="A5110"/>
      <c r="L5110"/>
    </row>
    <row r="5111" spans="1:12" ht="14.4" customHeight="1" x14ac:dyDescent="0.3">
      <c r="A5111"/>
      <c r="L5111"/>
    </row>
    <row r="5112" spans="1:12" ht="14.4" customHeight="1" x14ac:dyDescent="0.3">
      <c r="A5112"/>
      <c r="L5112"/>
    </row>
    <row r="5113" spans="1:12" ht="14.4" customHeight="1" x14ac:dyDescent="0.3">
      <c r="A5113"/>
      <c r="L5113"/>
    </row>
    <row r="5114" spans="1:12" ht="14.4" customHeight="1" x14ac:dyDescent="0.3">
      <c r="A5114"/>
      <c r="L5114"/>
    </row>
    <row r="5115" spans="1:12" ht="14.4" customHeight="1" x14ac:dyDescent="0.3">
      <c r="A5115"/>
      <c r="L5115"/>
    </row>
    <row r="5116" spans="1:12" ht="14.4" customHeight="1" x14ac:dyDescent="0.3">
      <c r="A5116"/>
      <c r="L5116"/>
    </row>
    <row r="5117" spans="1:12" ht="14.4" customHeight="1" x14ac:dyDescent="0.3">
      <c r="A5117"/>
      <c r="L5117"/>
    </row>
    <row r="5118" spans="1:12" ht="14.4" customHeight="1" x14ac:dyDescent="0.3">
      <c r="A5118"/>
      <c r="L5118"/>
    </row>
    <row r="5119" spans="1:12" ht="14.4" customHeight="1" x14ac:dyDescent="0.3">
      <c r="A5119"/>
      <c r="L5119"/>
    </row>
    <row r="5120" spans="1:12" ht="14.4" customHeight="1" x14ac:dyDescent="0.3">
      <c r="A5120"/>
      <c r="L5120"/>
    </row>
    <row r="5121" spans="1:12" ht="14.4" customHeight="1" x14ac:dyDescent="0.3">
      <c r="A5121"/>
      <c r="L5121"/>
    </row>
    <row r="5122" spans="1:12" ht="14.4" customHeight="1" x14ac:dyDescent="0.3">
      <c r="A5122"/>
      <c r="L5122"/>
    </row>
    <row r="5123" spans="1:12" ht="14.4" customHeight="1" x14ac:dyDescent="0.3">
      <c r="A5123"/>
      <c r="L5123"/>
    </row>
    <row r="5124" spans="1:12" ht="14.4" customHeight="1" x14ac:dyDescent="0.3">
      <c r="A5124"/>
      <c r="L5124"/>
    </row>
    <row r="5125" spans="1:12" ht="14.4" customHeight="1" x14ac:dyDescent="0.3">
      <c r="A5125"/>
      <c r="L5125"/>
    </row>
    <row r="5126" spans="1:12" ht="14.4" customHeight="1" x14ac:dyDescent="0.3">
      <c r="A5126"/>
      <c r="L5126"/>
    </row>
    <row r="5127" spans="1:12" ht="14.4" customHeight="1" x14ac:dyDescent="0.3">
      <c r="A5127"/>
      <c r="L5127"/>
    </row>
    <row r="5128" spans="1:12" ht="14.4" customHeight="1" x14ac:dyDescent="0.3">
      <c r="A5128"/>
      <c r="L5128"/>
    </row>
    <row r="5129" spans="1:12" ht="14.4" customHeight="1" x14ac:dyDescent="0.3">
      <c r="A5129"/>
      <c r="L5129"/>
    </row>
    <row r="5130" spans="1:12" ht="14.4" customHeight="1" x14ac:dyDescent="0.3">
      <c r="A5130"/>
      <c r="L5130"/>
    </row>
    <row r="5131" spans="1:12" ht="14.4" customHeight="1" x14ac:dyDescent="0.3">
      <c r="A5131"/>
      <c r="L5131"/>
    </row>
    <row r="5132" spans="1:12" ht="14.4" customHeight="1" x14ac:dyDescent="0.3">
      <c r="A5132"/>
      <c r="L5132"/>
    </row>
    <row r="5133" spans="1:12" ht="14.4" customHeight="1" x14ac:dyDescent="0.3">
      <c r="A5133"/>
      <c r="L5133"/>
    </row>
    <row r="5134" spans="1:12" ht="14.4" customHeight="1" x14ac:dyDescent="0.3">
      <c r="A5134"/>
      <c r="L5134"/>
    </row>
    <row r="5135" spans="1:12" ht="14.4" customHeight="1" x14ac:dyDescent="0.3">
      <c r="A5135"/>
      <c r="L5135"/>
    </row>
    <row r="5136" spans="1:12" ht="14.4" customHeight="1" x14ac:dyDescent="0.3">
      <c r="A5136"/>
      <c r="L5136"/>
    </row>
    <row r="5137" spans="1:12" ht="14.4" customHeight="1" x14ac:dyDescent="0.3">
      <c r="A5137"/>
      <c r="L5137"/>
    </row>
    <row r="5138" spans="1:12" ht="14.4" customHeight="1" x14ac:dyDescent="0.3">
      <c r="A5138"/>
      <c r="L5138"/>
    </row>
    <row r="5139" spans="1:12" ht="14.4" customHeight="1" x14ac:dyDescent="0.3">
      <c r="A5139"/>
      <c r="L5139"/>
    </row>
    <row r="5140" spans="1:12" ht="14.4" customHeight="1" x14ac:dyDescent="0.3">
      <c r="A5140"/>
      <c r="L5140"/>
    </row>
    <row r="5141" spans="1:12" ht="14.4" customHeight="1" x14ac:dyDescent="0.3">
      <c r="A5141"/>
      <c r="L5141"/>
    </row>
    <row r="5142" spans="1:12" ht="14.4" customHeight="1" x14ac:dyDescent="0.3">
      <c r="A5142"/>
      <c r="L5142"/>
    </row>
    <row r="5143" spans="1:12" ht="14.4" customHeight="1" x14ac:dyDescent="0.3">
      <c r="A5143"/>
      <c r="L5143"/>
    </row>
    <row r="5144" spans="1:12" ht="14.4" customHeight="1" x14ac:dyDescent="0.3">
      <c r="A5144"/>
      <c r="L5144"/>
    </row>
    <row r="5145" spans="1:12" ht="14.4" customHeight="1" x14ac:dyDescent="0.3">
      <c r="A5145"/>
      <c r="L5145"/>
    </row>
    <row r="5146" spans="1:12" ht="14.4" customHeight="1" x14ac:dyDescent="0.3">
      <c r="A5146"/>
      <c r="L5146"/>
    </row>
    <row r="5147" spans="1:12" ht="14.4" customHeight="1" x14ac:dyDescent="0.3">
      <c r="A5147"/>
      <c r="L5147"/>
    </row>
    <row r="5148" spans="1:12" ht="14.4" customHeight="1" x14ac:dyDescent="0.3">
      <c r="A5148"/>
      <c r="L5148"/>
    </row>
    <row r="5149" spans="1:12" ht="14.4" customHeight="1" x14ac:dyDescent="0.3">
      <c r="A5149"/>
      <c r="L5149"/>
    </row>
    <row r="5150" spans="1:12" ht="14.4" customHeight="1" x14ac:dyDescent="0.3">
      <c r="A5150"/>
      <c r="L5150"/>
    </row>
    <row r="5151" spans="1:12" ht="14.4" customHeight="1" x14ac:dyDescent="0.3">
      <c r="A5151"/>
      <c r="L5151"/>
    </row>
    <row r="5152" spans="1:12" ht="14.4" customHeight="1" x14ac:dyDescent="0.3">
      <c r="A5152"/>
      <c r="L5152"/>
    </row>
    <row r="5153" spans="1:12" ht="14.4" customHeight="1" x14ac:dyDescent="0.3">
      <c r="A5153"/>
      <c r="L5153"/>
    </row>
    <row r="5154" spans="1:12" ht="14.4" customHeight="1" x14ac:dyDescent="0.3">
      <c r="A5154"/>
      <c r="L5154"/>
    </row>
    <row r="5155" spans="1:12" ht="14.4" customHeight="1" x14ac:dyDescent="0.3">
      <c r="A5155"/>
      <c r="L5155"/>
    </row>
    <row r="5156" spans="1:12" ht="14.4" customHeight="1" x14ac:dyDescent="0.3">
      <c r="A5156"/>
      <c r="L5156"/>
    </row>
    <row r="5157" spans="1:12" ht="14.4" customHeight="1" x14ac:dyDescent="0.3">
      <c r="A5157"/>
      <c r="L5157"/>
    </row>
    <row r="5158" spans="1:12" ht="14.4" customHeight="1" x14ac:dyDescent="0.3">
      <c r="A5158"/>
      <c r="L5158"/>
    </row>
    <row r="5159" spans="1:12" ht="14.4" customHeight="1" x14ac:dyDescent="0.3">
      <c r="A5159"/>
      <c r="L5159"/>
    </row>
    <row r="5160" spans="1:12" ht="14.4" customHeight="1" x14ac:dyDescent="0.3">
      <c r="A5160"/>
      <c r="L5160"/>
    </row>
    <row r="5161" spans="1:12" ht="14.4" customHeight="1" x14ac:dyDescent="0.3">
      <c r="A5161"/>
      <c r="L5161"/>
    </row>
    <row r="5162" spans="1:12" ht="14.4" customHeight="1" x14ac:dyDescent="0.3">
      <c r="A5162"/>
      <c r="L5162"/>
    </row>
    <row r="5163" spans="1:12" ht="14.4" customHeight="1" x14ac:dyDescent="0.3">
      <c r="A5163"/>
      <c r="L5163"/>
    </row>
    <row r="5164" spans="1:12" ht="14.4" customHeight="1" x14ac:dyDescent="0.3">
      <c r="A5164"/>
      <c r="L5164"/>
    </row>
    <row r="5165" spans="1:12" ht="14.4" customHeight="1" x14ac:dyDescent="0.3">
      <c r="A5165"/>
      <c r="L5165"/>
    </row>
    <row r="5166" spans="1:12" ht="14.4" customHeight="1" x14ac:dyDescent="0.3">
      <c r="A5166"/>
      <c r="L5166"/>
    </row>
    <row r="5167" spans="1:12" ht="14.4" customHeight="1" x14ac:dyDescent="0.3">
      <c r="A5167"/>
      <c r="L5167"/>
    </row>
    <row r="5168" spans="1:12" ht="14.4" customHeight="1" x14ac:dyDescent="0.3">
      <c r="A5168"/>
      <c r="L5168"/>
    </row>
    <row r="5169" spans="1:12" ht="14.4" customHeight="1" x14ac:dyDescent="0.3">
      <c r="A5169"/>
      <c r="L5169"/>
    </row>
    <row r="5170" spans="1:12" ht="14.4" customHeight="1" x14ac:dyDescent="0.3">
      <c r="A5170"/>
      <c r="L5170"/>
    </row>
    <row r="5171" spans="1:12" ht="14.4" customHeight="1" x14ac:dyDescent="0.3">
      <c r="A5171"/>
      <c r="L5171"/>
    </row>
    <row r="5172" spans="1:12" ht="14.4" customHeight="1" x14ac:dyDescent="0.3">
      <c r="A5172"/>
      <c r="L5172"/>
    </row>
    <row r="5173" spans="1:12" ht="14.4" customHeight="1" x14ac:dyDescent="0.3">
      <c r="A5173"/>
      <c r="L5173"/>
    </row>
    <row r="5174" spans="1:12" ht="14.4" customHeight="1" x14ac:dyDescent="0.3">
      <c r="A5174"/>
      <c r="L5174"/>
    </row>
    <row r="5175" spans="1:12" ht="14.4" customHeight="1" x14ac:dyDescent="0.3">
      <c r="A5175"/>
      <c r="L5175"/>
    </row>
    <row r="5176" spans="1:12" ht="14.4" customHeight="1" x14ac:dyDescent="0.3">
      <c r="A5176"/>
      <c r="L5176"/>
    </row>
    <row r="5177" spans="1:12" ht="14.4" customHeight="1" x14ac:dyDescent="0.3">
      <c r="A5177"/>
      <c r="L5177"/>
    </row>
    <row r="5178" spans="1:12" ht="14.4" customHeight="1" x14ac:dyDescent="0.3">
      <c r="A5178"/>
      <c r="L5178"/>
    </row>
    <row r="5179" spans="1:12" ht="14.4" customHeight="1" x14ac:dyDescent="0.3">
      <c r="A5179"/>
      <c r="L5179"/>
    </row>
    <row r="5180" spans="1:12" ht="14.4" customHeight="1" x14ac:dyDescent="0.3">
      <c r="A5180"/>
      <c r="L5180"/>
    </row>
    <row r="5181" spans="1:12" ht="14.4" customHeight="1" x14ac:dyDescent="0.3">
      <c r="A5181"/>
      <c r="L5181"/>
    </row>
    <row r="5182" spans="1:12" ht="14.4" customHeight="1" x14ac:dyDescent="0.3">
      <c r="A5182"/>
      <c r="L5182"/>
    </row>
    <row r="5183" spans="1:12" ht="14.4" customHeight="1" x14ac:dyDescent="0.3">
      <c r="A5183"/>
      <c r="L5183"/>
    </row>
    <row r="5184" spans="1:12" ht="14.4" customHeight="1" x14ac:dyDescent="0.3">
      <c r="A5184"/>
      <c r="L5184"/>
    </row>
    <row r="5185" spans="1:12" ht="14.4" customHeight="1" x14ac:dyDescent="0.3">
      <c r="A5185"/>
      <c r="L5185"/>
    </row>
    <row r="5186" spans="1:12" ht="14.4" customHeight="1" x14ac:dyDescent="0.3">
      <c r="A5186"/>
      <c r="L5186"/>
    </row>
    <row r="5187" spans="1:12" ht="14.4" customHeight="1" x14ac:dyDescent="0.3">
      <c r="A5187"/>
      <c r="L5187"/>
    </row>
    <row r="5188" spans="1:12" ht="14.4" customHeight="1" x14ac:dyDescent="0.3">
      <c r="A5188"/>
      <c r="L5188"/>
    </row>
    <row r="5189" spans="1:12" ht="14.4" customHeight="1" x14ac:dyDescent="0.3">
      <c r="A5189"/>
      <c r="L5189"/>
    </row>
    <row r="5190" spans="1:12" ht="14.4" customHeight="1" x14ac:dyDescent="0.3">
      <c r="A5190"/>
      <c r="L5190"/>
    </row>
    <row r="5191" spans="1:12" ht="14.4" customHeight="1" x14ac:dyDescent="0.3">
      <c r="A5191"/>
      <c r="L5191"/>
    </row>
    <row r="5192" spans="1:12" ht="14.4" customHeight="1" x14ac:dyDescent="0.3">
      <c r="A5192"/>
      <c r="L5192"/>
    </row>
    <row r="5193" spans="1:12" ht="14.4" customHeight="1" x14ac:dyDescent="0.3">
      <c r="A5193"/>
      <c r="L5193"/>
    </row>
    <row r="5194" spans="1:12" ht="14.4" customHeight="1" x14ac:dyDescent="0.3">
      <c r="A5194"/>
      <c r="L5194"/>
    </row>
    <row r="5195" spans="1:12" ht="14.4" customHeight="1" x14ac:dyDescent="0.3">
      <c r="A5195"/>
      <c r="L5195"/>
    </row>
    <row r="5196" spans="1:12" ht="14.4" customHeight="1" x14ac:dyDescent="0.3">
      <c r="A5196"/>
      <c r="L5196"/>
    </row>
    <row r="5197" spans="1:12" ht="14.4" customHeight="1" x14ac:dyDescent="0.3">
      <c r="A5197"/>
      <c r="L5197"/>
    </row>
    <row r="5198" spans="1:12" ht="14.4" customHeight="1" x14ac:dyDescent="0.3">
      <c r="A5198"/>
      <c r="L5198"/>
    </row>
    <row r="5199" spans="1:12" ht="14.4" customHeight="1" x14ac:dyDescent="0.3">
      <c r="A5199"/>
      <c r="L5199"/>
    </row>
    <row r="5200" spans="1:12" ht="14.4" customHeight="1" x14ac:dyDescent="0.3">
      <c r="A5200"/>
      <c r="L5200"/>
    </row>
    <row r="5201" spans="1:12" ht="14.4" customHeight="1" x14ac:dyDescent="0.3">
      <c r="A5201"/>
      <c r="L5201"/>
    </row>
    <row r="5202" spans="1:12" ht="14.4" customHeight="1" x14ac:dyDescent="0.3">
      <c r="A5202"/>
      <c r="L5202"/>
    </row>
    <row r="5203" spans="1:12" ht="14.4" customHeight="1" x14ac:dyDescent="0.3">
      <c r="A5203"/>
      <c r="L5203"/>
    </row>
    <row r="5204" spans="1:12" ht="14.4" customHeight="1" x14ac:dyDescent="0.3">
      <c r="A5204"/>
      <c r="L5204"/>
    </row>
    <row r="5205" spans="1:12" ht="14.4" customHeight="1" x14ac:dyDescent="0.3">
      <c r="A5205"/>
      <c r="L5205"/>
    </row>
    <row r="5206" spans="1:12" ht="14.4" customHeight="1" x14ac:dyDescent="0.3">
      <c r="A5206"/>
      <c r="L5206"/>
    </row>
    <row r="5207" spans="1:12" ht="14.4" customHeight="1" x14ac:dyDescent="0.3">
      <c r="A5207"/>
      <c r="L5207"/>
    </row>
    <row r="5208" spans="1:12" ht="14.4" customHeight="1" x14ac:dyDescent="0.3">
      <c r="A5208"/>
      <c r="L5208"/>
    </row>
    <row r="5209" spans="1:12" ht="14.4" customHeight="1" x14ac:dyDescent="0.3">
      <c r="A5209"/>
      <c r="L5209"/>
    </row>
    <row r="5210" spans="1:12" ht="14.4" customHeight="1" x14ac:dyDescent="0.3">
      <c r="A5210"/>
      <c r="L5210"/>
    </row>
    <row r="5211" spans="1:12" ht="14.4" customHeight="1" x14ac:dyDescent="0.3">
      <c r="A5211"/>
      <c r="L5211"/>
    </row>
    <row r="5212" spans="1:12" ht="14.4" customHeight="1" x14ac:dyDescent="0.3">
      <c r="A5212"/>
      <c r="L5212"/>
    </row>
    <row r="5213" spans="1:12" ht="14.4" customHeight="1" x14ac:dyDescent="0.3">
      <c r="A5213"/>
      <c r="L5213"/>
    </row>
    <row r="5214" spans="1:12" ht="14.4" customHeight="1" x14ac:dyDescent="0.3">
      <c r="A5214"/>
      <c r="L5214"/>
    </row>
    <row r="5215" spans="1:12" ht="14.4" customHeight="1" x14ac:dyDescent="0.3">
      <c r="A5215"/>
      <c r="L5215"/>
    </row>
    <row r="5216" spans="1:12" ht="14.4" customHeight="1" x14ac:dyDescent="0.3">
      <c r="A5216"/>
      <c r="L5216"/>
    </row>
    <row r="5217" spans="1:12" ht="14.4" customHeight="1" x14ac:dyDescent="0.3">
      <c r="A5217"/>
      <c r="L5217"/>
    </row>
    <row r="5218" spans="1:12" ht="14.4" customHeight="1" x14ac:dyDescent="0.3">
      <c r="A5218"/>
      <c r="L5218"/>
    </row>
    <row r="5219" spans="1:12" ht="14.4" customHeight="1" x14ac:dyDescent="0.3">
      <c r="A5219"/>
      <c r="L5219"/>
    </row>
    <row r="5220" spans="1:12" ht="14.4" customHeight="1" x14ac:dyDescent="0.3">
      <c r="A5220"/>
      <c r="L5220"/>
    </row>
    <row r="5221" spans="1:12" ht="14.4" customHeight="1" x14ac:dyDescent="0.3">
      <c r="A5221"/>
      <c r="L5221"/>
    </row>
    <row r="5222" spans="1:12" ht="14.4" customHeight="1" x14ac:dyDescent="0.3">
      <c r="A5222"/>
      <c r="L5222"/>
    </row>
    <row r="5223" spans="1:12" ht="14.4" customHeight="1" x14ac:dyDescent="0.3">
      <c r="A5223"/>
      <c r="L5223"/>
    </row>
    <row r="5224" spans="1:12" ht="14.4" customHeight="1" x14ac:dyDescent="0.3">
      <c r="A5224"/>
      <c r="L5224"/>
    </row>
    <row r="5225" spans="1:12" ht="14.4" customHeight="1" x14ac:dyDescent="0.3">
      <c r="A5225"/>
      <c r="L5225"/>
    </row>
    <row r="5226" spans="1:12" ht="14.4" customHeight="1" x14ac:dyDescent="0.3">
      <c r="A5226"/>
      <c r="L5226"/>
    </row>
    <row r="5227" spans="1:12" ht="14.4" customHeight="1" x14ac:dyDescent="0.3">
      <c r="A5227"/>
      <c r="L5227"/>
    </row>
    <row r="5228" spans="1:12" ht="14.4" customHeight="1" x14ac:dyDescent="0.3">
      <c r="A5228"/>
      <c r="L5228"/>
    </row>
    <row r="5229" spans="1:12" ht="14.4" customHeight="1" x14ac:dyDescent="0.3">
      <c r="A5229"/>
      <c r="L5229"/>
    </row>
    <row r="5230" spans="1:12" ht="14.4" customHeight="1" x14ac:dyDescent="0.3">
      <c r="A5230"/>
      <c r="L5230"/>
    </row>
    <row r="5231" spans="1:12" ht="14.4" customHeight="1" x14ac:dyDescent="0.3">
      <c r="A5231"/>
      <c r="L5231"/>
    </row>
    <row r="5232" spans="1:12" ht="14.4" customHeight="1" x14ac:dyDescent="0.3">
      <c r="A5232"/>
      <c r="L5232"/>
    </row>
    <row r="5233" spans="1:12" ht="14.4" customHeight="1" x14ac:dyDescent="0.3">
      <c r="A5233"/>
      <c r="L5233"/>
    </row>
    <row r="5234" spans="1:12" ht="14.4" customHeight="1" x14ac:dyDescent="0.3">
      <c r="A5234"/>
      <c r="L5234"/>
    </row>
    <row r="5235" spans="1:12" ht="14.4" customHeight="1" x14ac:dyDescent="0.3">
      <c r="A5235"/>
      <c r="L5235"/>
    </row>
    <row r="5236" spans="1:12" ht="14.4" customHeight="1" x14ac:dyDescent="0.3">
      <c r="A5236"/>
      <c r="L5236"/>
    </row>
    <row r="5237" spans="1:12" ht="14.4" customHeight="1" x14ac:dyDescent="0.3">
      <c r="A5237"/>
      <c r="L5237"/>
    </row>
    <row r="5238" spans="1:12" ht="14.4" customHeight="1" x14ac:dyDescent="0.3">
      <c r="A5238"/>
      <c r="L5238"/>
    </row>
    <row r="5239" spans="1:12" ht="14.4" customHeight="1" x14ac:dyDescent="0.3">
      <c r="A5239"/>
      <c r="L5239"/>
    </row>
    <row r="5240" spans="1:12" ht="14.4" customHeight="1" x14ac:dyDescent="0.3">
      <c r="A5240"/>
      <c r="L5240"/>
    </row>
    <row r="5241" spans="1:12" ht="14.4" customHeight="1" x14ac:dyDescent="0.3">
      <c r="A5241"/>
      <c r="L5241"/>
    </row>
    <row r="5242" spans="1:12" ht="14.4" customHeight="1" x14ac:dyDescent="0.3">
      <c r="A5242"/>
      <c r="L5242"/>
    </row>
    <row r="5243" spans="1:12" ht="14.4" customHeight="1" x14ac:dyDescent="0.3">
      <c r="A5243"/>
      <c r="L5243"/>
    </row>
    <row r="5244" spans="1:12" ht="14.4" customHeight="1" x14ac:dyDescent="0.3">
      <c r="A5244"/>
      <c r="L5244"/>
    </row>
    <row r="5245" spans="1:12" ht="14.4" customHeight="1" x14ac:dyDescent="0.3">
      <c r="A5245"/>
      <c r="L5245"/>
    </row>
    <row r="5246" spans="1:12" ht="14.4" customHeight="1" x14ac:dyDescent="0.3">
      <c r="A5246"/>
      <c r="L5246"/>
    </row>
    <row r="5247" spans="1:12" ht="14.4" customHeight="1" x14ac:dyDescent="0.3">
      <c r="A5247"/>
      <c r="L5247"/>
    </row>
    <row r="5248" spans="1:12" ht="14.4" customHeight="1" x14ac:dyDescent="0.3">
      <c r="A5248"/>
      <c r="L5248"/>
    </row>
    <row r="5249" spans="1:12" ht="14.4" customHeight="1" x14ac:dyDescent="0.3">
      <c r="A5249"/>
      <c r="L5249"/>
    </row>
    <row r="5250" spans="1:12" ht="14.4" customHeight="1" x14ac:dyDescent="0.3">
      <c r="A5250"/>
      <c r="L5250"/>
    </row>
    <row r="5251" spans="1:12" ht="14.4" customHeight="1" x14ac:dyDescent="0.3">
      <c r="A5251"/>
      <c r="L5251"/>
    </row>
    <row r="5252" spans="1:12" ht="14.4" customHeight="1" x14ac:dyDescent="0.3">
      <c r="A5252"/>
      <c r="L5252"/>
    </row>
    <row r="5253" spans="1:12" ht="14.4" customHeight="1" x14ac:dyDescent="0.3">
      <c r="A5253"/>
      <c r="L5253"/>
    </row>
    <row r="5254" spans="1:12" ht="14.4" customHeight="1" x14ac:dyDescent="0.3">
      <c r="A5254"/>
      <c r="L5254"/>
    </row>
    <row r="5255" spans="1:12" ht="14.4" customHeight="1" x14ac:dyDescent="0.3">
      <c r="A5255"/>
      <c r="L5255"/>
    </row>
    <row r="5256" spans="1:12" ht="14.4" customHeight="1" x14ac:dyDescent="0.3">
      <c r="A5256"/>
      <c r="L5256"/>
    </row>
    <row r="5257" spans="1:12" ht="14.4" customHeight="1" x14ac:dyDescent="0.3">
      <c r="A5257"/>
      <c r="L5257"/>
    </row>
    <row r="5258" spans="1:12" ht="14.4" customHeight="1" x14ac:dyDescent="0.3">
      <c r="A5258"/>
      <c r="L5258"/>
    </row>
    <row r="5259" spans="1:12" ht="14.4" customHeight="1" x14ac:dyDescent="0.3">
      <c r="A5259"/>
      <c r="L5259"/>
    </row>
    <row r="5260" spans="1:12" ht="14.4" customHeight="1" x14ac:dyDescent="0.3">
      <c r="A5260"/>
      <c r="L5260"/>
    </row>
    <row r="5261" spans="1:12" ht="14.4" customHeight="1" x14ac:dyDescent="0.3">
      <c r="A5261"/>
      <c r="L5261"/>
    </row>
    <row r="5262" spans="1:12" ht="14.4" customHeight="1" x14ac:dyDescent="0.3">
      <c r="A5262"/>
      <c r="L5262"/>
    </row>
    <row r="5263" spans="1:12" ht="14.4" customHeight="1" x14ac:dyDescent="0.3">
      <c r="A5263"/>
      <c r="L5263"/>
    </row>
    <row r="5264" spans="1:12" ht="14.4" customHeight="1" x14ac:dyDescent="0.3">
      <c r="A5264"/>
      <c r="L5264"/>
    </row>
    <row r="5265" spans="1:12" ht="14.4" customHeight="1" x14ac:dyDescent="0.3">
      <c r="A5265"/>
      <c r="L5265"/>
    </row>
    <row r="5266" spans="1:12" ht="14.4" customHeight="1" x14ac:dyDescent="0.3">
      <c r="A5266"/>
      <c r="L5266"/>
    </row>
    <row r="5267" spans="1:12" ht="14.4" customHeight="1" x14ac:dyDescent="0.3">
      <c r="A5267"/>
      <c r="L5267"/>
    </row>
    <row r="5268" spans="1:12" ht="14.4" customHeight="1" x14ac:dyDescent="0.3">
      <c r="A5268"/>
      <c r="L5268"/>
    </row>
    <row r="5269" spans="1:12" ht="14.4" customHeight="1" x14ac:dyDescent="0.3">
      <c r="A5269"/>
      <c r="L5269"/>
    </row>
    <row r="5270" spans="1:12" ht="14.4" customHeight="1" x14ac:dyDescent="0.3">
      <c r="A5270"/>
      <c r="L5270"/>
    </row>
    <row r="5271" spans="1:12" ht="14.4" customHeight="1" x14ac:dyDescent="0.3">
      <c r="A5271"/>
      <c r="L5271"/>
    </row>
    <row r="5272" spans="1:12" ht="14.4" customHeight="1" x14ac:dyDescent="0.3">
      <c r="A5272"/>
      <c r="L5272"/>
    </row>
    <row r="5273" spans="1:12" ht="14.4" customHeight="1" x14ac:dyDescent="0.3">
      <c r="A5273"/>
      <c r="L5273"/>
    </row>
    <row r="5274" spans="1:12" ht="14.4" customHeight="1" x14ac:dyDescent="0.3">
      <c r="A5274"/>
      <c r="L5274"/>
    </row>
    <row r="5275" spans="1:12" ht="14.4" customHeight="1" x14ac:dyDescent="0.3">
      <c r="A5275"/>
      <c r="L5275"/>
    </row>
    <row r="5276" spans="1:12" ht="14.4" customHeight="1" x14ac:dyDescent="0.3">
      <c r="A5276"/>
      <c r="L5276"/>
    </row>
    <row r="5277" spans="1:12" ht="14.4" customHeight="1" x14ac:dyDescent="0.3">
      <c r="A5277"/>
      <c r="L5277"/>
    </row>
    <row r="5278" spans="1:12" ht="14.4" customHeight="1" x14ac:dyDescent="0.3">
      <c r="A5278"/>
      <c r="L5278"/>
    </row>
    <row r="5279" spans="1:12" ht="14.4" customHeight="1" x14ac:dyDescent="0.3">
      <c r="A5279"/>
      <c r="L5279"/>
    </row>
    <row r="5280" spans="1:12" ht="14.4" customHeight="1" x14ac:dyDescent="0.3">
      <c r="A5280"/>
      <c r="L5280"/>
    </row>
    <row r="5281" spans="1:12" ht="14.4" customHeight="1" x14ac:dyDescent="0.3">
      <c r="A5281"/>
      <c r="L5281"/>
    </row>
    <row r="5282" spans="1:12" ht="14.4" customHeight="1" x14ac:dyDescent="0.3">
      <c r="A5282"/>
      <c r="L5282"/>
    </row>
    <row r="5283" spans="1:12" ht="14.4" customHeight="1" x14ac:dyDescent="0.3">
      <c r="A5283"/>
      <c r="L5283"/>
    </row>
    <row r="5284" spans="1:12" ht="14.4" customHeight="1" x14ac:dyDescent="0.3">
      <c r="A5284"/>
      <c r="L5284"/>
    </row>
    <row r="5285" spans="1:12" ht="14.4" customHeight="1" x14ac:dyDescent="0.3">
      <c r="A5285"/>
      <c r="L5285"/>
    </row>
    <row r="5286" spans="1:12" ht="14.4" customHeight="1" x14ac:dyDescent="0.3">
      <c r="A5286"/>
      <c r="L5286"/>
    </row>
    <row r="5287" spans="1:12" ht="14.4" customHeight="1" x14ac:dyDescent="0.3">
      <c r="A5287"/>
      <c r="L5287"/>
    </row>
    <row r="5288" spans="1:12" ht="14.4" customHeight="1" x14ac:dyDescent="0.3">
      <c r="A5288"/>
      <c r="L5288"/>
    </row>
    <row r="5289" spans="1:12" ht="14.4" customHeight="1" x14ac:dyDescent="0.3">
      <c r="A5289"/>
      <c r="L5289"/>
    </row>
    <row r="5290" spans="1:12" ht="14.4" customHeight="1" x14ac:dyDescent="0.3">
      <c r="A5290"/>
      <c r="L5290"/>
    </row>
    <row r="5291" spans="1:12" ht="14.4" customHeight="1" x14ac:dyDescent="0.3">
      <c r="A5291"/>
      <c r="L5291"/>
    </row>
    <row r="5292" spans="1:12" ht="14.4" customHeight="1" x14ac:dyDescent="0.3">
      <c r="A5292"/>
      <c r="L5292"/>
    </row>
    <row r="5293" spans="1:12" ht="14.4" customHeight="1" x14ac:dyDescent="0.3">
      <c r="A5293"/>
      <c r="L5293"/>
    </row>
    <row r="5294" spans="1:12" ht="14.4" customHeight="1" x14ac:dyDescent="0.3">
      <c r="A5294"/>
      <c r="L5294"/>
    </row>
    <row r="5295" spans="1:12" ht="14.4" customHeight="1" x14ac:dyDescent="0.3">
      <c r="A5295"/>
      <c r="L5295"/>
    </row>
    <row r="5296" spans="1:12" ht="14.4" customHeight="1" x14ac:dyDescent="0.3">
      <c r="A5296"/>
      <c r="L5296"/>
    </row>
    <row r="5297" spans="1:23" ht="14.4" customHeight="1" x14ac:dyDescent="0.3">
      <c r="A5297"/>
      <c r="L5297"/>
    </row>
    <row r="5298" spans="1:23" x14ac:dyDescent="0.3">
      <c r="A5298" s="28">
        <v>44705</v>
      </c>
      <c r="B5298" s="12" t="s">
        <v>4514</v>
      </c>
      <c r="C5298" s="12" t="s">
        <v>1690</v>
      </c>
      <c r="D5298" s="5"/>
      <c r="E5298" s="12">
        <v>621</v>
      </c>
      <c r="F5298" s="11" t="s">
        <v>4515</v>
      </c>
      <c r="G5298" s="12" t="s">
        <v>1</v>
      </c>
      <c r="H5298" s="12" t="s">
        <v>9</v>
      </c>
      <c r="I5298" s="11"/>
      <c r="J5298" s="12" t="s">
        <v>1582</v>
      </c>
      <c r="K5298" s="12" t="s">
        <v>2</v>
      </c>
      <c r="L5298" s="13"/>
      <c r="M5298" s="12"/>
      <c r="N5298" s="12"/>
      <c r="O5298" s="12"/>
      <c r="P5298" s="12"/>
      <c r="Q5298" s="12"/>
      <c r="R5298" s="12"/>
      <c r="S5298" s="12"/>
      <c r="T5298" s="13" t="s">
        <v>1547</v>
      </c>
      <c r="U5298" s="12" t="str">
        <f t="shared" ref="U5298" si="75">IF(AND(J5298="Corrective Action Required",R5298="Corrected"),"Corrected", IF(AND(J5298="Corrective Action Required",R5298&lt;&gt;"Corrected"),R5298,J5298))</f>
        <v>Not Started</v>
      </c>
      <c r="V5298" s="12" t="str">
        <f t="shared" ref="V5298" si="76">IF(AND(J5298="Corrective Action Required",R5298="Corrected"),S5298, IF(AND(J5298="Corrective Action Required",R5298&lt;&gt;"Corrected"),S5298,H5298))</f>
        <v>KHAN Jahan</v>
      </c>
      <c r="W5298" s="13" t="str">
        <f t="shared" ref="W5298" si="77">IF(OR(J5298="Corrected",J5298="NFF"),L5298, IF(AND(J5298="Corrective Action Required",R5298="Corrected"),T5298,""))</f>
        <v/>
      </c>
    </row>
  </sheetData>
  <autoFilter ref="A2:W5298" xr:uid="{A98F921A-8F9A-4AFB-A223-64AB5B029A8E}"/>
  <dataValidations count="1">
    <dataValidation showInputMessage="1" showErrorMessage="1" sqref="R5299:R1048576" xr:uid="{BE1A5F08-D370-4C44-8C6D-1F76F31C25CC}"/>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
  <sheetViews>
    <sheetView workbookViewId="0">
      <selection activeCell="F24" sqref="F24"/>
    </sheetView>
  </sheetViews>
  <sheetFormatPr defaultRowHeight="14.4" x14ac:dyDescent="0.3"/>
  <cols>
    <col min="1" max="1" width="10" bestFit="1" customWidth="1"/>
    <col min="2" max="2" width="12.5546875" customWidth="1"/>
    <col min="3" max="3" width="9.44140625" bestFit="1" customWidth="1"/>
    <col min="4" max="4" width="4" bestFit="1" customWidth="1"/>
    <col min="5" max="5" width="80.44140625" bestFit="1" customWidth="1"/>
    <col min="6" max="6" width="23.5546875" bestFit="1" customWidth="1"/>
    <col min="7" max="7" width="8.44140625" bestFit="1" customWidth="1"/>
    <col min="8" max="8" width="11.5546875" bestFit="1" customWidth="1"/>
    <col min="9" max="9" width="10" bestFit="1" customWidth="1"/>
  </cols>
  <sheetData>
    <row r="1" spans="1:9" ht="18" x14ac:dyDescent="0.3">
      <c r="A1" s="8">
        <f ca="1">TODAY()</f>
        <v>44706</v>
      </c>
      <c r="B1" s="20" t="s">
        <v>26</v>
      </c>
      <c r="C1" s="21"/>
      <c r="D1" s="21"/>
      <c r="E1" s="21"/>
      <c r="F1" s="21"/>
      <c r="G1" s="21"/>
      <c r="H1" s="21"/>
      <c r="I1" s="22"/>
    </row>
    <row r="2" spans="1:9" ht="28.8" x14ac:dyDescent="0.3">
      <c r="A2" s="9" t="s">
        <v>27</v>
      </c>
      <c r="B2" s="2" t="s">
        <v>28</v>
      </c>
      <c r="C2" s="2" t="s">
        <v>29</v>
      </c>
      <c r="D2" s="2" t="s">
        <v>30</v>
      </c>
      <c r="E2" s="2" t="s">
        <v>31</v>
      </c>
      <c r="F2" s="2" t="s">
        <v>32</v>
      </c>
      <c r="G2" s="2" t="s">
        <v>33</v>
      </c>
      <c r="H2" s="2" t="s">
        <v>34</v>
      </c>
      <c r="I2" s="2" t="s">
        <v>35</v>
      </c>
    </row>
    <row r="3" spans="1:9" x14ac:dyDescent="0.3">
      <c r="A3" s="6"/>
      <c r="B3" s="3" t="s">
        <v>36</v>
      </c>
      <c r="C3" s="3" t="s">
        <v>37</v>
      </c>
      <c r="D3" s="3">
        <v>405</v>
      </c>
      <c r="E3" s="11"/>
      <c r="F3" s="3"/>
      <c r="G3" s="3"/>
      <c r="H3" s="3"/>
      <c r="I3" s="7">
        <v>44460</v>
      </c>
    </row>
    <row r="4" spans="1:9" x14ac:dyDescent="0.3">
      <c r="A4" s="6"/>
      <c r="B4" s="3"/>
      <c r="C4" s="3" t="s">
        <v>38</v>
      </c>
      <c r="D4" s="3">
        <v>401</v>
      </c>
      <c r="E4" s="11" t="s">
        <v>39</v>
      </c>
      <c r="F4" s="3" t="s">
        <v>40</v>
      </c>
      <c r="G4" s="3"/>
      <c r="H4" s="3" t="s">
        <v>41</v>
      </c>
      <c r="I4" s="7">
        <v>44452</v>
      </c>
    </row>
    <row r="5" spans="1:9" x14ac:dyDescent="0.3">
      <c r="A5" s="6"/>
      <c r="B5" s="3" t="s">
        <v>42</v>
      </c>
      <c r="C5" s="3" t="s">
        <v>43</v>
      </c>
      <c r="D5" s="3">
        <v>410</v>
      </c>
      <c r="E5" s="11" t="s">
        <v>39</v>
      </c>
      <c r="F5" s="3" t="s">
        <v>40</v>
      </c>
      <c r="G5" s="3"/>
      <c r="H5" s="3" t="s">
        <v>41</v>
      </c>
      <c r="I5" s="7">
        <v>44449</v>
      </c>
    </row>
    <row r="6" spans="1:9" x14ac:dyDescent="0.3">
      <c r="A6" s="6"/>
      <c r="B6" s="3" t="s">
        <v>44</v>
      </c>
      <c r="C6" s="3" t="s">
        <v>45</v>
      </c>
      <c r="D6" s="3">
        <v>422</v>
      </c>
      <c r="E6" s="11" t="s">
        <v>39</v>
      </c>
      <c r="F6" s="3" t="s">
        <v>40</v>
      </c>
      <c r="G6" s="3"/>
      <c r="H6" s="3" t="s">
        <v>41</v>
      </c>
      <c r="I6" s="7">
        <v>44413</v>
      </c>
    </row>
    <row r="7" spans="1:9" x14ac:dyDescent="0.3">
      <c r="A7" s="6"/>
      <c r="B7" s="3" t="s">
        <v>46</v>
      </c>
      <c r="C7" s="3" t="s">
        <v>47</v>
      </c>
      <c r="D7" s="3">
        <v>601</v>
      </c>
      <c r="E7" s="11" t="s">
        <v>39</v>
      </c>
      <c r="F7" s="3" t="s">
        <v>40</v>
      </c>
      <c r="G7" s="3"/>
      <c r="H7" s="3" t="s">
        <v>41</v>
      </c>
      <c r="I7" s="7">
        <v>44428</v>
      </c>
    </row>
    <row r="8" spans="1:9" x14ac:dyDescent="0.3">
      <c r="A8" s="6"/>
      <c r="B8" s="3" t="s">
        <v>44</v>
      </c>
      <c r="C8" s="3" t="s">
        <v>48</v>
      </c>
      <c r="D8" s="3">
        <v>602</v>
      </c>
      <c r="E8" s="11" t="s">
        <v>39</v>
      </c>
      <c r="F8" s="3" t="s">
        <v>40</v>
      </c>
      <c r="G8" s="3"/>
      <c r="H8" s="3" t="s">
        <v>41</v>
      </c>
      <c r="I8" s="7">
        <v>44420</v>
      </c>
    </row>
    <row r="9" spans="1:9" x14ac:dyDescent="0.3">
      <c r="A9" s="6"/>
      <c r="B9" s="3" t="s">
        <v>49</v>
      </c>
      <c r="C9" s="3" t="s">
        <v>50</v>
      </c>
      <c r="D9" s="3">
        <v>603</v>
      </c>
      <c r="E9" s="11" t="s">
        <v>39</v>
      </c>
      <c r="F9" s="3" t="s">
        <v>40</v>
      </c>
      <c r="G9" s="3"/>
      <c r="H9" s="3" t="s">
        <v>41</v>
      </c>
      <c r="I9" s="7">
        <v>44413</v>
      </c>
    </row>
    <row r="10" spans="1:9" x14ac:dyDescent="0.3">
      <c r="A10" s="6"/>
      <c r="B10" s="3" t="s">
        <v>46</v>
      </c>
      <c r="C10" s="3" t="s">
        <v>51</v>
      </c>
      <c r="D10" s="3">
        <v>607</v>
      </c>
      <c r="E10" s="11" t="s">
        <v>39</v>
      </c>
      <c r="F10" s="3" t="s">
        <v>40</v>
      </c>
      <c r="G10" s="3"/>
      <c r="H10" s="3" t="s">
        <v>41</v>
      </c>
      <c r="I10" s="7">
        <v>44418</v>
      </c>
    </row>
    <row r="11" spans="1:9" x14ac:dyDescent="0.3">
      <c r="A11" s="6"/>
      <c r="B11" s="3" t="s">
        <v>44</v>
      </c>
      <c r="C11" s="3" t="s">
        <v>52</v>
      </c>
      <c r="D11" s="3">
        <v>608</v>
      </c>
      <c r="E11" s="11" t="s">
        <v>39</v>
      </c>
      <c r="F11" s="3" t="s">
        <v>40</v>
      </c>
      <c r="G11" s="3"/>
      <c r="H11" s="3" t="s">
        <v>41</v>
      </c>
      <c r="I11" s="7">
        <v>44412</v>
      </c>
    </row>
    <row r="12" spans="1:9" x14ac:dyDescent="0.3">
      <c r="A12" s="6"/>
      <c r="B12" s="3" t="s">
        <v>44</v>
      </c>
      <c r="C12" s="3" t="s">
        <v>53</v>
      </c>
      <c r="D12" s="3">
        <v>612</v>
      </c>
      <c r="E12" s="11" t="s">
        <v>39</v>
      </c>
      <c r="F12" s="3" t="s">
        <v>40</v>
      </c>
      <c r="G12" s="3"/>
      <c r="H12" s="3" t="s">
        <v>41</v>
      </c>
      <c r="I12" s="7">
        <v>44415</v>
      </c>
    </row>
    <row r="13" spans="1:9" x14ac:dyDescent="0.3">
      <c r="A13" s="6"/>
      <c r="B13" s="3" t="s">
        <v>44</v>
      </c>
      <c r="C13" s="3" t="s">
        <v>54</v>
      </c>
      <c r="D13" s="3">
        <v>615</v>
      </c>
      <c r="E13" s="11" t="s">
        <v>39</v>
      </c>
      <c r="F13" s="3" t="s">
        <v>40</v>
      </c>
      <c r="G13" s="3"/>
      <c r="H13" s="3" t="s">
        <v>41</v>
      </c>
      <c r="I13" s="7">
        <v>44424</v>
      </c>
    </row>
    <row r="14" spans="1:9" x14ac:dyDescent="0.3">
      <c r="A14" s="6"/>
      <c r="B14" s="3" t="s">
        <v>44</v>
      </c>
      <c r="C14" s="3" t="s">
        <v>55</v>
      </c>
      <c r="D14" s="3">
        <v>617</v>
      </c>
      <c r="E14" s="11" t="s">
        <v>39</v>
      </c>
      <c r="F14" s="3" t="s">
        <v>40</v>
      </c>
      <c r="G14" s="3"/>
      <c r="H14" s="3" t="s">
        <v>41</v>
      </c>
      <c r="I14" s="7">
        <v>44426</v>
      </c>
    </row>
    <row r="15" spans="1:9" x14ac:dyDescent="0.3">
      <c r="A15" s="6"/>
      <c r="B15" s="3" t="s">
        <v>49</v>
      </c>
      <c r="C15" s="3" t="s">
        <v>56</v>
      </c>
      <c r="D15" s="3">
        <v>619</v>
      </c>
      <c r="E15" s="11" t="s">
        <v>39</v>
      </c>
      <c r="F15" s="3" t="s">
        <v>40</v>
      </c>
      <c r="G15" s="3"/>
      <c r="H15" s="3" t="s">
        <v>41</v>
      </c>
      <c r="I15" s="7">
        <v>44430</v>
      </c>
    </row>
    <row r="16" spans="1:9" x14ac:dyDescent="0.3">
      <c r="A16" s="6"/>
      <c r="B16" s="3" t="s">
        <v>46</v>
      </c>
      <c r="C16" s="3" t="s">
        <v>57</v>
      </c>
      <c r="D16" s="3">
        <v>624</v>
      </c>
      <c r="E16" s="11" t="s">
        <v>39</v>
      </c>
      <c r="F16" s="3" t="s">
        <v>40</v>
      </c>
      <c r="G16" s="3"/>
      <c r="H16" s="3" t="s">
        <v>41</v>
      </c>
      <c r="I16" s="7">
        <v>44433</v>
      </c>
    </row>
    <row r="17" spans="1:9" x14ac:dyDescent="0.3">
      <c r="A17" s="6"/>
      <c r="B17" s="3"/>
      <c r="C17" s="3" t="s">
        <v>58</v>
      </c>
      <c r="D17" s="3">
        <v>626</v>
      </c>
      <c r="E17" s="11" t="s">
        <v>39</v>
      </c>
      <c r="F17" s="3" t="s">
        <v>40</v>
      </c>
      <c r="G17" s="3"/>
      <c r="H17" s="3" t="s">
        <v>41</v>
      </c>
      <c r="I17" s="7">
        <v>44452</v>
      </c>
    </row>
    <row r="18" spans="1:9" x14ac:dyDescent="0.3">
      <c r="A18" s="6"/>
      <c r="B18" s="3" t="s">
        <v>44</v>
      </c>
      <c r="C18" s="3" t="s">
        <v>59</v>
      </c>
      <c r="D18" s="3">
        <v>503</v>
      </c>
      <c r="E18" s="11" t="s">
        <v>39</v>
      </c>
      <c r="F18" s="3" t="s">
        <v>40</v>
      </c>
      <c r="G18" s="3"/>
      <c r="H18" s="3" t="s">
        <v>41</v>
      </c>
      <c r="I18" s="7">
        <v>44431</v>
      </c>
    </row>
    <row r="19" spans="1:9" x14ac:dyDescent="0.3">
      <c r="A19" s="6">
        <v>44445</v>
      </c>
      <c r="B19" s="3" t="s">
        <v>60</v>
      </c>
      <c r="C19" s="3" t="s">
        <v>61</v>
      </c>
      <c r="D19" s="3">
        <v>508</v>
      </c>
      <c r="E19" s="11" t="s">
        <v>39</v>
      </c>
      <c r="F19" s="3" t="s">
        <v>11</v>
      </c>
      <c r="G19" s="3" t="s">
        <v>4</v>
      </c>
      <c r="H19" s="3" t="s">
        <v>41</v>
      </c>
      <c r="I19" s="7">
        <v>44446</v>
      </c>
    </row>
    <row r="20" spans="1:9" x14ac:dyDescent="0.3">
      <c r="A20" s="6"/>
      <c r="B20" s="3" t="s">
        <v>44</v>
      </c>
      <c r="C20" s="3" t="s">
        <v>62</v>
      </c>
      <c r="D20" s="3">
        <v>509</v>
      </c>
      <c r="E20" s="11" t="s">
        <v>39</v>
      </c>
      <c r="F20" s="3" t="s">
        <v>40</v>
      </c>
      <c r="G20" s="3"/>
      <c r="H20" s="3" t="s">
        <v>41</v>
      </c>
      <c r="I20" s="7">
        <v>44432</v>
      </c>
    </row>
    <row r="21" spans="1:9" x14ac:dyDescent="0.3">
      <c r="A21" s="6"/>
      <c r="B21" s="3" t="s">
        <v>49</v>
      </c>
      <c r="C21" s="3" t="s">
        <v>63</v>
      </c>
      <c r="D21" s="3">
        <v>510</v>
      </c>
      <c r="E21" s="11" t="s">
        <v>39</v>
      </c>
      <c r="F21" s="3" t="s">
        <v>40</v>
      </c>
      <c r="G21" s="3"/>
      <c r="H21" s="3" t="s">
        <v>41</v>
      </c>
      <c r="I21" s="7">
        <v>44434</v>
      </c>
    </row>
    <row r="22" spans="1:9" x14ac:dyDescent="0.3">
      <c r="A22" s="6"/>
      <c r="B22" s="3"/>
      <c r="C22" s="3" t="s">
        <v>64</v>
      </c>
      <c r="D22" s="3">
        <v>511</v>
      </c>
      <c r="E22" s="11" t="s">
        <v>39</v>
      </c>
      <c r="F22" s="3" t="s">
        <v>40</v>
      </c>
      <c r="G22" s="3"/>
      <c r="H22" s="3" t="s">
        <v>41</v>
      </c>
      <c r="I22" s="7">
        <v>44431</v>
      </c>
    </row>
    <row r="23" spans="1:9" x14ac:dyDescent="0.3">
      <c r="A23" s="6"/>
      <c r="B23" s="3" t="s">
        <v>44</v>
      </c>
      <c r="C23" s="3" t="s">
        <v>65</v>
      </c>
      <c r="D23" s="3">
        <v>512</v>
      </c>
      <c r="E23" s="11" t="s">
        <v>39</v>
      </c>
      <c r="F23" s="3" t="s">
        <v>40</v>
      </c>
      <c r="G23" s="3"/>
      <c r="H23" s="3" t="s">
        <v>41</v>
      </c>
      <c r="I23" s="7">
        <v>44431</v>
      </c>
    </row>
    <row r="24" spans="1:9" x14ac:dyDescent="0.3">
      <c r="A24" s="6"/>
      <c r="B24" s="3" t="s">
        <v>44</v>
      </c>
      <c r="C24" s="3" t="s">
        <v>66</v>
      </c>
      <c r="D24" s="3">
        <v>519</v>
      </c>
      <c r="E24" s="11" t="s">
        <v>39</v>
      </c>
      <c r="F24" s="3" t="s">
        <v>40</v>
      </c>
      <c r="G24" s="3"/>
      <c r="H24" s="3" t="s">
        <v>41</v>
      </c>
      <c r="I24" s="7">
        <v>44432</v>
      </c>
    </row>
    <row r="25" spans="1:9" x14ac:dyDescent="0.3">
      <c r="A25" s="6"/>
      <c r="B25" s="3"/>
      <c r="C25" s="3" t="s">
        <v>67</v>
      </c>
      <c r="D25" s="3">
        <v>517</v>
      </c>
      <c r="E25" s="11" t="s">
        <v>39</v>
      </c>
      <c r="F25" s="3" t="s">
        <v>9</v>
      </c>
      <c r="G25" s="3"/>
      <c r="H25" s="3" t="s">
        <v>41</v>
      </c>
      <c r="I25" s="7">
        <v>44388</v>
      </c>
    </row>
    <row r="26" spans="1:9" x14ac:dyDescent="0.3">
      <c r="A26" s="6"/>
      <c r="B26" s="3" t="s">
        <v>68</v>
      </c>
      <c r="C26" s="3" t="s">
        <v>69</v>
      </c>
      <c r="D26" s="3">
        <v>407</v>
      </c>
      <c r="E26" s="11" t="s">
        <v>39</v>
      </c>
      <c r="F26" s="3" t="s">
        <v>9</v>
      </c>
      <c r="G26" s="3"/>
      <c r="H26" s="3" t="s">
        <v>41</v>
      </c>
      <c r="I26" s="7">
        <v>44388</v>
      </c>
    </row>
    <row r="27" spans="1:9" x14ac:dyDescent="0.3">
      <c r="A27" s="6"/>
      <c r="B27" s="3" t="s">
        <v>70</v>
      </c>
      <c r="C27" s="3" t="s">
        <v>71</v>
      </c>
      <c r="D27" s="3">
        <v>601</v>
      </c>
      <c r="E27" s="11" t="s">
        <v>72</v>
      </c>
      <c r="F27" s="3" t="s">
        <v>3</v>
      </c>
      <c r="G27" s="3"/>
      <c r="H27" s="3" t="s">
        <v>41</v>
      </c>
      <c r="I27" s="7">
        <v>44459</v>
      </c>
    </row>
    <row r="28" spans="1:9" x14ac:dyDescent="0.3">
      <c r="A28" s="6"/>
      <c r="B28" s="3" t="s">
        <v>73</v>
      </c>
      <c r="C28" s="3" t="s">
        <v>74</v>
      </c>
      <c r="D28" s="3">
        <v>601</v>
      </c>
      <c r="E28" s="11" t="s">
        <v>75</v>
      </c>
      <c r="F28" s="3" t="s">
        <v>3</v>
      </c>
      <c r="G28" s="3"/>
      <c r="H28" s="3" t="s">
        <v>41</v>
      </c>
      <c r="I28" s="7">
        <v>44459</v>
      </c>
    </row>
    <row r="29" spans="1:9" x14ac:dyDescent="0.3">
      <c r="A29" s="6"/>
      <c r="B29" s="3" t="s">
        <v>44</v>
      </c>
      <c r="C29" s="3" t="s">
        <v>76</v>
      </c>
      <c r="D29" s="3">
        <v>514</v>
      </c>
      <c r="E29" s="11" t="s">
        <v>39</v>
      </c>
      <c r="F29" s="3" t="s">
        <v>40</v>
      </c>
      <c r="G29" s="3"/>
      <c r="H29" s="3" t="s">
        <v>41</v>
      </c>
      <c r="I29" s="7">
        <v>44431</v>
      </c>
    </row>
    <row r="30" spans="1:9" x14ac:dyDescent="0.3">
      <c r="A30" s="6"/>
      <c r="B30" s="3" t="s">
        <v>77</v>
      </c>
      <c r="C30" s="3" t="s">
        <v>78</v>
      </c>
      <c r="D30" s="3">
        <v>605</v>
      </c>
      <c r="E30" s="11" t="s">
        <v>79</v>
      </c>
      <c r="F30" s="3" t="s">
        <v>3</v>
      </c>
      <c r="G30" s="3"/>
      <c r="H30" s="3" t="s">
        <v>41</v>
      </c>
      <c r="I30" s="7">
        <v>44468</v>
      </c>
    </row>
    <row r="31" spans="1:9" x14ac:dyDescent="0.3">
      <c r="A31" s="6"/>
      <c r="B31" s="3" t="s">
        <v>80</v>
      </c>
      <c r="C31" s="3" t="s">
        <v>81</v>
      </c>
      <c r="D31" s="3">
        <v>613</v>
      </c>
      <c r="E31" s="11" t="s">
        <v>82</v>
      </c>
      <c r="F31" s="3" t="s">
        <v>3</v>
      </c>
      <c r="G31" s="3"/>
      <c r="H31" s="3" t="s">
        <v>41</v>
      </c>
      <c r="I31" s="7">
        <v>44465</v>
      </c>
    </row>
    <row r="32" spans="1:9" x14ac:dyDescent="0.3">
      <c r="A32" s="6"/>
      <c r="B32" s="3" t="s">
        <v>83</v>
      </c>
      <c r="C32" s="3" t="s">
        <v>84</v>
      </c>
      <c r="D32" s="3">
        <v>614</v>
      </c>
      <c r="E32" s="11" t="s">
        <v>85</v>
      </c>
      <c r="F32" s="3" t="s">
        <v>3</v>
      </c>
      <c r="G32" s="3"/>
      <c r="H32" s="3" t="s">
        <v>41</v>
      </c>
      <c r="I32" s="7">
        <v>44476</v>
      </c>
    </row>
    <row r="33" spans="1:9" x14ac:dyDescent="0.3">
      <c r="A33" s="6"/>
      <c r="B33" s="3" t="s">
        <v>86</v>
      </c>
      <c r="C33" s="3" t="s">
        <v>87</v>
      </c>
      <c r="D33" s="3">
        <v>518</v>
      </c>
      <c r="E33" s="11" t="s">
        <v>88</v>
      </c>
      <c r="F33" s="3" t="s">
        <v>3</v>
      </c>
      <c r="G33" s="3"/>
      <c r="H33" s="3" t="s">
        <v>41</v>
      </c>
      <c r="I33" s="7">
        <v>44486</v>
      </c>
    </row>
    <row r="34" spans="1:9" x14ac:dyDescent="0.3">
      <c r="A34" s="6"/>
      <c r="B34" s="3" t="s">
        <v>89</v>
      </c>
      <c r="C34" s="3" t="s">
        <v>90</v>
      </c>
      <c r="D34" s="3">
        <v>409</v>
      </c>
      <c r="E34" s="11" t="s">
        <v>91</v>
      </c>
      <c r="F34" s="3" t="s">
        <v>40</v>
      </c>
      <c r="G34" s="3"/>
      <c r="H34" s="3" t="s">
        <v>41</v>
      </c>
      <c r="I34" s="7">
        <v>44487</v>
      </c>
    </row>
    <row r="35" spans="1:9" x14ac:dyDescent="0.3">
      <c r="A35" s="6"/>
      <c r="B35" s="3" t="s">
        <v>92</v>
      </c>
      <c r="C35" s="3" t="s">
        <v>93</v>
      </c>
      <c r="D35" s="3">
        <v>513</v>
      </c>
      <c r="E35" s="11" t="s">
        <v>1309</v>
      </c>
      <c r="F35" s="3" t="s">
        <v>3</v>
      </c>
      <c r="G35" s="3"/>
      <c r="H35" s="3" t="s">
        <v>41</v>
      </c>
      <c r="I35" s="7">
        <v>44489</v>
      </c>
    </row>
    <row r="36" spans="1:9" x14ac:dyDescent="0.3">
      <c r="A36" s="6">
        <v>44492</v>
      </c>
      <c r="B36" s="3" t="s">
        <v>94</v>
      </c>
      <c r="C36" s="3" t="s">
        <v>95</v>
      </c>
      <c r="D36" s="3">
        <v>424</v>
      </c>
      <c r="E36" s="11" t="s">
        <v>96</v>
      </c>
      <c r="F36" s="3" t="s">
        <v>3</v>
      </c>
      <c r="G36" s="3" t="s">
        <v>1</v>
      </c>
      <c r="H36" s="3" t="s">
        <v>41</v>
      </c>
      <c r="I36" s="7">
        <v>44494</v>
      </c>
    </row>
    <row r="37" spans="1:9" x14ac:dyDescent="0.3">
      <c r="A37" s="6"/>
      <c r="B37" s="3" t="s">
        <v>97</v>
      </c>
      <c r="C37" s="3" t="s">
        <v>98</v>
      </c>
      <c r="D37" s="3">
        <v>422</v>
      </c>
      <c r="E37" s="11" t="s">
        <v>99</v>
      </c>
      <c r="F37" s="3" t="s">
        <v>3</v>
      </c>
      <c r="G37" s="3"/>
      <c r="H37" s="3" t="s">
        <v>41</v>
      </c>
      <c r="I37" s="7">
        <v>44502</v>
      </c>
    </row>
    <row r="38" spans="1:9" x14ac:dyDescent="0.3">
      <c r="A38" s="6"/>
      <c r="B38" s="3" t="s">
        <v>100</v>
      </c>
      <c r="C38" s="3" t="s">
        <v>101</v>
      </c>
      <c r="D38" s="3">
        <v>407</v>
      </c>
      <c r="E38" s="11" t="s">
        <v>102</v>
      </c>
      <c r="F38" s="3" t="s">
        <v>3</v>
      </c>
      <c r="G38" s="3"/>
      <c r="H38" s="3" t="s">
        <v>41</v>
      </c>
      <c r="I38" s="7">
        <v>44502</v>
      </c>
    </row>
    <row r="39" spans="1:9" x14ac:dyDescent="0.3">
      <c r="A39" s="6"/>
      <c r="B39" s="3" t="s">
        <v>103</v>
      </c>
      <c r="C39" s="3" t="s">
        <v>104</v>
      </c>
      <c r="D39" s="3">
        <v>615</v>
      </c>
      <c r="E39" s="11" t="s">
        <v>105</v>
      </c>
      <c r="F39" s="3" t="s">
        <v>14</v>
      </c>
      <c r="G39" s="3"/>
      <c r="H39" s="3" t="s">
        <v>41</v>
      </c>
      <c r="I39" s="7">
        <v>44497</v>
      </c>
    </row>
    <row r="40" spans="1:9" x14ac:dyDescent="0.3">
      <c r="A40" s="6"/>
      <c r="B40" s="3" t="s">
        <v>106</v>
      </c>
      <c r="C40" s="3" t="s">
        <v>107</v>
      </c>
      <c r="D40" s="3">
        <v>418</v>
      </c>
      <c r="E40" s="11" t="s">
        <v>105</v>
      </c>
      <c r="F40" s="3" t="s">
        <v>14</v>
      </c>
      <c r="G40" s="3"/>
      <c r="H40" s="3" t="s">
        <v>41</v>
      </c>
      <c r="I40" s="7">
        <v>44504</v>
      </c>
    </row>
    <row r="41" spans="1:9" x14ac:dyDescent="0.3">
      <c r="A41" s="6"/>
      <c r="B41" s="3" t="s">
        <v>165</v>
      </c>
      <c r="C41" s="3" t="s">
        <v>108</v>
      </c>
      <c r="D41" s="3">
        <v>407</v>
      </c>
      <c r="E41" s="11" t="s">
        <v>109</v>
      </c>
      <c r="F41" s="3" t="s">
        <v>3</v>
      </c>
      <c r="G41" s="3"/>
      <c r="H41" s="3" t="s">
        <v>41</v>
      </c>
      <c r="I41" s="7">
        <v>44515</v>
      </c>
    </row>
    <row r="42" spans="1:9" x14ac:dyDescent="0.3">
      <c r="A42" s="6"/>
      <c r="B42" s="3" t="s">
        <v>110</v>
      </c>
      <c r="C42" s="3" t="s">
        <v>111</v>
      </c>
      <c r="D42" s="3">
        <v>414</v>
      </c>
      <c r="E42" s="11" t="s">
        <v>112</v>
      </c>
      <c r="F42" s="3" t="s">
        <v>3</v>
      </c>
      <c r="G42" s="3"/>
      <c r="H42" s="3" t="s">
        <v>41</v>
      </c>
      <c r="I42" s="7">
        <v>44517</v>
      </c>
    </row>
    <row r="43" spans="1:9" x14ac:dyDescent="0.3">
      <c r="A43" s="6"/>
      <c r="B43" s="3" t="s">
        <v>113</v>
      </c>
      <c r="C43" s="3" t="s">
        <v>114</v>
      </c>
      <c r="D43" s="3">
        <v>403</v>
      </c>
      <c r="E43" s="11" t="s">
        <v>115</v>
      </c>
      <c r="F43" s="3" t="s">
        <v>3</v>
      </c>
      <c r="G43" s="3"/>
      <c r="H43" s="3" t="s">
        <v>41</v>
      </c>
      <c r="I43" s="7">
        <v>44517</v>
      </c>
    </row>
    <row r="44" spans="1:9" x14ac:dyDescent="0.3">
      <c r="A44" s="6"/>
      <c r="B44" s="3" t="s">
        <v>116</v>
      </c>
      <c r="C44" s="3" t="s">
        <v>117</v>
      </c>
      <c r="D44" s="3">
        <v>403</v>
      </c>
      <c r="E44" s="11" t="s">
        <v>115</v>
      </c>
      <c r="F44" s="3" t="s">
        <v>3</v>
      </c>
      <c r="G44" s="3"/>
      <c r="H44" s="3" t="s">
        <v>41</v>
      </c>
      <c r="I44" s="7">
        <v>44517</v>
      </c>
    </row>
    <row r="45" spans="1:9" x14ac:dyDescent="0.3">
      <c r="A45" s="6"/>
      <c r="B45" s="3" t="s">
        <v>118</v>
      </c>
      <c r="C45" s="3" t="s">
        <v>119</v>
      </c>
      <c r="D45" s="3">
        <v>407</v>
      </c>
      <c r="E45" s="11" t="s">
        <v>120</v>
      </c>
      <c r="F45" s="3" t="s">
        <v>3</v>
      </c>
      <c r="G45" s="3"/>
      <c r="H45" s="3" t="s">
        <v>41</v>
      </c>
      <c r="I45" s="7">
        <v>44518</v>
      </c>
    </row>
    <row r="46" spans="1:9" x14ac:dyDescent="0.3">
      <c r="A46" s="6"/>
      <c r="B46" s="3" t="s">
        <v>121</v>
      </c>
      <c r="C46" s="3" t="s">
        <v>122</v>
      </c>
      <c r="D46" s="3">
        <v>608</v>
      </c>
      <c r="E46" s="11" t="s">
        <v>123</v>
      </c>
      <c r="F46" s="3" t="s">
        <v>124</v>
      </c>
      <c r="G46" s="3"/>
      <c r="H46" s="3" t="s">
        <v>41</v>
      </c>
      <c r="I46" s="7">
        <v>44521</v>
      </c>
    </row>
    <row r="47" spans="1:9" x14ac:dyDescent="0.3">
      <c r="A47" s="6"/>
      <c r="B47" s="3" t="s">
        <v>125</v>
      </c>
      <c r="C47" s="3" t="s">
        <v>126</v>
      </c>
      <c r="D47" s="3">
        <v>404</v>
      </c>
      <c r="E47" s="11" t="s">
        <v>115</v>
      </c>
      <c r="F47" s="3" t="s">
        <v>3</v>
      </c>
      <c r="G47" s="3"/>
      <c r="H47" s="3" t="s">
        <v>41</v>
      </c>
      <c r="I47" s="6">
        <v>44524</v>
      </c>
    </row>
    <row r="48" spans="1:9" x14ac:dyDescent="0.3">
      <c r="A48" s="6"/>
      <c r="B48" s="3" t="s">
        <v>127</v>
      </c>
      <c r="C48" s="3" t="s">
        <v>128</v>
      </c>
      <c r="D48" s="3">
        <v>421</v>
      </c>
      <c r="E48" s="11" t="s">
        <v>129</v>
      </c>
      <c r="F48" s="3" t="s">
        <v>124</v>
      </c>
      <c r="G48" s="3"/>
      <c r="H48" s="3" t="s">
        <v>41</v>
      </c>
      <c r="I48" s="6">
        <v>44526</v>
      </c>
    </row>
    <row r="49" spans="1:9" x14ac:dyDescent="0.3">
      <c r="A49" s="6"/>
      <c r="B49" s="3" t="s">
        <v>130</v>
      </c>
      <c r="C49" s="3" t="s">
        <v>131</v>
      </c>
      <c r="D49" s="3">
        <v>507</v>
      </c>
      <c r="E49" s="11" t="s">
        <v>132</v>
      </c>
      <c r="F49" s="3" t="s">
        <v>124</v>
      </c>
      <c r="G49" s="3" t="s">
        <v>1</v>
      </c>
      <c r="H49" s="3" t="s">
        <v>41</v>
      </c>
      <c r="I49" s="6">
        <v>44530</v>
      </c>
    </row>
    <row r="50" spans="1:9" x14ac:dyDescent="0.3">
      <c r="A50" s="6"/>
      <c r="B50" s="3" t="s">
        <v>133</v>
      </c>
      <c r="C50" s="3" t="s">
        <v>134</v>
      </c>
      <c r="D50" s="3">
        <v>608</v>
      </c>
      <c r="E50" s="11" t="s">
        <v>135</v>
      </c>
      <c r="F50" s="3" t="s">
        <v>124</v>
      </c>
      <c r="G50" s="3"/>
      <c r="H50" s="3" t="s">
        <v>41</v>
      </c>
      <c r="I50" s="6">
        <v>44537</v>
      </c>
    </row>
    <row r="51" spans="1:9" x14ac:dyDescent="0.3">
      <c r="A51" s="6"/>
      <c r="B51" s="3" t="s">
        <v>136</v>
      </c>
      <c r="C51" s="3" t="s">
        <v>137</v>
      </c>
      <c r="D51" s="3">
        <v>609</v>
      </c>
      <c r="E51" s="11" t="s">
        <v>138</v>
      </c>
      <c r="F51" s="3" t="s">
        <v>3</v>
      </c>
      <c r="G51" s="3"/>
      <c r="H51" s="3" t="s">
        <v>41</v>
      </c>
      <c r="I51" s="6">
        <v>44538</v>
      </c>
    </row>
    <row r="52" spans="1:9" x14ac:dyDescent="0.3">
      <c r="A52" s="6"/>
      <c r="B52" s="3" t="s">
        <v>139</v>
      </c>
      <c r="C52" s="3" t="s">
        <v>140</v>
      </c>
      <c r="D52" s="3">
        <v>615</v>
      </c>
      <c r="E52" s="11" t="s">
        <v>138</v>
      </c>
      <c r="F52" s="3" t="s">
        <v>3</v>
      </c>
      <c r="G52" s="3"/>
      <c r="H52" s="3" t="s">
        <v>41</v>
      </c>
      <c r="I52" s="6">
        <v>44538</v>
      </c>
    </row>
    <row r="53" spans="1:9" x14ac:dyDescent="0.3">
      <c r="A53" s="6"/>
      <c r="B53" s="3" t="s">
        <v>141</v>
      </c>
      <c r="C53" s="3" t="s">
        <v>142</v>
      </c>
      <c r="D53" s="3">
        <v>412</v>
      </c>
      <c r="E53" s="11" t="s">
        <v>138</v>
      </c>
      <c r="F53" s="3" t="s">
        <v>3</v>
      </c>
      <c r="G53" s="3"/>
      <c r="H53" s="3" t="s">
        <v>41</v>
      </c>
      <c r="I53" s="6">
        <v>44538</v>
      </c>
    </row>
    <row r="54" spans="1:9" x14ac:dyDescent="0.3">
      <c r="A54" s="6"/>
      <c r="B54" s="3" t="s">
        <v>143</v>
      </c>
      <c r="C54" s="3" t="s">
        <v>144</v>
      </c>
      <c r="D54" s="3">
        <v>406</v>
      </c>
      <c r="E54" s="11" t="s">
        <v>138</v>
      </c>
      <c r="F54" s="3" t="s">
        <v>3</v>
      </c>
      <c r="G54" s="3"/>
      <c r="H54" s="3" t="s">
        <v>41</v>
      </c>
      <c r="I54" s="6">
        <v>44538</v>
      </c>
    </row>
    <row r="55" spans="1:9" x14ac:dyDescent="0.3">
      <c r="A55" s="6"/>
      <c r="B55" s="3" t="s">
        <v>145</v>
      </c>
      <c r="C55" s="3" t="s">
        <v>146</v>
      </c>
      <c r="D55" s="3">
        <v>417</v>
      </c>
      <c r="E55" s="11" t="s">
        <v>147</v>
      </c>
      <c r="F55" s="3" t="s">
        <v>3</v>
      </c>
      <c r="G55" s="3"/>
      <c r="H55" s="3" t="s">
        <v>41</v>
      </c>
      <c r="I55" s="6">
        <v>44538</v>
      </c>
    </row>
    <row r="56" spans="1:9" x14ac:dyDescent="0.3">
      <c r="A56" s="6"/>
      <c r="B56" s="3" t="s">
        <v>148</v>
      </c>
      <c r="C56" s="3" t="s">
        <v>149</v>
      </c>
      <c r="D56" s="3">
        <v>401</v>
      </c>
      <c r="E56" s="11" t="s">
        <v>150</v>
      </c>
      <c r="F56" s="3" t="s">
        <v>3</v>
      </c>
      <c r="G56" s="3"/>
      <c r="H56" s="3" t="s">
        <v>41</v>
      </c>
      <c r="I56" s="6">
        <v>44542</v>
      </c>
    </row>
    <row r="57" spans="1:9" x14ac:dyDescent="0.3">
      <c r="A57" s="6"/>
      <c r="B57" s="3" t="s">
        <v>151</v>
      </c>
      <c r="C57" s="3" t="s">
        <v>152</v>
      </c>
      <c r="D57" s="3">
        <v>401</v>
      </c>
      <c r="E57" s="11" t="s">
        <v>153</v>
      </c>
      <c r="F57" s="3" t="s">
        <v>3</v>
      </c>
      <c r="G57" s="3"/>
      <c r="H57" s="3" t="s">
        <v>41</v>
      </c>
      <c r="I57" s="6">
        <v>44542</v>
      </c>
    </row>
    <row r="58" spans="1:9" x14ac:dyDescent="0.3">
      <c r="A58" s="6"/>
      <c r="B58" s="3" t="s">
        <v>116</v>
      </c>
      <c r="C58" s="3" t="s">
        <v>154</v>
      </c>
      <c r="D58" s="3">
        <v>403</v>
      </c>
      <c r="E58" s="11" t="s">
        <v>155</v>
      </c>
      <c r="F58" s="3" t="s">
        <v>3</v>
      </c>
      <c r="G58" s="3"/>
      <c r="H58" s="3" t="s">
        <v>41</v>
      </c>
      <c r="I58" s="6">
        <v>44542</v>
      </c>
    </row>
    <row r="59" spans="1:9" x14ac:dyDescent="0.3">
      <c r="A59" s="6"/>
      <c r="B59" s="3" t="s">
        <v>156</v>
      </c>
      <c r="C59" s="3" t="s">
        <v>157</v>
      </c>
      <c r="D59" s="3">
        <v>606</v>
      </c>
      <c r="E59" s="11" t="s">
        <v>158</v>
      </c>
      <c r="F59" s="3" t="s">
        <v>3</v>
      </c>
      <c r="G59" s="3"/>
      <c r="H59" s="3" t="s">
        <v>41</v>
      </c>
      <c r="I59" s="6">
        <v>44542</v>
      </c>
    </row>
    <row r="60" spans="1:9" x14ac:dyDescent="0.3">
      <c r="A60" s="6"/>
      <c r="B60" s="3" t="s">
        <v>159</v>
      </c>
      <c r="C60" s="3" t="s">
        <v>160</v>
      </c>
      <c r="D60" s="3">
        <v>401</v>
      </c>
      <c r="E60" s="11" t="s">
        <v>161</v>
      </c>
      <c r="F60" s="3" t="s">
        <v>3</v>
      </c>
      <c r="G60" s="3"/>
      <c r="H60" s="3" t="s">
        <v>41</v>
      </c>
      <c r="I60" s="6">
        <v>44542</v>
      </c>
    </row>
    <row r="61" spans="1:9" x14ac:dyDescent="0.3">
      <c r="A61" s="6"/>
      <c r="B61" s="3" t="s">
        <v>162</v>
      </c>
      <c r="C61" s="3" t="s">
        <v>163</v>
      </c>
      <c r="D61" s="3">
        <v>401</v>
      </c>
      <c r="E61" s="11" t="s">
        <v>164</v>
      </c>
      <c r="F61" s="3" t="s">
        <v>3</v>
      </c>
      <c r="G61" s="3"/>
      <c r="H61" s="3" t="s">
        <v>41</v>
      </c>
      <c r="I61" s="6">
        <v>44542</v>
      </c>
    </row>
    <row r="62" spans="1:9" x14ac:dyDescent="0.3">
      <c r="A62" s="6"/>
      <c r="B62" s="3" t="s">
        <v>165</v>
      </c>
      <c r="C62" s="3" t="s">
        <v>166</v>
      </c>
      <c r="D62" s="3">
        <v>612</v>
      </c>
      <c r="E62" s="11" t="s">
        <v>164</v>
      </c>
      <c r="F62" s="3" t="s">
        <v>3</v>
      </c>
      <c r="G62" s="3"/>
      <c r="H62" s="3" t="s">
        <v>41</v>
      </c>
      <c r="I62" s="6">
        <v>44542</v>
      </c>
    </row>
    <row r="63" spans="1:9" x14ac:dyDescent="0.3">
      <c r="A63" s="6"/>
      <c r="B63" s="3" t="s">
        <v>110</v>
      </c>
      <c r="C63" s="3" t="s">
        <v>167</v>
      </c>
      <c r="D63" s="3">
        <v>414</v>
      </c>
      <c r="E63" s="11" t="s">
        <v>168</v>
      </c>
      <c r="F63" s="3" t="s">
        <v>3</v>
      </c>
      <c r="G63" s="3"/>
      <c r="H63" s="3" t="s">
        <v>41</v>
      </c>
      <c r="I63" s="6">
        <v>44542</v>
      </c>
    </row>
    <row r="64" spans="1:9" x14ac:dyDescent="0.3">
      <c r="A64" s="6"/>
      <c r="B64" s="3" t="s">
        <v>103</v>
      </c>
      <c r="C64" s="3" t="s">
        <v>169</v>
      </c>
      <c r="D64" s="3">
        <v>615</v>
      </c>
      <c r="E64" s="11" t="s">
        <v>170</v>
      </c>
      <c r="F64" s="3" t="s">
        <v>3</v>
      </c>
      <c r="G64" s="3"/>
      <c r="H64" s="3" t="s">
        <v>41</v>
      </c>
      <c r="I64" s="6">
        <v>44542</v>
      </c>
    </row>
    <row r="65" spans="1:9" x14ac:dyDescent="0.3">
      <c r="A65" s="6"/>
      <c r="B65" s="3" t="s">
        <v>118</v>
      </c>
      <c r="C65" s="3" t="s">
        <v>171</v>
      </c>
      <c r="D65" s="3">
        <v>407</v>
      </c>
      <c r="E65" s="11" t="s">
        <v>172</v>
      </c>
      <c r="F65" s="3" t="s">
        <v>3</v>
      </c>
      <c r="G65" s="3"/>
      <c r="H65" s="3" t="s">
        <v>41</v>
      </c>
      <c r="I65" s="6">
        <v>44542</v>
      </c>
    </row>
    <row r="66" spans="1:9" x14ac:dyDescent="0.3">
      <c r="A66" s="6"/>
      <c r="B66" s="3" t="s">
        <v>173</v>
      </c>
      <c r="C66" s="3" t="s">
        <v>174</v>
      </c>
      <c r="D66" s="3">
        <v>609</v>
      </c>
      <c r="E66" s="11" t="s">
        <v>175</v>
      </c>
      <c r="F66" s="3" t="s">
        <v>3</v>
      </c>
      <c r="G66" s="3"/>
      <c r="H66" s="3" t="s">
        <v>41</v>
      </c>
      <c r="I66" s="6">
        <v>44542</v>
      </c>
    </row>
    <row r="67" spans="1:9" x14ac:dyDescent="0.3">
      <c r="A67" s="6"/>
      <c r="B67" s="3" t="s">
        <v>113</v>
      </c>
      <c r="C67" s="3" t="s">
        <v>176</v>
      </c>
      <c r="D67" s="3">
        <v>403</v>
      </c>
      <c r="E67" s="11" t="s">
        <v>1311</v>
      </c>
      <c r="F67" s="3" t="s">
        <v>3</v>
      </c>
      <c r="G67" s="3"/>
      <c r="H67" s="3" t="s">
        <v>41</v>
      </c>
      <c r="I67" s="6">
        <v>44542</v>
      </c>
    </row>
    <row r="68" spans="1:9" x14ac:dyDescent="0.3">
      <c r="A68" s="6"/>
      <c r="B68" s="3" t="s">
        <v>125</v>
      </c>
      <c r="C68" s="3" t="s">
        <v>177</v>
      </c>
      <c r="D68" s="3">
        <v>414</v>
      </c>
      <c r="E68" s="11" t="s">
        <v>1312</v>
      </c>
      <c r="F68" s="3" t="s">
        <v>3</v>
      </c>
      <c r="G68" s="3"/>
      <c r="H68" s="3" t="s">
        <v>41</v>
      </c>
      <c r="I68" s="6">
        <v>44542</v>
      </c>
    </row>
    <row r="69" spans="1:9" x14ac:dyDescent="0.3">
      <c r="A69" s="6">
        <v>44542</v>
      </c>
      <c r="B69" s="3" t="s">
        <v>178</v>
      </c>
      <c r="C69" s="3" t="s">
        <v>179</v>
      </c>
      <c r="D69" s="3">
        <v>625</v>
      </c>
      <c r="E69" s="11" t="s">
        <v>180</v>
      </c>
      <c r="F69" s="3" t="s">
        <v>124</v>
      </c>
      <c r="G69" s="3" t="s">
        <v>1</v>
      </c>
      <c r="H69" s="3" t="s">
        <v>41</v>
      </c>
      <c r="I69" s="6">
        <v>44544</v>
      </c>
    </row>
    <row r="70" spans="1:9" x14ac:dyDescent="0.3">
      <c r="A70" s="6"/>
      <c r="B70" s="3" t="s">
        <v>181</v>
      </c>
      <c r="C70" s="3" t="s">
        <v>182</v>
      </c>
      <c r="D70" s="3">
        <v>613</v>
      </c>
      <c r="E70" s="11" t="s">
        <v>183</v>
      </c>
      <c r="F70" s="3" t="s">
        <v>3</v>
      </c>
      <c r="G70" s="3"/>
      <c r="H70" s="3" t="s">
        <v>41</v>
      </c>
      <c r="I70" s="6">
        <v>44546</v>
      </c>
    </row>
    <row r="71" spans="1:9" x14ac:dyDescent="0.3">
      <c r="A71" s="6"/>
      <c r="B71" s="3" t="s">
        <v>184</v>
      </c>
      <c r="C71" s="3" t="s">
        <v>185</v>
      </c>
      <c r="D71" s="3">
        <v>608</v>
      </c>
      <c r="E71" s="11" t="s">
        <v>186</v>
      </c>
      <c r="F71" s="3" t="s">
        <v>124</v>
      </c>
      <c r="G71" s="3"/>
      <c r="H71" s="3" t="s">
        <v>41</v>
      </c>
      <c r="I71" s="6">
        <v>44550</v>
      </c>
    </row>
    <row r="72" spans="1:9" x14ac:dyDescent="0.3">
      <c r="A72" s="6">
        <v>44549</v>
      </c>
      <c r="B72" s="3" t="s">
        <v>187</v>
      </c>
      <c r="C72" s="3" t="s">
        <v>188</v>
      </c>
      <c r="D72" s="3">
        <v>623</v>
      </c>
      <c r="E72" s="11" t="s">
        <v>189</v>
      </c>
      <c r="F72" s="3" t="s">
        <v>3</v>
      </c>
      <c r="G72" s="3"/>
      <c r="H72" s="3" t="s">
        <v>41</v>
      </c>
      <c r="I72" s="6">
        <v>44551</v>
      </c>
    </row>
    <row r="73" spans="1:9" x14ac:dyDescent="0.3">
      <c r="A73" s="6"/>
      <c r="B73" s="3" t="s">
        <v>190</v>
      </c>
      <c r="C73" s="3" t="s">
        <v>191</v>
      </c>
      <c r="D73" s="3">
        <v>605</v>
      </c>
      <c r="E73" s="11" t="s">
        <v>192</v>
      </c>
      <c r="F73" s="3" t="s">
        <v>3</v>
      </c>
      <c r="G73" s="3"/>
      <c r="H73" s="3" t="s">
        <v>41</v>
      </c>
      <c r="I73" s="6">
        <v>44551</v>
      </c>
    </row>
    <row r="74" spans="1:9" x14ac:dyDescent="0.3">
      <c r="A74" s="6"/>
      <c r="B74" s="3" t="s">
        <v>193</v>
      </c>
      <c r="C74" s="3" t="s">
        <v>194</v>
      </c>
      <c r="D74" s="3">
        <v>605</v>
      </c>
      <c r="E74" s="11" t="s">
        <v>195</v>
      </c>
      <c r="F74" s="3" t="s">
        <v>3</v>
      </c>
      <c r="G74" s="3"/>
      <c r="H74" s="3" t="s">
        <v>41</v>
      </c>
      <c r="I74" s="6">
        <v>44551</v>
      </c>
    </row>
    <row r="75" spans="1:9" x14ac:dyDescent="0.3">
      <c r="A75" s="6"/>
      <c r="B75" s="3" t="s">
        <v>196</v>
      </c>
      <c r="C75" s="3" t="s">
        <v>197</v>
      </c>
      <c r="D75" s="3">
        <v>417</v>
      </c>
      <c r="E75" s="11" t="s">
        <v>198</v>
      </c>
      <c r="F75" s="3" t="s">
        <v>124</v>
      </c>
      <c r="G75" s="3"/>
      <c r="H75" s="3" t="s">
        <v>41</v>
      </c>
      <c r="I75" s="6">
        <v>44577</v>
      </c>
    </row>
    <row r="76" spans="1:9" x14ac:dyDescent="0.3">
      <c r="A76" s="6"/>
      <c r="B76" s="3" t="s">
        <v>199</v>
      </c>
      <c r="C76" s="3" t="s">
        <v>200</v>
      </c>
      <c r="D76" s="3">
        <v>623</v>
      </c>
      <c r="E76" s="11" t="s">
        <v>201</v>
      </c>
      <c r="F76" s="3" t="s">
        <v>9</v>
      </c>
      <c r="G76" s="3"/>
      <c r="H76" s="3" t="s">
        <v>41</v>
      </c>
      <c r="I76" s="6">
        <v>44551</v>
      </c>
    </row>
    <row r="77" spans="1:9" x14ac:dyDescent="0.3">
      <c r="A77" s="6"/>
      <c r="B77" s="3" t="s">
        <v>202</v>
      </c>
      <c r="C77" s="3" t="s">
        <v>203</v>
      </c>
      <c r="D77" s="3">
        <v>409</v>
      </c>
      <c r="E77" s="11" t="s">
        <v>204</v>
      </c>
      <c r="F77" s="3" t="s">
        <v>14</v>
      </c>
      <c r="G77" s="3"/>
      <c r="H77" s="3" t="s">
        <v>41</v>
      </c>
      <c r="I77" s="6">
        <v>44556</v>
      </c>
    </row>
    <row r="78" spans="1:9" x14ac:dyDescent="0.3">
      <c r="A78" s="6"/>
      <c r="B78" s="3" t="s">
        <v>205</v>
      </c>
      <c r="C78" s="3" t="s">
        <v>206</v>
      </c>
      <c r="D78" s="3">
        <v>621</v>
      </c>
      <c r="E78" s="11" t="s">
        <v>207</v>
      </c>
      <c r="F78" s="3" t="s">
        <v>14</v>
      </c>
      <c r="G78" s="3"/>
      <c r="H78" s="3" t="s">
        <v>41</v>
      </c>
      <c r="I78" s="6">
        <v>44557</v>
      </c>
    </row>
    <row r="79" spans="1:9" x14ac:dyDescent="0.3">
      <c r="A79" s="6"/>
      <c r="B79" s="3" t="s">
        <v>208</v>
      </c>
      <c r="C79" s="3" t="s">
        <v>209</v>
      </c>
      <c r="D79" s="3">
        <v>618</v>
      </c>
      <c r="E79" s="11" t="s">
        <v>210</v>
      </c>
      <c r="F79" s="3" t="s">
        <v>14</v>
      </c>
      <c r="G79" s="3"/>
      <c r="H79" s="3" t="s">
        <v>41</v>
      </c>
      <c r="I79" s="6">
        <v>44557</v>
      </c>
    </row>
    <row r="80" spans="1:9" x14ac:dyDescent="0.3">
      <c r="A80" s="6"/>
      <c r="B80" s="3" t="s">
        <v>211</v>
      </c>
      <c r="C80" s="3" t="s">
        <v>212</v>
      </c>
      <c r="D80" s="3">
        <v>606</v>
      </c>
      <c r="E80" s="11" t="s">
        <v>213</v>
      </c>
      <c r="F80" s="3" t="s">
        <v>14</v>
      </c>
      <c r="G80" s="3"/>
      <c r="H80" s="3" t="s">
        <v>41</v>
      </c>
      <c r="I80" s="6">
        <v>44558</v>
      </c>
    </row>
    <row r="81" spans="1:9" x14ac:dyDescent="0.3">
      <c r="A81" s="6"/>
      <c r="B81" s="3" t="s">
        <v>214</v>
      </c>
      <c r="C81" s="3" t="s">
        <v>215</v>
      </c>
      <c r="D81" s="3">
        <v>411</v>
      </c>
      <c r="E81" s="11" t="s">
        <v>216</v>
      </c>
      <c r="F81" s="3" t="s">
        <v>14</v>
      </c>
      <c r="G81" s="3"/>
      <c r="H81" s="3" t="s">
        <v>41</v>
      </c>
      <c r="I81" s="6">
        <v>44549</v>
      </c>
    </row>
    <row r="82" spans="1:9" x14ac:dyDescent="0.3">
      <c r="A82" s="6"/>
      <c r="B82" s="3" t="s">
        <v>217</v>
      </c>
      <c r="C82" s="3" t="s">
        <v>218</v>
      </c>
      <c r="D82" s="3">
        <v>616</v>
      </c>
      <c r="E82" s="11" t="s">
        <v>219</v>
      </c>
      <c r="F82" s="3" t="s">
        <v>14</v>
      </c>
      <c r="G82" s="3"/>
      <c r="H82" s="3" t="s">
        <v>41</v>
      </c>
      <c r="I82" s="6">
        <v>44558</v>
      </c>
    </row>
    <row r="83" spans="1:9" x14ac:dyDescent="0.3">
      <c r="A83" s="6"/>
      <c r="B83" s="3" t="s">
        <v>220</v>
      </c>
      <c r="C83" s="3" t="s">
        <v>221</v>
      </c>
      <c r="D83" s="3">
        <v>624</v>
      </c>
      <c r="E83" s="11" t="s">
        <v>222</v>
      </c>
      <c r="F83" s="3" t="s">
        <v>14</v>
      </c>
      <c r="G83" s="3"/>
      <c r="H83" s="3" t="s">
        <v>41</v>
      </c>
      <c r="I83" s="6">
        <v>44558</v>
      </c>
    </row>
    <row r="84" spans="1:9" x14ac:dyDescent="0.3">
      <c r="A84" s="6"/>
      <c r="B84" s="3" t="s">
        <v>413</v>
      </c>
      <c r="C84" s="3" t="s">
        <v>1317</v>
      </c>
      <c r="D84" s="3">
        <v>612</v>
      </c>
      <c r="E84" s="14" t="s">
        <v>415</v>
      </c>
      <c r="F84" s="3" t="s">
        <v>14</v>
      </c>
      <c r="G84" s="3" t="s">
        <v>7</v>
      </c>
      <c r="H84" s="3" t="s">
        <v>41</v>
      </c>
      <c r="I84" s="6">
        <v>44580</v>
      </c>
    </row>
    <row r="85" spans="1:9" x14ac:dyDescent="0.3">
      <c r="A85" s="6"/>
      <c r="B85" s="3" t="s">
        <v>422</v>
      </c>
      <c r="C85" s="3" t="s">
        <v>1318</v>
      </c>
      <c r="D85" s="3">
        <v>416</v>
      </c>
      <c r="E85" s="11" t="s">
        <v>424</v>
      </c>
      <c r="F85" s="3" t="s">
        <v>14</v>
      </c>
      <c r="G85" s="3" t="s">
        <v>7</v>
      </c>
      <c r="H85" s="3" t="s">
        <v>41</v>
      </c>
      <c r="I85" s="6">
        <v>44580</v>
      </c>
    </row>
    <row r="86" spans="1:9" x14ac:dyDescent="0.3">
      <c r="A86" s="6">
        <v>44493</v>
      </c>
      <c r="B86" s="3" t="s">
        <v>226</v>
      </c>
      <c r="C86" s="3" t="s">
        <v>227</v>
      </c>
      <c r="D86" s="3">
        <v>513</v>
      </c>
      <c r="E86" s="11" t="s">
        <v>1310</v>
      </c>
      <c r="F86" s="3" t="s">
        <v>3</v>
      </c>
      <c r="G86" s="3"/>
      <c r="H86" s="3" t="s">
        <v>41</v>
      </c>
      <c r="I86" s="6">
        <v>44565</v>
      </c>
    </row>
    <row r="87" spans="1:9" x14ac:dyDescent="0.3">
      <c r="A87" s="6"/>
      <c r="B87" s="3" t="s">
        <v>228</v>
      </c>
      <c r="C87" s="3" t="s">
        <v>229</v>
      </c>
      <c r="D87" s="3">
        <v>405</v>
      </c>
      <c r="E87" s="11" t="s">
        <v>230</v>
      </c>
      <c r="F87" s="3" t="s">
        <v>3</v>
      </c>
      <c r="G87" s="3"/>
      <c r="H87" s="3" t="s">
        <v>41</v>
      </c>
      <c r="I87" s="6">
        <v>44565</v>
      </c>
    </row>
    <row r="88" spans="1:9" x14ac:dyDescent="0.3">
      <c r="A88" s="6">
        <v>44536</v>
      </c>
      <c r="B88" s="3" t="s">
        <v>231</v>
      </c>
      <c r="C88" s="3" t="s">
        <v>232</v>
      </c>
      <c r="D88" s="3">
        <v>401</v>
      </c>
      <c r="E88" s="11" t="s">
        <v>233</v>
      </c>
      <c r="F88" s="3" t="s">
        <v>124</v>
      </c>
      <c r="G88" s="3"/>
      <c r="H88" s="3" t="s">
        <v>41</v>
      </c>
      <c r="I88" s="6">
        <v>44565</v>
      </c>
    </row>
    <row r="89" spans="1:9" x14ac:dyDescent="0.3">
      <c r="A89" s="6"/>
      <c r="B89" s="3" t="s">
        <v>234</v>
      </c>
      <c r="C89" s="3" t="s">
        <v>235</v>
      </c>
      <c r="D89" s="3">
        <v>406</v>
      </c>
      <c r="E89" s="11" t="s">
        <v>236</v>
      </c>
      <c r="F89" s="3" t="s">
        <v>3</v>
      </c>
      <c r="G89" s="3"/>
      <c r="H89" s="3" t="s">
        <v>41</v>
      </c>
      <c r="I89" s="6">
        <v>44565</v>
      </c>
    </row>
    <row r="90" spans="1:9" x14ac:dyDescent="0.3">
      <c r="A90" s="6">
        <v>44523</v>
      </c>
      <c r="B90" s="3" t="s">
        <v>237</v>
      </c>
      <c r="C90" s="3" t="s">
        <v>238</v>
      </c>
      <c r="D90" s="3">
        <v>404</v>
      </c>
      <c r="E90" s="11" t="s">
        <v>239</v>
      </c>
      <c r="F90" s="3" t="s">
        <v>3</v>
      </c>
      <c r="G90" s="3"/>
      <c r="H90" s="3" t="s">
        <v>41</v>
      </c>
      <c r="I90" s="6">
        <v>44565</v>
      </c>
    </row>
    <row r="91" spans="1:9" x14ac:dyDescent="0.3">
      <c r="A91" s="6">
        <v>44558</v>
      </c>
      <c r="B91" s="3" t="s">
        <v>240</v>
      </c>
      <c r="C91" s="3" t="s">
        <v>241</v>
      </c>
      <c r="D91" s="3">
        <v>501</v>
      </c>
      <c r="E91" s="11" t="s">
        <v>242</v>
      </c>
      <c r="F91" s="3" t="s">
        <v>19</v>
      </c>
      <c r="G91" s="3" t="s">
        <v>7</v>
      </c>
      <c r="H91" s="3" t="s">
        <v>41</v>
      </c>
      <c r="I91" s="6">
        <v>44566</v>
      </c>
    </row>
    <row r="92" spans="1:9" x14ac:dyDescent="0.3">
      <c r="A92" s="6"/>
      <c r="B92" s="3" t="s">
        <v>243</v>
      </c>
      <c r="C92" s="3" t="s">
        <v>244</v>
      </c>
      <c r="D92" s="3">
        <v>603</v>
      </c>
      <c r="E92" s="11" t="s">
        <v>245</v>
      </c>
      <c r="F92" s="3" t="s">
        <v>19</v>
      </c>
      <c r="G92" s="3"/>
      <c r="H92" s="3" t="s">
        <v>41</v>
      </c>
      <c r="I92" s="6">
        <v>44566</v>
      </c>
    </row>
    <row r="93" spans="1:9" x14ac:dyDescent="0.3">
      <c r="A93" s="6">
        <v>44530</v>
      </c>
      <c r="B93" s="3" t="s">
        <v>246</v>
      </c>
      <c r="C93" s="3" t="s">
        <v>247</v>
      </c>
      <c r="D93" s="3">
        <v>604</v>
      </c>
      <c r="E93" s="11" t="s">
        <v>248</v>
      </c>
      <c r="F93" s="3" t="s">
        <v>19</v>
      </c>
      <c r="G93" s="3" t="s">
        <v>1</v>
      </c>
      <c r="H93" s="3" t="s">
        <v>41</v>
      </c>
      <c r="I93" s="6">
        <v>44566</v>
      </c>
    </row>
    <row r="94" spans="1:9" x14ac:dyDescent="0.3">
      <c r="A94" s="6">
        <v>44532</v>
      </c>
      <c r="B94" s="3" t="s">
        <v>249</v>
      </c>
      <c r="C94" s="3" t="s">
        <v>250</v>
      </c>
      <c r="D94" s="3">
        <v>410</v>
      </c>
      <c r="E94" s="11" t="s">
        <v>251</v>
      </c>
      <c r="F94" s="3" t="s">
        <v>19</v>
      </c>
      <c r="G94" s="3"/>
      <c r="H94" s="3" t="s">
        <v>41</v>
      </c>
      <c r="I94" s="6">
        <v>44566</v>
      </c>
    </row>
    <row r="95" spans="1:9" x14ac:dyDescent="0.3">
      <c r="A95" s="6">
        <v>44523</v>
      </c>
      <c r="B95" s="3" t="s">
        <v>358</v>
      </c>
      <c r="C95" s="3" t="s">
        <v>253</v>
      </c>
      <c r="D95" s="3">
        <v>406</v>
      </c>
      <c r="E95" s="11" t="s">
        <v>360</v>
      </c>
      <c r="F95" s="3" t="s">
        <v>14</v>
      </c>
      <c r="G95" s="3" t="s">
        <v>4</v>
      </c>
      <c r="H95" s="3" t="s">
        <v>10</v>
      </c>
      <c r="I95" s="6">
        <v>44523</v>
      </c>
    </row>
    <row r="96" spans="1:9" x14ac:dyDescent="0.3">
      <c r="A96" s="6">
        <v>44529</v>
      </c>
      <c r="B96" s="3" t="s">
        <v>254</v>
      </c>
      <c r="C96" s="3" t="s">
        <v>255</v>
      </c>
      <c r="D96" s="3">
        <v>604</v>
      </c>
      <c r="E96" s="11" t="s">
        <v>256</v>
      </c>
      <c r="F96" s="3" t="s">
        <v>11</v>
      </c>
      <c r="G96" s="3"/>
      <c r="H96" s="3" t="s">
        <v>41</v>
      </c>
      <c r="I96" s="6">
        <v>44566</v>
      </c>
    </row>
    <row r="97" spans="1:9" x14ac:dyDescent="0.3">
      <c r="A97" s="6">
        <v>44542</v>
      </c>
      <c r="B97" s="3" t="s">
        <v>257</v>
      </c>
      <c r="C97" s="3" t="s">
        <v>258</v>
      </c>
      <c r="D97" s="3">
        <v>617</v>
      </c>
      <c r="E97" s="11" t="s">
        <v>259</v>
      </c>
      <c r="F97" s="3" t="s">
        <v>14</v>
      </c>
      <c r="G97" s="3"/>
      <c r="H97" s="3" t="s">
        <v>41</v>
      </c>
      <c r="I97" s="6">
        <v>44567</v>
      </c>
    </row>
    <row r="98" spans="1:9" x14ac:dyDescent="0.3">
      <c r="A98" s="6">
        <v>44524</v>
      </c>
      <c r="B98" s="3" t="s">
        <v>260</v>
      </c>
      <c r="C98" s="3" t="s">
        <v>261</v>
      </c>
      <c r="D98" s="3">
        <v>412</v>
      </c>
      <c r="E98" s="11" t="s">
        <v>262</v>
      </c>
      <c r="F98" s="3" t="s">
        <v>14</v>
      </c>
      <c r="G98" s="3"/>
      <c r="H98" s="3" t="s">
        <v>41</v>
      </c>
      <c r="I98" s="6">
        <v>44567</v>
      </c>
    </row>
    <row r="99" spans="1:9" x14ac:dyDescent="0.3">
      <c r="A99" s="6">
        <v>44536</v>
      </c>
      <c r="B99" s="3" t="s">
        <v>263</v>
      </c>
      <c r="C99" s="3" t="s">
        <v>264</v>
      </c>
      <c r="D99" s="3">
        <v>605</v>
      </c>
      <c r="E99" s="11" t="s">
        <v>265</v>
      </c>
      <c r="F99" s="3" t="s">
        <v>14</v>
      </c>
      <c r="G99" s="3"/>
      <c r="H99" s="3" t="s">
        <v>41</v>
      </c>
      <c r="I99" s="6">
        <v>44567</v>
      </c>
    </row>
    <row r="100" spans="1:9" x14ac:dyDescent="0.3">
      <c r="A100" s="6">
        <v>44538</v>
      </c>
      <c r="B100" s="3" t="s">
        <v>266</v>
      </c>
      <c r="C100" s="3" t="s">
        <v>267</v>
      </c>
      <c r="D100" s="3">
        <v>623</v>
      </c>
      <c r="E100" s="11" t="s">
        <v>268</v>
      </c>
      <c r="F100" s="3" t="s">
        <v>14</v>
      </c>
      <c r="G100" s="3"/>
      <c r="H100" s="3" t="s">
        <v>41</v>
      </c>
      <c r="I100" s="6">
        <v>44567</v>
      </c>
    </row>
    <row r="101" spans="1:9" x14ac:dyDescent="0.3">
      <c r="A101" s="6">
        <v>44538</v>
      </c>
      <c r="B101" s="3" t="s">
        <v>225</v>
      </c>
      <c r="C101" s="3" t="s">
        <v>269</v>
      </c>
      <c r="D101" s="3">
        <v>403</v>
      </c>
      <c r="E101" s="11" t="s">
        <v>270</v>
      </c>
      <c r="F101" s="3" t="s">
        <v>14</v>
      </c>
      <c r="G101" s="3"/>
      <c r="H101" s="3" t="s">
        <v>41</v>
      </c>
      <c r="I101" s="6">
        <v>44567</v>
      </c>
    </row>
    <row r="102" spans="1:9" x14ac:dyDescent="0.3">
      <c r="A102" s="6">
        <v>44538</v>
      </c>
      <c r="B102" s="3" t="s">
        <v>271</v>
      </c>
      <c r="C102" s="3" t="s">
        <v>272</v>
      </c>
      <c r="D102" s="3">
        <v>423</v>
      </c>
      <c r="E102" s="11" t="s">
        <v>273</v>
      </c>
      <c r="F102" s="3" t="s">
        <v>14</v>
      </c>
      <c r="G102" s="3"/>
      <c r="H102" s="3" t="s">
        <v>41</v>
      </c>
      <c r="I102" s="6">
        <v>44570</v>
      </c>
    </row>
    <row r="103" spans="1:9" x14ac:dyDescent="0.3">
      <c r="A103" s="6">
        <v>44538</v>
      </c>
      <c r="B103" s="3" t="s">
        <v>274</v>
      </c>
      <c r="C103" s="3" t="s">
        <v>275</v>
      </c>
      <c r="D103" s="3">
        <v>619</v>
      </c>
      <c r="E103" s="11" t="s">
        <v>276</v>
      </c>
      <c r="F103" s="3" t="s">
        <v>14</v>
      </c>
      <c r="G103" s="3"/>
      <c r="H103" s="3" t="s">
        <v>41</v>
      </c>
      <c r="I103" s="6">
        <v>44570</v>
      </c>
    </row>
    <row r="104" spans="1:9" x14ac:dyDescent="0.3">
      <c r="A104" s="6">
        <v>44546</v>
      </c>
      <c r="B104" s="3" t="s">
        <v>223</v>
      </c>
      <c r="C104" s="3" t="s">
        <v>277</v>
      </c>
      <c r="D104" s="3">
        <v>609</v>
      </c>
      <c r="E104" s="11" t="s">
        <v>224</v>
      </c>
      <c r="F104" s="3" t="s">
        <v>14</v>
      </c>
      <c r="G104" s="3" t="s">
        <v>7</v>
      </c>
      <c r="H104" s="3" t="s">
        <v>41</v>
      </c>
      <c r="I104" s="6">
        <v>44570</v>
      </c>
    </row>
    <row r="105" spans="1:9" x14ac:dyDescent="0.3">
      <c r="A105" s="6">
        <v>44550</v>
      </c>
      <c r="B105" s="3" t="s">
        <v>278</v>
      </c>
      <c r="C105" s="3" t="s">
        <v>279</v>
      </c>
      <c r="D105" s="3">
        <v>611</v>
      </c>
      <c r="E105" s="11" t="s">
        <v>280</v>
      </c>
      <c r="F105" s="3" t="s">
        <v>14</v>
      </c>
      <c r="G105" s="3"/>
      <c r="H105" s="3" t="s">
        <v>41</v>
      </c>
      <c r="I105" s="6">
        <v>44570</v>
      </c>
    </row>
    <row r="106" spans="1:9" x14ac:dyDescent="0.3">
      <c r="A106" s="6">
        <v>44553</v>
      </c>
      <c r="B106" s="3" t="s">
        <v>281</v>
      </c>
      <c r="C106" s="3" t="s">
        <v>282</v>
      </c>
      <c r="D106" s="3">
        <v>614</v>
      </c>
      <c r="E106" s="11" t="s">
        <v>283</v>
      </c>
      <c r="F106" s="3" t="s">
        <v>14</v>
      </c>
      <c r="G106" s="3"/>
      <c r="H106" s="3" t="s">
        <v>41</v>
      </c>
      <c r="I106" s="6">
        <v>44570</v>
      </c>
    </row>
    <row r="107" spans="1:9" x14ac:dyDescent="0.3">
      <c r="A107" s="6">
        <v>44552</v>
      </c>
      <c r="B107" s="3" t="s">
        <v>284</v>
      </c>
      <c r="C107" s="3" t="s">
        <v>285</v>
      </c>
      <c r="D107" s="3">
        <v>411</v>
      </c>
      <c r="E107" s="11" t="s">
        <v>286</v>
      </c>
      <c r="F107" s="3" t="s">
        <v>3</v>
      </c>
      <c r="G107" s="3"/>
      <c r="H107" s="3" t="s">
        <v>41</v>
      </c>
      <c r="I107" s="6">
        <v>44570</v>
      </c>
    </row>
    <row r="108" spans="1:9" x14ac:dyDescent="0.3">
      <c r="A108" s="6"/>
      <c r="B108" s="3" t="s">
        <v>287</v>
      </c>
      <c r="C108" s="3" t="s">
        <v>288</v>
      </c>
      <c r="D108" s="3">
        <v>619</v>
      </c>
      <c r="E108" s="11" t="s">
        <v>289</v>
      </c>
      <c r="F108" s="3" t="s">
        <v>3</v>
      </c>
      <c r="G108" s="3"/>
      <c r="H108" s="3" t="s">
        <v>41</v>
      </c>
      <c r="I108" s="6">
        <v>44571</v>
      </c>
    </row>
    <row r="109" spans="1:9" x14ac:dyDescent="0.3">
      <c r="A109" s="6">
        <v>44542</v>
      </c>
      <c r="B109" s="3" t="s">
        <v>290</v>
      </c>
      <c r="C109" s="3" t="s">
        <v>291</v>
      </c>
      <c r="D109" s="3">
        <v>617</v>
      </c>
      <c r="E109" s="11" t="s">
        <v>292</v>
      </c>
      <c r="F109" s="3" t="s">
        <v>293</v>
      </c>
      <c r="G109" s="3"/>
      <c r="H109" s="3" t="s">
        <v>41</v>
      </c>
      <c r="I109" s="6">
        <v>44571</v>
      </c>
    </row>
    <row r="110" spans="1:9" x14ac:dyDescent="0.3">
      <c r="A110" s="6"/>
      <c r="B110" s="3" t="s">
        <v>294</v>
      </c>
      <c r="C110" s="3" t="s">
        <v>295</v>
      </c>
      <c r="D110" s="3">
        <v>606</v>
      </c>
      <c r="E110" s="11" t="s">
        <v>296</v>
      </c>
      <c r="F110" s="3" t="s">
        <v>293</v>
      </c>
      <c r="G110" s="3"/>
      <c r="H110" s="3" t="s">
        <v>41</v>
      </c>
      <c r="I110" s="6">
        <v>44571</v>
      </c>
    </row>
    <row r="111" spans="1:9" x14ac:dyDescent="0.3">
      <c r="A111" s="6">
        <v>44538</v>
      </c>
      <c r="B111" s="3" t="s">
        <v>297</v>
      </c>
      <c r="C111" s="3" t="s">
        <v>298</v>
      </c>
      <c r="D111" s="3">
        <v>619</v>
      </c>
      <c r="E111" s="11" t="s">
        <v>299</v>
      </c>
      <c r="F111" s="3" t="s">
        <v>14</v>
      </c>
      <c r="G111" s="3"/>
      <c r="H111" s="3" t="s">
        <v>41</v>
      </c>
      <c r="I111" s="6">
        <v>44572</v>
      </c>
    </row>
    <row r="112" spans="1:9" x14ac:dyDescent="0.3">
      <c r="A112" s="6"/>
      <c r="B112" s="3" t="s">
        <v>202</v>
      </c>
      <c r="C112" s="3" t="s">
        <v>300</v>
      </c>
      <c r="D112" s="3">
        <v>605</v>
      </c>
      <c r="E112" s="11" t="s">
        <v>301</v>
      </c>
      <c r="F112" s="3" t="s">
        <v>14</v>
      </c>
      <c r="G112" s="3"/>
      <c r="H112" s="3" t="s">
        <v>41</v>
      </c>
      <c r="I112" s="6">
        <v>44572</v>
      </c>
    </row>
    <row r="113" spans="1:9" x14ac:dyDescent="0.3">
      <c r="A113" s="6">
        <v>44544</v>
      </c>
      <c r="B113" s="3" t="s">
        <v>302</v>
      </c>
      <c r="C113" s="3" t="s">
        <v>303</v>
      </c>
      <c r="D113" s="3">
        <v>608</v>
      </c>
      <c r="E113" s="11" t="s">
        <v>304</v>
      </c>
      <c r="F113" s="3" t="s">
        <v>14</v>
      </c>
      <c r="G113" s="3"/>
      <c r="H113" s="3" t="s">
        <v>41</v>
      </c>
      <c r="I113" s="6">
        <v>44572</v>
      </c>
    </row>
    <row r="114" spans="1:9" x14ac:dyDescent="0.3">
      <c r="A114" s="6">
        <v>44545</v>
      </c>
      <c r="B114" s="3" t="s">
        <v>305</v>
      </c>
      <c r="C114" s="3" t="s">
        <v>306</v>
      </c>
      <c r="D114" s="3">
        <v>409</v>
      </c>
      <c r="E114" s="11" t="s">
        <v>307</v>
      </c>
      <c r="F114" s="3" t="s">
        <v>293</v>
      </c>
      <c r="G114" s="3"/>
      <c r="H114" s="3" t="s">
        <v>41</v>
      </c>
      <c r="I114" s="6">
        <v>44572</v>
      </c>
    </row>
    <row r="115" spans="1:9" x14ac:dyDescent="0.3">
      <c r="A115" s="6">
        <v>44545</v>
      </c>
      <c r="B115" s="3" t="s">
        <v>308</v>
      </c>
      <c r="C115" s="3" t="s">
        <v>309</v>
      </c>
      <c r="D115" s="3">
        <v>623</v>
      </c>
      <c r="E115" s="11" t="s">
        <v>310</v>
      </c>
      <c r="F115" s="3" t="s">
        <v>293</v>
      </c>
      <c r="G115" s="3"/>
      <c r="H115" s="3" t="s">
        <v>41</v>
      </c>
      <c r="I115" s="6">
        <v>44573</v>
      </c>
    </row>
    <row r="116" spans="1:9" x14ac:dyDescent="0.3">
      <c r="A116" s="6">
        <v>44543</v>
      </c>
      <c r="B116" s="3" t="s">
        <v>311</v>
      </c>
      <c r="C116" s="3" t="s">
        <v>312</v>
      </c>
      <c r="D116" s="3">
        <v>611</v>
      </c>
      <c r="E116" s="11" t="s">
        <v>313</v>
      </c>
      <c r="F116" s="3" t="s">
        <v>293</v>
      </c>
      <c r="G116" s="3"/>
      <c r="H116" s="3" t="s">
        <v>41</v>
      </c>
      <c r="I116" s="6">
        <v>44573</v>
      </c>
    </row>
    <row r="117" spans="1:9" x14ac:dyDescent="0.3">
      <c r="A117" s="6"/>
      <c r="B117" s="3" t="s">
        <v>314</v>
      </c>
      <c r="C117" s="3" t="s">
        <v>315</v>
      </c>
      <c r="D117" s="3">
        <v>415</v>
      </c>
      <c r="E117" s="11" t="s">
        <v>316</v>
      </c>
      <c r="F117" s="3" t="s">
        <v>40</v>
      </c>
      <c r="G117" s="3"/>
      <c r="H117" s="3" t="s">
        <v>41</v>
      </c>
      <c r="I117" s="6">
        <v>44573</v>
      </c>
    </row>
    <row r="118" spans="1:9" x14ac:dyDescent="0.3">
      <c r="A118" s="6">
        <v>44550</v>
      </c>
      <c r="B118" s="3" t="s">
        <v>317</v>
      </c>
      <c r="C118" s="3" t="s">
        <v>318</v>
      </c>
      <c r="D118" s="3">
        <v>412</v>
      </c>
      <c r="E118" s="11" t="s">
        <v>319</v>
      </c>
      <c r="F118" s="3" t="s">
        <v>14</v>
      </c>
      <c r="G118" s="3"/>
      <c r="H118" s="3" t="s">
        <v>41</v>
      </c>
      <c r="I118" s="6">
        <v>44573</v>
      </c>
    </row>
    <row r="119" spans="1:9" x14ac:dyDescent="0.3">
      <c r="A119" s="6">
        <v>44550</v>
      </c>
      <c r="B119" s="3" t="s">
        <v>320</v>
      </c>
      <c r="C119" s="3" t="s">
        <v>321</v>
      </c>
      <c r="D119" s="3">
        <v>613</v>
      </c>
      <c r="E119" s="11" t="s">
        <v>322</v>
      </c>
      <c r="F119" s="3" t="s">
        <v>14</v>
      </c>
      <c r="G119" s="3"/>
      <c r="H119" s="3" t="s">
        <v>41</v>
      </c>
      <c r="I119" s="6">
        <v>44573</v>
      </c>
    </row>
    <row r="120" spans="1:9" x14ac:dyDescent="0.3">
      <c r="A120" s="6">
        <v>44571</v>
      </c>
      <c r="B120" s="3" t="s">
        <v>323</v>
      </c>
      <c r="C120" s="3" t="s">
        <v>324</v>
      </c>
      <c r="D120" s="3">
        <v>412</v>
      </c>
      <c r="E120" s="11" t="s">
        <v>325</v>
      </c>
      <c r="F120" s="3" t="s">
        <v>14</v>
      </c>
      <c r="G120" s="3"/>
      <c r="H120" s="3" t="s">
        <v>41</v>
      </c>
      <c r="I120" s="6">
        <v>44574</v>
      </c>
    </row>
    <row r="121" spans="1:9" x14ac:dyDescent="0.3">
      <c r="A121" s="6">
        <v>44536</v>
      </c>
      <c r="B121" s="3" t="s">
        <v>326</v>
      </c>
      <c r="C121" s="3" t="s">
        <v>327</v>
      </c>
      <c r="D121" s="3">
        <v>623</v>
      </c>
      <c r="E121" s="11" t="s">
        <v>328</v>
      </c>
      <c r="F121" s="3" t="s">
        <v>14</v>
      </c>
      <c r="G121" s="3"/>
      <c r="H121" s="3" t="s">
        <v>41</v>
      </c>
      <c r="I121" s="6">
        <v>44574</v>
      </c>
    </row>
    <row r="122" spans="1:9" x14ac:dyDescent="0.3">
      <c r="A122" s="6">
        <v>44538</v>
      </c>
      <c r="B122" s="3" t="s">
        <v>329</v>
      </c>
      <c r="C122" s="3" t="s">
        <v>330</v>
      </c>
      <c r="D122" s="3">
        <v>414</v>
      </c>
      <c r="E122" s="11" t="s">
        <v>331</v>
      </c>
      <c r="F122" s="3" t="s">
        <v>14</v>
      </c>
      <c r="G122" s="3"/>
      <c r="H122" s="3" t="s">
        <v>41</v>
      </c>
      <c r="I122" s="6">
        <v>44574</v>
      </c>
    </row>
    <row r="123" spans="1:9" x14ac:dyDescent="0.3">
      <c r="A123" s="6">
        <v>44559</v>
      </c>
      <c r="B123" s="3" t="s">
        <v>252</v>
      </c>
      <c r="C123" s="3" t="s">
        <v>332</v>
      </c>
      <c r="D123" s="3">
        <v>513</v>
      </c>
      <c r="E123" s="11" t="s">
        <v>333</v>
      </c>
      <c r="F123" s="3" t="s">
        <v>12</v>
      </c>
      <c r="G123" s="3"/>
      <c r="H123" s="3" t="s">
        <v>41</v>
      </c>
      <c r="I123" s="6">
        <v>44573</v>
      </c>
    </row>
    <row r="124" spans="1:9" x14ac:dyDescent="0.3">
      <c r="A124" s="6">
        <v>44578</v>
      </c>
      <c r="B124" s="3" t="s">
        <v>334</v>
      </c>
      <c r="C124" s="3" t="s">
        <v>335</v>
      </c>
      <c r="D124" s="3">
        <v>503</v>
      </c>
      <c r="E124" s="11" t="s">
        <v>336</v>
      </c>
      <c r="F124" s="3" t="s">
        <v>337</v>
      </c>
      <c r="G124" s="3"/>
      <c r="H124" s="5" t="s">
        <v>41</v>
      </c>
      <c r="I124" s="6">
        <v>44578</v>
      </c>
    </row>
    <row r="125" spans="1:9" x14ac:dyDescent="0.3">
      <c r="A125" s="6">
        <v>44578</v>
      </c>
      <c r="B125" s="3" t="s">
        <v>338</v>
      </c>
      <c r="C125" s="3" t="s">
        <v>339</v>
      </c>
      <c r="D125" s="3">
        <v>511</v>
      </c>
      <c r="E125" s="11" t="s">
        <v>340</v>
      </c>
      <c r="F125" s="3" t="s">
        <v>337</v>
      </c>
      <c r="G125" s="3"/>
      <c r="H125" s="5" t="s">
        <v>41</v>
      </c>
      <c r="I125" s="6">
        <v>44578</v>
      </c>
    </row>
    <row r="126" spans="1:9" x14ac:dyDescent="0.3">
      <c r="A126" s="6">
        <v>44578</v>
      </c>
      <c r="B126" s="3" t="s">
        <v>341</v>
      </c>
      <c r="C126" s="3" t="s">
        <v>342</v>
      </c>
      <c r="D126" s="3">
        <v>404</v>
      </c>
      <c r="E126" s="11" t="s">
        <v>343</v>
      </c>
      <c r="F126" s="3" t="s">
        <v>293</v>
      </c>
      <c r="G126" s="3"/>
      <c r="H126" s="5" t="s">
        <v>41</v>
      </c>
      <c r="I126" s="6">
        <v>44578</v>
      </c>
    </row>
    <row r="127" spans="1:9" x14ac:dyDescent="0.3">
      <c r="A127" s="6">
        <v>44578</v>
      </c>
      <c r="B127" s="3" t="s">
        <v>344</v>
      </c>
      <c r="C127" s="3" t="s">
        <v>345</v>
      </c>
      <c r="D127" s="3">
        <v>407</v>
      </c>
      <c r="E127" s="14" t="s">
        <v>346</v>
      </c>
      <c r="F127" s="3" t="s">
        <v>293</v>
      </c>
      <c r="G127" s="3"/>
      <c r="H127" s="5" t="s">
        <v>41</v>
      </c>
      <c r="I127" s="6">
        <v>44578</v>
      </c>
    </row>
    <row r="128" spans="1:9" x14ac:dyDescent="0.3">
      <c r="A128" s="7">
        <v>44257</v>
      </c>
      <c r="B128" s="3" t="s">
        <v>347</v>
      </c>
      <c r="C128" s="3" t="s">
        <v>348</v>
      </c>
      <c r="D128" s="3">
        <v>606</v>
      </c>
      <c r="E128" s="14" t="s">
        <v>349</v>
      </c>
      <c r="F128" s="3" t="s">
        <v>124</v>
      </c>
      <c r="G128" s="3" t="s">
        <v>7</v>
      </c>
      <c r="H128" s="3" t="s">
        <v>2</v>
      </c>
      <c r="I128" s="7"/>
    </row>
    <row r="129" spans="1:9" x14ac:dyDescent="0.3">
      <c r="A129" s="7">
        <v>44257</v>
      </c>
      <c r="B129" s="3" t="s">
        <v>350</v>
      </c>
      <c r="C129" s="3" t="s">
        <v>351</v>
      </c>
      <c r="D129" s="3">
        <v>604</v>
      </c>
      <c r="E129" s="14" t="s">
        <v>352</v>
      </c>
      <c r="F129" s="3" t="s">
        <v>124</v>
      </c>
      <c r="G129" s="3" t="s">
        <v>7</v>
      </c>
      <c r="H129" s="3" t="s">
        <v>2</v>
      </c>
      <c r="I129" s="7"/>
    </row>
    <row r="130" spans="1:9" x14ac:dyDescent="0.3">
      <c r="A130" s="7">
        <v>44257</v>
      </c>
      <c r="B130" s="3" t="s">
        <v>353</v>
      </c>
      <c r="C130" s="3" t="s">
        <v>354</v>
      </c>
      <c r="D130" s="3">
        <v>416</v>
      </c>
      <c r="E130" s="14" t="s">
        <v>352</v>
      </c>
      <c r="F130" s="3" t="s">
        <v>124</v>
      </c>
      <c r="G130" s="3" t="s">
        <v>7</v>
      </c>
      <c r="H130" s="3" t="s">
        <v>2</v>
      </c>
      <c r="I130" s="7"/>
    </row>
    <row r="131" spans="1:9" x14ac:dyDescent="0.3">
      <c r="A131" s="6">
        <v>44521</v>
      </c>
      <c r="B131" s="3" t="s">
        <v>355</v>
      </c>
      <c r="C131" s="3" t="s">
        <v>356</v>
      </c>
      <c r="D131" s="3">
        <v>421</v>
      </c>
      <c r="E131" s="11" t="s">
        <v>357</v>
      </c>
      <c r="F131" s="3" t="s">
        <v>6</v>
      </c>
      <c r="G131" s="3" t="s">
        <v>7</v>
      </c>
      <c r="H131" s="3" t="s">
        <v>2</v>
      </c>
      <c r="I131" s="7"/>
    </row>
    <row r="132" spans="1:9" x14ac:dyDescent="0.3">
      <c r="A132" s="6">
        <v>44525</v>
      </c>
      <c r="B132" s="3" t="s">
        <v>1342</v>
      </c>
      <c r="C132" s="3" t="s">
        <v>359</v>
      </c>
      <c r="D132" s="3">
        <v>516</v>
      </c>
      <c r="E132" s="11" t="s">
        <v>1343</v>
      </c>
      <c r="F132" s="3" t="s">
        <v>11</v>
      </c>
      <c r="G132" s="3" t="s">
        <v>7</v>
      </c>
      <c r="H132" s="5" t="s">
        <v>41</v>
      </c>
      <c r="I132" s="6">
        <v>44530</v>
      </c>
    </row>
    <row r="133" spans="1:9" x14ac:dyDescent="0.3">
      <c r="A133" s="6">
        <v>44530</v>
      </c>
      <c r="B133" s="3" t="s">
        <v>361</v>
      </c>
      <c r="C133" s="3" t="s">
        <v>362</v>
      </c>
      <c r="D133" s="3">
        <v>512</v>
      </c>
      <c r="E133" s="14" t="s">
        <v>363</v>
      </c>
      <c r="F133" s="3" t="s">
        <v>11</v>
      </c>
      <c r="G133" s="3" t="s">
        <v>4</v>
      </c>
      <c r="H133" s="3" t="s">
        <v>2</v>
      </c>
      <c r="I133" s="7"/>
    </row>
    <row r="134" spans="1:9" x14ac:dyDescent="0.3">
      <c r="A134" s="6">
        <v>44479</v>
      </c>
      <c r="B134" s="3" t="s">
        <v>364</v>
      </c>
      <c r="C134" s="3" t="s">
        <v>365</v>
      </c>
      <c r="D134" s="3">
        <v>418</v>
      </c>
      <c r="E134" s="11" t="s">
        <v>366</v>
      </c>
      <c r="F134" s="3" t="s">
        <v>9</v>
      </c>
      <c r="G134" s="3" t="s">
        <v>7</v>
      </c>
      <c r="H134" s="3" t="s">
        <v>2</v>
      </c>
      <c r="I134" s="7"/>
    </row>
    <row r="135" spans="1:9" x14ac:dyDescent="0.3">
      <c r="A135" s="6">
        <v>44007</v>
      </c>
      <c r="B135" s="3" t="s">
        <v>367</v>
      </c>
      <c r="C135" s="3" t="s">
        <v>368</v>
      </c>
      <c r="D135" s="3">
        <v>624</v>
      </c>
      <c r="E135" s="11" t="s">
        <v>369</v>
      </c>
      <c r="F135" s="3" t="s">
        <v>9</v>
      </c>
      <c r="G135" s="3" t="s">
        <v>7</v>
      </c>
      <c r="H135" s="3" t="s">
        <v>2</v>
      </c>
      <c r="I135" s="7"/>
    </row>
    <row r="136" spans="1:9" x14ac:dyDescent="0.3">
      <c r="A136" s="6">
        <v>44248</v>
      </c>
      <c r="B136" s="3" t="s">
        <v>370</v>
      </c>
      <c r="C136" s="3" t="s">
        <v>371</v>
      </c>
      <c r="D136" s="3">
        <v>411</v>
      </c>
      <c r="E136" s="11" t="s">
        <v>372</v>
      </c>
      <c r="F136" s="3" t="s">
        <v>9</v>
      </c>
      <c r="G136" s="3" t="s">
        <v>4</v>
      </c>
      <c r="H136" s="3" t="s">
        <v>5</v>
      </c>
      <c r="I136" s="7"/>
    </row>
    <row r="137" spans="1:9" x14ac:dyDescent="0.3">
      <c r="A137" s="6">
        <v>44537</v>
      </c>
      <c r="B137" s="3" t="s">
        <v>373</v>
      </c>
      <c r="C137" s="3" t="s">
        <v>374</v>
      </c>
      <c r="D137" s="3">
        <v>502</v>
      </c>
      <c r="E137" s="11" t="s">
        <v>1500</v>
      </c>
      <c r="F137" s="3" t="s">
        <v>9</v>
      </c>
      <c r="G137" s="3" t="s">
        <v>7</v>
      </c>
      <c r="H137" s="3" t="s">
        <v>5</v>
      </c>
      <c r="I137" s="7"/>
    </row>
    <row r="138" spans="1:9" x14ac:dyDescent="0.3">
      <c r="A138" s="6">
        <v>44537</v>
      </c>
      <c r="B138" s="3" t="s">
        <v>375</v>
      </c>
      <c r="C138" s="3" t="s">
        <v>376</v>
      </c>
      <c r="D138" s="3">
        <v>603</v>
      </c>
      <c r="E138" s="11" t="s">
        <v>377</v>
      </c>
      <c r="F138" s="3" t="s">
        <v>9</v>
      </c>
      <c r="G138" s="3" t="s">
        <v>7</v>
      </c>
      <c r="H138" s="3" t="s">
        <v>5</v>
      </c>
      <c r="I138" s="7"/>
    </row>
    <row r="139" spans="1:9" x14ac:dyDescent="0.3">
      <c r="A139" s="6">
        <v>44538</v>
      </c>
      <c r="B139" s="3" t="s">
        <v>378</v>
      </c>
      <c r="C139" s="3" t="s">
        <v>379</v>
      </c>
      <c r="D139" s="3">
        <v>603</v>
      </c>
      <c r="E139" s="11" t="s">
        <v>380</v>
      </c>
      <c r="F139" s="3" t="s">
        <v>9</v>
      </c>
      <c r="G139" s="3" t="s">
        <v>7</v>
      </c>
      <c r="H139" s="3" t="s">
        <v>5</v>
      </c>
      <c r="I139" s="7"/>
    </row>
    <row r="140" spans="1:9" x14ac:dyDescent="0.3">
      <c r="A140" s="6">
        <v>44538</v>
      </c>
      <c r="B140" s="3" t="s">
        <v>381</v>
      </c>
      <c r="C140" s="3" t="s">
        <v>382</v>
      </c>
      <c r="D140" s="3">
        <v>608</v>
      </c>
      <c r="E140" s="11" t="s">
        <v>383</v>
      </c>
      <c r="F140" s="3" t="s">
        <v>9</v>
      </c>
      <c r="G140" s="3" t="s">
        <v>7</v>
      </c>
      <c r="H140" s="3" t="s">
        <v>5</v>
      </c>
      <c r="I140" s="7"/>
    </row>
    <row r="141" spans="1:9" x14ac:dyDescent="0.3">
      <c r="A141" s="6">
        <v>44542</v>
      </c>
      <c r="B141" s="3" t="s">
        <v>384</v>
      </c>
      <c r="C141" s="3" t="s">
        <v>385</v>
      </c>
      <c r="D141" s="3">
        <v>601</v>
      </c>
      <c r="E141" s="11" t="s">
        <v>386</v>
      </c>
      <c r="F141" s="3" t="s">
        <v>19</v>
      </c>
      <c r="G141" s="3" t="s">
        <v>7</v>
      </c>
      <c r="H141" s="3" t="s">
        <v>5</v>
      </c>
      <c r="I141" s="7"/>
    </row>
    <row r="142" spans="1:9" x14ac:dyDescent="0.3">
      <c r="A142" s="6">
        <v>44542</v>
      </c>
      <c r="B142" s="3" t="s">
        <v>387</v>
      </c>
      <c r="C142" s="3" t="s">
        <v>388</v>
      </c>
      <c r="D142" s="3">
        <v>601</v>
      </c>
      <c r="E142" s="11" t="s">
        <v>389</v>
      </c>
      <c r="F142" s="3" t="s">
        <v>19</v>
      </c>
      <c r="G142" s="3" t="s">
        <v>7</v>
      </c>
      <c r="H142" s="3" t="s">
        <v>2</v>
      </c>
      <c r="I142" s="7"/>
    </row>
    <row r="143" spans="1:9" x14ac:dyDescent="0.3">
      <c r="A143" s="6">
        <v>44542</v>
      </c>
      <c r="B143" s="3" t="s">
        <v>390</v>
      </c>
      <c r="C143" s="3" t="s">
        <v>391</v>
      </c>
      <c r="D143" s="3">
        <v>610</v>
      </c>
      <c r="E143" s="11" t="s">
        <v>392</v>
      </c>
      <c r="F143" s="3" t="s">
        <v>9</v>
      </c>
      <c r="G143" s="3" t="s">
        <v>7</v>
      </c>
      <c r="H143" s="3" t="s">
        <v>5</v>
      </c>
      <c r="I143" s="7"/>
    </row>
    <row r="144" spans="1:9" x14ac:dyDescent="0.3">
      <c r="A144" s="6">
        <v>44542</v>
      </c>
      <c r="B144" s="3" t="s">
        <v>393</v>
      </c>
      <c r="C144" s="3" t="s">
        <v>394</v>
      </c>
      <c r="D144" s="3">
        <v>617</v>
      </c>
      <c r="E144" s="11" t="s">
        <v>392</v>
      </c>
      <c r="F144" s="3" t="s">
        <v>9</v>
      </c>
      <c r="G144" s="3" t="s">
        <v>7</v>
      </c>
      <c r="H144" s="3" t="s">
        <v>5</v>
      </c>
      <c r="I144" s="7"/>
    </row>
    <row r="145" spans="1:9" ht="28.8" x14ac:dyDescent="0.3">
      <c r="A145" s="6">
        <v>44542</v>
      </c>
      <c r="B145" s="3" t="s">
        <v>395</v>
      </c>
      <c r="C145" s="3" t="s">
        <v>396</v>
      </c>
      <c r="D145" s="3">
        <v>601</v>
      </c>
      <c r="E145" s="14" t="s">
        <v>397</v>
      </c>
      <c r="F145" s="3" t="s">
        <v>14</v>
      </c>
      <c r="G145" s="3" t="s">
        <v>7</v>
      </c>
      <c r="H145" s="3" t="s">
        <v>10</v>
      </c>
      <c r="I145" s="7">
        <v>44587</v>
      </c>
    </row>
    <row r="146" spans="1:9" x14ac:dyDescent="0.3">
      <c r="A146" s="6">
        <v>44543</v>
      </c>
      <c r="B146" s="3" t="s">
        <v>398</v>
      </c>
      <c r="C146" s="3" t="s">
        <v>399</v>
      </c>
      <c r="D146" s="3">
        <v>611</v>
      </c>
      <c r="E146" s="11" t="s">
        <v>400</v>
      </c>
      <c r="F146" s="3" t="s">
        <v>19</v>
      </c>
      <c r="G146" s="3" t="s">
        <v>1</v>
      </c>
      <c r="H146" s="3" t="s">
        <v>10</v>
      </c>
      <c r="I146" s="7">
        <v>44602</v>
      </c>
    </row>
    <row r="147" spans="1:9" x14ac:dyDescent="0.3">
      <c r="A147" s="6">
        <v>44543</v>
      </c>
      <c r="B147" s="3" t="s">
        <v>401</v>
      </c>
      <c r="C147" s="3" t="s">
        <v>402</v>
      </c>
      <c r="D147" s="3">
        <v>611</v>
      </c>
      <c r="E147" s="11" t="s">
        <v>403</v>
      </c>
      <c r="F147" s="3" t="s">
        <v>9</v>
      </c>
      <c r="G147" s="3" t="s">
        <v>7</v>
      </c>
      <c r="H147" s="3" t="s">
        <v>2</v>
      </c>
      <c r="I147" s="7"/>
    </row>
    <row r="148" spans="1:9" x14ac:dyDescent="0.3">
      <c r="A148" s="6">
        <v>44544</v>
      </c>
      <c r="B148" s="3" t="s">
        <v>404</v>
      </c>
      <c r="C148" s="3" t="s">
        <v>405</v>
      </c>
      <c r="D148" s="3">
        <v>626</v>
      </c>
      <c r="E148" s="11" t="s">
        <v>406</v>
      </c>
      <c r="F148" s="3" t="s">
        <v>14</v>
      </c>
      <c r="G148" s="3" t="s">
        <v>7</v>
      </c>
      <c r="H148" s="3" t="s">
        <v>10</v>
      </c>
      <c r="I148" s="7">
        <v>44587</v>
      </c>
    </row>
    <row r="149" spans="1:9" x14ac:dyDescent="0.3">
      <c r="A149" s="6">
        <v>44544</v>
      </c>
      <c r="B149" s="3" t="s">
        <v>407</v>
      </c>
      <c r="C149" s="3" t="s">
        <v>408</v>
      </c>
      <c r="D149" s="3">
        <v>507</v>
      </c>
      <c r="E149" s="11" t="s">
        <v>409</v>
      </c>
      <c r="F149" s="3" t="s">
        <v>6</v>
      </c>
      <c r="G149" s="3" t="s">
        <v>7</v>
      </c>
      <c r="H149" s="3" t="s">
        <v>10</v>
      </c>
      <c r="I149" s="7">
        <v>44609</v>
      </c>
    </row>
    <row r="150" spans="1:9" x14ac:dyDescent="0.3">
      <c r="A150" s="6">
        <v>44544</v>
      </c>
      <c r="B150" s="3" t="s">
        <v>410</v>
      </c>
      <c r="C150" s="3" t="s">
        <v>411</v>
      </c>
      <c r="D150" s="3">
        <v>404</v>
      </c>
      <c r="E150" s="11" t="s">
        <v>412</v>
      </c>
      <c r="F150" s="3" t="s">
        <v>15</v>
      </c>
      <c r="G150" s="3" t="s">
        <v>7</v>
      </c>
      <c r="H150" s="3" t="s">
        <v>10</v>
      </c>
      <c r="I150" s="6">
        <v>44584</v>
      </c>
    </row>
    <row r="151" spans="1:9" x14ac:dyDescent="0.3">
      <c r="A151" s="6">
        <v>44599</v>
      </c>
      <c r="B151" s="3" t="s">
        <v>1456</v>
      </c>
      <c r="C151" s="3" t="s">
        <v>414</v>
      </c>
      <c r="D151" s="3">
        <v>424</v>
      </c>
      <c r="E151" s="14" t="s">
        <v>1455</v>
      </c>
      <c r="F151" s="3" t="s">
        <v>19</v>
      </c>
      <c r="G151" s="3" t="s">
        <v>1</v>
      </c>
      <c r="H151" s="3" t="s">
        <v>10</v>
      </c>
      <c r="I151" s="7">
        <v>44599</v>
      </c>
    </row>
    <row r="152" spans="1:9" x14ac:dyDescent="0.3">
      <c r="A152" s="6">
        <v>44545</v>
      </c>
      <c r="B152" s="3" t="s">
        <v>416</v>
      </c>
      <c r="C152" s="3" t="s">
        <v>417</v>
      </c>
      <c r="D152" s="3">
        <v>422</v>
      </c>
      <c r="E152" s="11" t="s">
        <v>418</v>
      </c>
      <c r="F152" s="3" t="s">
        <v>9</v>
      </c>
      <c r="G152" s="3" t="s">
        <v>7</v>
      </c>
      <c r="H152" s="3" t="s">
        <v>2</v>
      </c>
      <c r="I152" s="7"/>
    </row>
    <row r="153" spans="1:9" x14ac:dyDescent="0.3">
      <c r="A153" s="6">
        <v>44545</v>
      </c>
      <c r="B153" s="3" t="s">
        <v>419</v>
      </c>
      <c r="C153" s="3" t="s">
        <v>420</v>
      </c>
      <c r="D153" s="3">
        <v>601</v>
      </c>
      <c r="E153" s="11" t="s">
        <v>421</v>
      </c>
      <c r="F153" s="3" t="s">
        <v>9</v>
      </c>
      <c r="G153" s="3" t="s">
        <v>7</v>
      </c>
      <c r="H153" s="3" t="s">
        <v>5</v>
      </c>
      <c r="I153" s="7"/>
    </row>
    <row r="154" spans="1:9" x14ac:dyDescent="0.3">
      <c r="A154" s="6"/>
      <c r="B154" s="3"/>
      <c r="C154" s="3" t="s">
        <v>423</v>
      </c>
      <c r="D154" s="3"/>
      <c r="E154" s="11"/>
      <c r="F154" s="3"/>
      <c r="G154" s="3"/>
      <c r="H154" s="3"/>
      <c r="I154" s="7"/>
    </row>
    <row r="155" spans="1:9" x14ac:dyDescent="0.3">
      <c r="A155" s="6">
        <v>44546</v>
      </c>
      <c r="B155" s="3" t="s">
        <v>425</v>
      </c>
      <c r="C155" s="3" t="s">
        <v>426</v>
      </c>
      <c r="D155" s="3">
        <v>603</v>
      </c>
      <c r="E155" s="11" t="s">
        <v>427</v>
      </c>
      <c r="F155" s="3" t="s">
        <v>19</v>
      </c>
      <c r="G155" s="3" t="s">
        <v>7</v>
      </c>
      <c r="H155" s="3" t="s">
        <v>2</v>
      </c>
      <c r="I155" s="7"/>
    </row>
    <row r="156" spans="1:9" x14ac:dyDescent="0.3">
      <c r="A156" s="6">
        <v>44549</v>
      </c>
      <c r="B156" s="3" t="s">
        <v>428</v>
      </c>
      <c r="C156" s="3" t="s">
        <v>429</v>
      </c>
      <c r="D156" s="3">
        <v>404</v>
      </c>
      <c r="E156" s="14" t="s">
        <v>430</v>
      </c>
      <c r="F156" s="3" t="s">
        <v>11</v>
      </c>
      <c r="G156" s="3" t="s">
        <v>7</v>
      </c>
      <c r="H156" s="3" t="s">
        <v>5</v>
      </c>
      <c r="I156" s="7"/>
    </row>
    <row r="157" spans="1:9" x14ac:dyDescent="0.3">
      <c r="A157" s="6">
        <v>44549</v>
      </c>
      <c r="B157" s="3" t="s">
        <v>431</v>
      </c>
      <c r="C157" s="3" t="s">
        <v>432</v>
      </c>
      <c r="D157" s="3">
        <v>623</v>
      </c>
      <c r="E157" s="11" t="s">
        <v>433</v>
      </c>
      <c r="F157" s="3" t="s">
        <v>9</v>
      </c>
      <c r="G157" s="3" t="s">
        <v>7</v>
      </c>
      <c r="H157" s="3" t="s">
        <v>5</v>
      </c>
      <c r="I157" s="7"/>
    </row>
    <row r="158" spans="1:9" x14ac:dyDescent="0.3">
      <c r="A158" s="6">
        <v>44549</v>
      </c>
      <c r="B158" s="3" t="s">
        <v>434</v>
      </c>
      <c r="C158" s="3" t="s">
        <v>435</v>
      </c>
      <c r="D158" s="3">
        <v>606</v>
      </c>
      <c r="E158" s="11" t="s">
        <v>436</v>
      </c>
      <c r="F158" s="3" t="s">
        <v>9</v>
      </c>
      <c r="G158" s="3" t="s">
        <v>7</v>
      </c>
      <c r="H158" s="3" t="s">
        <v>5</v>
      </c>
      <c r="I158" s="7"/>
    </row>
    <row r="159" spans="1:9" x14ac:dyDescent="0.3">
      <c r="A159" s="6">
        <v>44550</v>
      </c>
      <c r="B159" s="3" t="s">
        <v>437</v>
      </c>
      <c r="C159" s="3" t="s">
        <v>438</v>
      </c>
      <c r="D159" s="3">
        <v>415</v>
      </c>
      <c r="E159" s="11" t="s">
        <v>439</v>
      </c>
      <c r="F159" s="3" t="s">
        <v>9</v>
      </c>
      <c r="G159" s="3" t="s">
        <v>7</v>
      </c>
      <c r="H159" s="3" t="s">
        <v>5</v>
      </c>
      <c r="I159" s="7"/>
    </row>
    <row r="160" spans="1:9" x14ac:dyDescent="0.3">
      <c r="A160" s="6">
        <v>44550</v>
      </c>
      <c r="B160" s="3" t="s">
        <v>440</v>
      </c>
      <c r="C160" s="3" t="s">
        <v>441</v>
      </c>
      <c r="D160" s="3">
        <v>618</v>
      </c>
      <c r="E160" s="11" t="s">
        <v>439</v>
      </c>
      <c r="F160" s="3" t="s">
        <v>9</v>
      </c>
      <c r="G160" s="3" t="s">
        <v>7</v>
      </c>
      <c r="H160" s="3" t="s">
        <v>5</v>
      </c>
      <c r="I160" s="7"/>
    </row>
    <row r="161" spans="1:9" x14ac:dyDescent="0.3">
      <c r="A161" s="6">
        <v>44550</v>
      </c>
      <c r="B161" s="3" t="s">
        <v>442</v>
      </c>
      <c r="C161" s="3" t="s">
        <v>443</v>
      </c>
      <c r="D161" s="3">
        <v>622</v>
      </c>
      <c r="E161" s="11" t="s">
        <v>439</v>
      </c>
      <c r="F161" s="3" t="s">
        <v>9</v>
      </c>
      <c r="G161" s="3" t="s">
        <v>7</v>
      </c>
      <c r="H161" s="3" t="s">
        <v>5</v>
      </c>
      <c r="I161" s="7"/>
    </row>
    <row r="162" spans="1:9" x14ac:dyDescent="0.3">
      <c r="A162" s="6">
        <v>44551</v>
      </c>
      <c r="B162" s="3" t="s">
        <v>444</v>
      </c>
      <c r="C162" s="3" t="s">
        <v>445</v>
      </c>
      <c r="D162" s="3">
        <v>403</v>
      </c>
      <c r="E162" s="11" t="s">
        <v>446</v>
      </c>
      <c r="F162" s="3" t="s">
        <v>19</v>
      </c>
      <c r="G162" s="3" t="s">
        <v>7</v>
      </c>
      <c r="H162" s="3" t="s">
        <v>5</v>
      </c>
      <c r="I162" s="7"/>
    </row>
    <row r="163" spans="1:9" x14ac:dyDescent="0.3">
      <c r="A163" s="6">
        <v>44552</v>
      </c>
      <c r="B163" s="3" t="s">
        <v>447</v>
      </c>
      <c r="C163" s="3" t="s">
        <v>448</v>
      </c>
      <c r="D163" s="3">
        <v>512</v>
      </c>
      <c r="E163" s="11" t="s">
        <v>403</v>
      </c>
      <c r="F163" s="3" t="s">
        <v>9</v>
      </c>
      <c r="G163" s="3" t="s">
        <v>7</v>
      </c>
      <c r="H163" s="3" t="s">
        <v>5</v>
      </c>
      <c r="I163" s="7"/>
    </row>
    <row r="164" spans="1:9" x14ac:dyDescent="0.3">
      <c r="A164" s="6">
        <v>44553</v>
      </c>
      <c r="B164" s="3" t="s">
        <v>449</v>
      </c>
      <c r="C164" s="3" t="s">
        <v>450</v>
      </c>
      <c r="D164" s="3">
        <v>413</v>
      </c>
      <c r="E164" s="14" t="s">
        <v>451</v>
      </c>
      <c r="F164" s="3" t="s">
        <v>19</v>
      </c>
      <c r="G164" s="3" t="s">
        <v>7</v>
      </c>
      <c r="H164" s="3" t="s">
        <v>5</v>
      </c>
      <c r="I164" s="7"/>
    </row>
    <row r="165" spans="1:9" x14ac:dyDescent="0.3">
      <c r="A165" s="6">
        <v>44553</v>
      </c>
      <c r="B165" s="3" t="s">
        <v>452</v>
      </c>
      <c r="C165" s="3" t="s">
        <v>453</v>
      </c>
      <c r="D165" s="3" t="s">
        <v>454</v>
      </c>
      <c r="E165" s="11" t="s">
        <v>455</v>
      </c>
      <c r="F165" s="3" t="s">
        <v>14</v>
      </c>
      <c r="G165" s="3" t="s">
        <v>7</v>
      </c>
      <c r="H165" s="3" t="s">
        <v>10</v>
      </c>
      <c r="I165" s="7"/>
    </row>
    <row r="166" spans="1:9" x14ac:dyDescent="0.3">
      <c r="A166" s="6">
        <v>44553</v>
      </c>
      <c r="B166" s="3" t="s">
        <v>456</v>
      </c>
      <c r="C166" s="3" t="s">
        <v>457</v>
      </c>
      <c r="D166" s="3" t="s">
        <v>458</v>
      </c>
      <c r="E166" s="11" t="s">
        <v>459</v>
      </c>
      <c r="F166" s="3" t="s">
        <v>25</v>
      </c>
      <c r="G166" s="3" t="s">
        <v>7</v>
      </c>
      <c r="H166" s="3" t="s">
        <v>5</v>
      </c>
      <c r="I166" s="7"/>
    </row>
    <row r="167" spans="1:9" x14ac:dyDescent="0.3">
      <c r="A167" s="6">
        <v>44556</v>
      </c>
      <c r="B167" s="3" t="s">
        <v>1533</v>
      </c>
      <c r="C167" s="3" t="s">
        <v>460</v>
      </c>
      <c r="D167" s="3" t="s">
        <v>461</v>
      </c>
      <c r="E167" s="11" t="s">
        <v>462</v>
      </c>
      <c r="F167" s="3" t="s">
        <v>6</v>
      </c>
      <c r="G167" s="3" t="s">
        <v>7</v>
      </c>
      <c r="H167" s="3" t="s">
        <v>10</v>
      </c>
      <c r="I167" s="7">
        <v>44623</v>
      </c>
    </row>
    <row r="168" spans="1:9" x14ac:dyDescent="0.3">
      <c r="A168" s="6">
        <v>44556</v>
      </c>
      <c r="B168" s="3" t="s">
        <v>463</v>
      </c>
      <c r="C168" s="3" t="s">
        <v>464</v>
      </c>
      <c r="D168" s="3" t="s">
        <v>465</v>
      </c>
      <c r="E168" s="11" t="s">
        <v>459</v>
      </c>
      <c r="F168" s="3" t="s">
        <v>25</v>
      </c>
      <c r="G168" s="3" t="s">
        <v>7</v>
      </c>
      <c r="H168" s="3" t="s">
        <v>5</v>
      </c>
      <c r="I168" s="7"/>
    </row>
    <row r="169" spans="1:9" x14ac:dyDescent="0.3">
      <c r="A169" s="6">
        <v>44557</v>
      </c>
      <c r="B169" s="3" t="s">
        <v>466</v>
      </c>
      <c r="C169" s="3" t="s">
        <v>467</v>
      </c>
      <c r="D169" s="3" t="s">
        <v>468</v>
      </c>
      <c r="E169" s="11" t="s">
        <v>469</v>
      </c>
      <c r="F169" s="3" t="s">
        <v>25</v>
      </c>
      <c r="G169" s="3" t="s">
        <v>7</v>
      </c>
      <c r="H169" s="3" t="s">
        <v>2</v>
      </c>
      <c r="I169" s="7"/>
    </row>
    <row r="170" spans="1:9" x14ac:dyDescent="0.3">
      <c r="A170" s="6">
        <v>44558</v>
      </c>
      <c r="B170" s="3" t="s">
        <v>470</v>
      </c>
      <c r="C170" s="3" t="s">
        <v>471</v>
      </c>
      <c r="D170" s="3" t="s">
        <v>465</v>
      </c>
      <c r="E170" s="11" t="s">
        <v>472</v>
      </c>
      <c r="F170" s="3" t="s">
        <v>11</v>
      </c>
      <c r="G170" s="3" t="s">
        <v>7</v>
      </c>
      <c r="H170" s="3" t="s">
        <v>5</v>
      </c>
      <c r="I170" s="7"/>
    </row>
    <row r="171" spans="1:9" x14ac:dyDescent="0.3">
      <c r="A171" s="6">
        <v>44563</v>
      </c>
      <c r="B171" s="3" t="s">
        <v>473</v>
      </c>
      <c r="C171" s="3" t="s">
        <v>474</v>
      </c>
      <c r="D171" s="3" t="s">
        <v>475</v>
      </c>
      <c r="E171" s="11" t="s">
        <v>476</v>
      </c>
      <c r="F171" s="3" t="s">
        <v>25</v>
      </c>
      <c r="G171" s="3" t="s">
        <v>7</v>
      </c>
      <c r="H171" s="3" t="s">
        <v>5</v>
      </c>
      <c r="I171" s="7"/>
    </row>
    <row r="172" spans="1:9" x14ac:dyDescent="0.3">
      <c r="A172" s="6">
        <v>44563</v>
      </c>
      <c r="B172" s="3" t="s">
        <v>477</v>
      </c>
      <c r="C172" s="3" t="s">
        <v>478</v>
      </c>
      <c r="D172" s="3" t="s">
        <v>479</v>
      </c>
      <c r="E172" s="11" t="s">
        <v>480</v>
      </c>
      <c r="F172" s="3" t="s">
        <v>16</v>
      </c>
      <c r="G172" s="3" t="s">
        <v>7</v>
      </c>
      <c r="H172" s="3" t="s">
        <v>5</v>
      </c>
      <c r="I172" s="7"/>
    </row>
    <row r="173" spans="1:9" x14ac:dyDescent="0.3">
      <c r="A173" s="6">
        <v>44563</v>
      </c>
      <c r="B173" s="3" t="s">
        <v>481</v>
      </c>
      <c r="C173" s="3" t="s">
        <v>482</v>
      </c>
      <c r="D173" s="3" t="s">
        <v>461</v>
      </c>
      <c r="E173" s="11" t="s">
        <v>483</v>
      </c>
      <c r="F173" s="3"/>
      <c r="G173" s="3" t="s">
        <v>7</v>
      </c>
      <c r="H173" s="3" t="s">
        <v>5</v>
      </c>
      <c r="I173" s="7"/>
    </row>
    <row r="174" spans="1:9" x14ac:dyDescent="0.3">
      <c r="A174" s="6">
        <v>44564</v>
      </c>
      <c r="B174" s="3" t="s">
        <v>484</v>
      </c>
      <c r="C174" s="3" t="s">
        <v>485</v>
      </c>
      <c r="D174" s="3" t="s">
        <v>454</v>
      </c>
      <c r="E174" s="11" t="s">
        <v>486</v>
      </c>
      <c r="F174" s="3"/>
      <c r="G174" s="3" t="s">
        <v>7</v>
      </c>
      <c r="H174" s="3" t="s">
        <v>5</v>
      </c>
      <c r="I174" s="7"/>
    </row>
    <row r="175" spans="1:9" x14ac:dyDescent="0.3">
      <c r="A175" s="6">
        <v>44564</v>
      </c>
      <c r="B175" s="3" t="s">
        <v>487</v>
      </c>
      <c r="C175" s="3" t="s">
        <v>488</v>
      </c>
      <c r="D175" s="3" t="s">
        <v>489</v>
      </c>
      <c r="E175" s="11" t="s">
        <v>1486</v>
      </c>
      <c r="F175" s="3" t="s">
        <v>14</v>
      </c>
      <c r="G175" s="3" t="s">
        <v>7</v>
      </c>
      <c r="H175" s="3" t="s">
        <v>10</v>
      </c>
      <c r="I175" s="7">
        <v>44580</v>
      </c>
    </row>
    <row r="176" spans="1:9" x14ac:dyDescent="0.3">
      <c r="A176" s="6">
        <v>44564</v>
      </c>
      <c r="B176" s="3" t="s">
        <v>490</v>
      </c>
      <c r="C176" s="3" t="s">
        <v>491</v>
      </c>
      <c r="D176" s="3" t="s">
        <v>492</v>
      </c>
      <c r="E176" s="11" t="s">
        <v>493</v>
      </c>
      <c r="F176" s="3"/>
      <c r="G176" s="3" t="s">
        <v>7</v>
      </c>
      <c r="H176" s="3" t="s">
        <v>2</v>
      </c>
      <c r="I176" s="7"/>
    </row>
    <row r="177" spans="1:9" x14ac:dyDescent="0.3">
      <c r="A177" s="6">
        <v>44565</v>
      </c>
      <c r="B177" s="3" t="s">
        <v>494</v>
      </c>
      <c r="C177" s="3" t="s">
        <v>495</v>
      </c>
      <c r="D177" s="3" t="s">
        <v>496</v>
      </c>
      <c r="E177" s="14" t="s">
        <v>497</v>
      </c>
      <c r="F177" s="3"/>
      <c r="G177" s="3" t="s">
        <v>7</v>
      </c>
      <c r="H177" s="3" t="s">
        <v>2</v>
      </c>
      <c r="I177" s="7"/>
    </row>
    <row r="178" spans="1:9" x14ac:dyDescent="0.3">
      <c r="A178" s="6">
        <v>44566</v>
      </c>
      <c r="B178" s="3" t="s">
        <v>498</v>
      </c>
      <c r="C178" s="3" t="s">
        <v>499</v>
      </c>
      <c r="D178" s="3" t="s">
        <v>500</v>
      </c>
      <c r="E178" s="11" t="s">
        <v>501</v>
      </c>
      <c r="F178" s="3"/>
      <c r="G178" s="3" t="s">
        <v>7</v>
      </c>
      <c r="H178" s="3" t="s">
        <v>2</v>
      </c>
      <c r="I178" s="7"/>
    </row>
    <row r="179" spans="1:9" x14ac:dyDescent="0.3">
      <c r="A179" s="6">
        <v>44566</v>
      </c>
      <c r="B179" s="3" t="s">
        <v>502</v>
      </c>
      <c r="C179" s="3" t="s">
        <v>503</v>
      </c>
      <c r="D179" s="3" t="s">
        <v>504</v>
      </c>
      <c r="E179" s="11" t="s">
        <v>505</v>
      </c>
      <c r="F179" s="3"/>
      <c r="G179" s="3" t="s">
        <v>7</v>
      </c>
      <c r="H179" s="3" t="s">
        <v>5</v>
      </c>
      <c r="I179" s="7"/>
    </row>
    <row r="180" spans="1:9" x14ac:dyDescent="0.3">
      <c r="A180" s="6">
        <v>44566</v>
      </c>
      <c r="B180" s="3" t="s">
        <v>506</v>
      </c>
      <c r="C180" s="3" t="s">
        <v>507</v>
      </c>
      <c r="D180" s="3" t="s">
        <v>454</v>
      </c>
      <c r="E180" s="11" t="s">
        <v>508</v>
      </c>
      <c r="F180" s="3"/>
      <c r="G180" s="3" t="s">
        <v>7</v>
      </c>
      <c r="H180" s="3" t="s">
        <v>5</v>
      </c>
      <c r="I180" s="7"/>
    </row>
    <row r="181" spans="1:9" x14ac:dyDescent="0.3">
      <c r="A181" s="6">
        <v>44566</v>
      </c>
      <c r="B181" s="3" t="s">
        <v>509</v>
      </c>
      <c r="C181" s="3" t="s">
        <v>510</v>
      </c>
      <c r="D181" s="3" t="s">
        <v>511</v>
      </c>
      <c r="E181" s="11" t="s">
        <v>512</v>
      </c>
      <c r="F181" s="3"/>
      <c r="G181" s="3" t="s">
        <v>7</v>
      </c>
      <c r="H181" s="3" t="s">
        <v>5</v>
      </c>
      <c r="I181" s="7"/>
    </row>
    <row r="182" spans="1:9" x14ac:dyDescent="0.3">
      <c r="A182" s="6">
        <v>44570</v>
      </c>
      <c r="B182" s="3" t="s">
        <v>513</v>
      </c>
      <c r="C182" s="3" t="s">
        <v>514</v>
      </c>
      <c r="D182" s="3" t="s">
        <v>515</v>
      </c>
      <c r="E182" s="11" t="s">
        <v>516</v>
      </c>
      <c r="F182" s="3" t="s">
        <v>15</v>
      </c>
      <c r="G182" s="3" t="s">
        <v>7</v>
      </c>
      <c r="H182" s="3" t="s">
        <v>10</v>
      </c>
      <c r="I182" s="7">
        <v>44598</v>
      </c>
    </row>
    <row r="183" spans="1:9" x14ac:dyDescent="0.3">
      <c r="A183" s="6">
        <v>44570</v>
      </c>
      <c r="B183" s="3" t="s">
        <v>517</v>
      </c>
      <c r="C183" s="3" t="s">
        <v>518</v>
      </c>
      <c r="D183" s="3" t="s">
        <v>515</v>
      </c>
      <c r="E183" s="11" t="s">
        <v>519</v>
      </c>
      <c r="F183" s="3" t="s">
        <v>15</v>
      </c>
      <c r="G183" s="3" t="s">
        <v>1</v>
      </c>
      <c r="H183" s="3" t="s">
        <v>10</v>
      </c>
      <c r="I183" s="7">
        <v>44598</v>
      </c>
    </row>
    <row r="184" spans="1:9" x14ac:dyDescent="0.3">
      <c r="A184" s="6">
        <v>44571</v>
      </c>
      <c r="B184" s="3" t="s">
        <v>520</v>
      </c>
      <c r="C184" s="3" t="s">
        <v>521</v>
      </c>
      <c r="D184" s="3" t="s">
        <v>522</v>
      </c>
      <c r="E184" s="11" t="s">
        <v>523</v>
      </c>
      <c r="F184" s="3" t="s">
        <v>14</v>
      </c>
      <c r="G184" s="3" t="s">
        <v>7</v>
      </c>
      <c r="H184" s="3" t="s">
        <v>2</v>
      </c>
      <c r="I184" s="7"/>
    </row>
    <row r="185" spans="1:9" x14ac:dyDescent="0.3">
      <c r="A185" s="6">
        <v>44571</v>
      </c>
      <c r="B185" s="3" t="s">
        <v>524</v>
      </c>
      <c r="C185" s="3" t="s">
        <v>525</v>
      </c>
      <c r="D185" s="3" t="s">
        <v>526</v>
      </c>
      <c r="E185" s="11" t="s">
        <v>527</v>
      </c>
      <c r="F185" s="3"/>
      <c r="G185" s="3" t="s">
        <v>7</v>
      </c>
      <c r="H185" s="3" t="s">
        <v>5</v>
      </c>
      <c r="I185" s="7"/>
    </row>
    <row r="186" spans="1:9" x14ac:dyDescent="0.3">
      <c r="A186" s="6">
        <v>44571</v>
      </c>
      <c r="B186" s="3" t="s">
        <v>528</v>
      </c>
      <c r="C186" s="3" t="s">
        <v>529</v>
      </c>
      <c r="D186" s="3" t="s">
        <v>526</v>
      </c>
      <c r="E186" s="11" t="s">
        <v>530</v>
      </c>
      <c r="F186" s="3"/>
      <c r="G186" s="3" t="s">
        <v>7</v>
      </c>
      <c r="H186" s="3" t="s">
        <v>5</v>
      </c>
      <c r="I186" s="7"/>
    </row>
    <row r="187" spans="1:9" x14ac:dyDescent="0.3">
      <c r="A187" s="6"/>
      <c r="B187" s="3"/>
      <c r="C187" s="3" t="s">
        <v>531</v>
      </c>
      <c r="D187" s="3"/>
      <c r="E187" s="11"/>
      <c r="F187" s="3"/>
      <c r="G187" s="3"/>
      <c r="H187" s="3"/>
      <c r="I187" s="7"/>
    </row>
    <row r="188" spans="1:9" x14ac:dyDescent="0.3">
      <c r="A188" s="6"/>
      <c r="B188" s="3"/>
      <c r="C188" s="3" t="s">
        <v>532</v>
      </c>
      <c r="D188" s="3"/>
      <c r="E188" s="11"/>
      <c r="F188" s="3"/>
      <c r="G188" s="3"/>
      <c r="H188" s="3"/>
      <c r="I188" s="7"/>
    </row>
    <row r="189" spans="1:9" x14ac:dyDescent="0.3">
      <c r="A189" s="6"/>
      <c r="B189" s="3"/>
      <c r="C189" s="3" t="s">
        <v>533</v>
      </c>
      <c r="D189" s="3"/>
      <c r="E189" s="11"/>
      <c r="F189" s="3"/>
      <c r="G189" s="3"/>
      <c r="H189" s="3"/>
      <c r="I189" s="7"/>
    </row>
    <row r="190" spans="1:9" x14ac:dyDescent="0.3">
      <c r="A190" s="6"/>
      <c r="B190" s="3"/>
      <c r="C190" s="3" t="s">
        <v>534</v>
      </c>
      <c r="D190" s="3"/>
      <c r="E190" s="11"/>
      <c r="F190" s="3"/>
      <c r="G190" s="3"/>
      <c r="H190" s="3"/>
      <c r="I190" s="7"/>
    </row>
    <row r="191" spans="1:9" x14ac:dyDescent="0.3">
      <c r="A191" s="6"/>
      <c r="B191" s="3"/>
      <c r="C191" s="3" t="s">
        <v>535</v>
      </c>
      <c r="D191" s="3"/>
      <c r="E191" s="11"/>
      <c r="F191" s="3"/>
      <c r="G191" s="3"/>
      <c r="H191" s="3"/>
      <c r="I191" s="7"/>
    </row>
    <row r="192" spans="1:9" x14ac:dyDescent="0.3">
      <c r="A192" s="6"/>
      <c r="B192" s="3"/>
      <c r="C192" s="3" t="s">
        <v>536</v>
      </c>
      <c r="D192" s="3"/>
      <c r="E192" s="11"/>
      <c r="F192" s="3"/>
      <c r="G192" s="3"/>
      <c r="H192" s="3"/>
      <c r="I192" s="7"/>
    </row>
    <row r="193" spans="1:9" x14ac:dyDescent="0.3">
      <c r="A193" s="6"/>
      <c r="B193" s="3"/>
      <c r="C193" s="3" t="s">
        <v>537</v>
      </c>
      <c r="D193" s="3"/>
      <c r="E193" s="11"/>
      <c r="F193" s="3"/>
      <c r="G193" s="3"/>
      <c r="H193" s="3"/>
      <c r="I193" s="7"/>
    </row>
    <row r="194" spans="1:9" x14ac:dyDescent="0.3">
      <c r="A194" s="6"/>
      <c r="B194" s="3"/>
      <c r="C194" s="3" t="s">
        <v>538</v>
      </c>
      <c r="D194" s="3"/>
      <c r="E194" s="11"/>
      <c r="F194" s="3"/>
      <c r="G194" s="3"/>
      <c r="H194" s="3"/>
      <c r="I194" s="7"/>
    </row>
    <row r="195" spans="1:9" x14ac:dyDescent="0.3">
      <c r="A195" s="6"/>
      <c r="B195" s="3"/>
      <c r="C195" s="3" t="s">
        <v>539</v>
      </c>
      <c r="D195" s="3"/>
      <c r="E195" s="11"/>
      <c r="F195" s="3"/>
      <c r="G195" s="3"/>
      <c r="H195" s="3"/>
      <c r="I195" s="7"/>
    </row>
    <row r="196" spans="1:9" x14ac:dyDescent="0.3">
      <c r="A196" s="6"/>
      <c r="B196" s="3"/>
      <c r="C196" s="3" t="s">
        <v>540</v>
      </c>
      <c r="D196" s="3"/>
      <c r="E196" s="11"/>
      <c r="F196" s="3"/>
      <c r="G196" s="3"/>
      <c r="H196" s="3"/>
      <c r="I196" s="7"/>
    </row>
    <row r="197" spans="1:9" x14ac:dyDescent="0.3">
      <c r="A197" s="6"/>
      <c r="B197" s="3"/>
      <c r="C197" s="3" t="s">
        <v>541</v>
      </c>
      <c r="D197" s="3"/>
      <c r="E197" s="11"/>
      <c r="F197" s="3"/>
      <c r="G197" s="3"/>
      <c r="H197" s="3"/>
      <c r="I197" s="7"/>
    </row>
    <row r="198" spans="1:9" x14ac:dyDescent="0.3">
      <c r="A198" s="6"/>
      <c r="B198" s="3"/>
      <c r="C198" s="3" t="s">
        <v>542</v>
      </c>
      <c r="D198" s="3"/>
      <c r="E198" s="11"/>
      <c r="F198" s="3"/>
      <c r="G198" s="3"/>
      <c r="H198" s="3"/>
      <c r="I198" s="7"/>
    </row>
    <row r="199" spans="1:9" x14ac:dyDescent="0.3">
      <c r="A199" s="6"/>
      <c r="B199" s="3"/>
      <c r="C199" s="3" t="s">
        <v>543</v>
      </c>
      <c r="D199" s="3"/>
      <c r="E199" s="11"/>
      <c r="F199" s="3"/>
      <c r="G199" s="3"/>
      <c r="H199" s="3"/>
      <c r="I199" s="7"/>
    </row>
    <row r="200" spans="1:9" x14ac:dyDescent="0.3">
      <c r="A200" s="6"/>
      <c r="B200" s="3"/>
      <c r="C200" s="3" t="s">
        <v>544</v>
      </c>
      <c r="D200" s="3"/>
      <c r="E200" s="11"/>
      <c r="F200" s="3"/>
      <c r="G200" s="3"/>
      <c r="H200" s="3"/>
      <c r="I200" s="7"/>
    </row>
    <row r="201" spans="1:9" x14ac:dyDescent="0.3">
      <c r="A201" s="6"/>
      <c r="B201" s="3"/>
      <c r="C201" s="3" t="s">
        <v>545</v>
      </c>
      <c r="D201" s="3"/>
      <c r="E201" s="11"/>
      <c r="F201" s="3"/>
      <c r="G201" s="3"/>
      <c r="H201" s="3"/>
      <c r="I201" s="7"/>
    </row>
    <row r="202" spans="1:9" x14ac:dyDescent="0.3">
      <c r="A202" s="6"/>
      <c r="B202" s="3"/>
      <c r="C202" s="3" t="s">
        <v>546</v>
      </c>
      <c r="D202" s="3"/>
      <c r="E202" s="11"/>
      <c r="F202" s="3"/>
      <c r="G202" s="3"/>
      <c r="H202" s="3"/>
      <c r="I202" s="7"/>
    </row>
    <row r="203" spans="1:9" x14ac:dyDescent="0.3">
      <c r="A203" s="6"/>
      <c r="B203" s="3"/>
      <c r="C203" s="3" t="s">
        <v>547</v>
      </c>
      <c r="D203" s="3"/>
      <c r="E203" s="11"/>
      <c r="F203" s="3"/>
      <c r="G203" s="3"/>
      <c r="H203" s="3"/>
      <c r="I203" s="7"/>
    </row>
    <row r="204" spans="1:9" x14ac:dyDescent="0.3">
      <c r="A204" s="6"/>
      <c r="B204" s="3"/>
      <c r="C204" s="3" t="s">
        <v>548</v>
      </c>
      <c r="D204" s="3"/>
      <c r="E204" s="11"/>
      <c r="F204" s="3"/>
      <c r="G204" s="3"/>
      <c r="H204" s="3"/>
      <c r="I204" s="7"/>
    </row>
    <row r="205" spans="1:9" x14ac:dyDescent="0.3">
      <c r="A205" s="6"/>
      <c r="B205" s="3"/>
      <c r="C205" s="3" t="s">
        <v>549</v>
      </c>
      <c r="D205" s="3"/>
      <c r="E205" s="11"/>
      <c r="F205" s="3"/>
      <c r="G205" s="3"/>
      <c r="H205" s="3"/>
      <c r="I205" s="7"/>
    </row>
    <row r="206" spans="1:9" x14ac:dyDescent="0.3">
      <c r="A206" s="6"/>
      <c r="B206" s="3"/>
      <c r="C206" s="3" t="s">
        <v>550</v>
      </c>
      <c r="D206" s="3"/>
      <c r="E206" s="11"/>
      <c r="F206" s="3"/>
      <c r="G206" s="3"/>
      <c r="H206" s="3"/>
      <c r="I206" s="7"/>
    </row>
    <row r="207" spans="1:9" x14ac:dyDescent="0.3">
      <c r="A207" s="6"/>
      <c r="B207" s="3"/>
      <c r="C207" s="3" t="s">
        <v>551</v>
      </c>
      <c r="D207" s="3"/>
      <c r="E207" s="11"/>
      <c r="F207" s="3"/>
      <c r="G207" s="3"/>
      <c r="H207" s="3"/>
      <c r="I207" s="7"/>
    </row>
    <row r="208" spans="1:9" x14ac:dyDescent="0.3">
      <c r="A208" s="6"/>
      <c r="B208" s="3"/>
      <c r="C208" s="3" t="s">
        <v>552</v>
      </c>
      <c r="D208" s="3"/>
      <c r="E208" s="11"/>
      <c r="F208" s="3"/>
      <c r="G208" s="3"/>
      <c r="H208" s="3"/>
      <c r="I208" s="7"/>
    </row>
    <row r="209" spans="1:9" x14ac:dyDescent="0.3">
      <c r="A209" s="6"/>
      <c r="B209" s="3"/>
      <c r="C209" s="3" t="s">
        <v>553</v>
      </c>
      <c r="D209" s="3"/>
      <c r="E209" s="11"/>
      <c r="F209" s="3"/>
      <c r="G209" s="3"/>
      <c r="H209" s="3"/>
      <c r="I209" s="7"/>
    </row>
    <row r="210" spans="1:9" x14ac:dyDescent="0.3">
      <c r="A210" s="6"/>
      <c r="B210" s="3"/>
      <c r="C210" s="3" t="s">
        <v>554</v>
      </c>
      <c r="D210" s="3"/>
      <c r="E210" s="11"/>
      <c r="F210" s="3"/>
      <c r="G210" s="3"/>
      <c r="H210" s="3"/>
      <c r="I210" s="7"/>
    </row>
    <row r="211" spans="1:9" x14ac:dyDescent="0.3">
      <c r="A211" s="6"/>
      <c r="B211" s="3"/>
      <c r="C211" s="3" t="s">
        <v>555</v>
      </c>
      <c r="D211" s="3"/>
      <c r="E211" s="11"/>
      <c r="F211" s="3"/>
      <c r="G211" s="3"/>
      <c r="H211" s="3"/>
      <c r="I211" s="7"/>
    </row>
    <row r="212" spans="1:9" x14ac:dyDescent="0.3">
      <c r="A212" s="6"/>
      <c r="B212" s="3"/>
      <c r="C212" s="3" t="s">
        <v>556</v>
      </c>
      <c r="D212" s="3"/>
      <c r="E212" s="11"/>
      <c r="F212" s="3"/>
      <c r="G212" s="3"/>
      <c r="H212" s="3"/>
      <c r="I212" s="7"/>
    </row>
    <row r="213" spans="1:9" x14ac:dyDescent="0.3">
      <c r="A213" s="6"/>
      <c r="B213" s="3"/>
      <c r="C213" s="3" t="s">
        <v>557</v>
      </c>
      <c r="D213" s="3"/>
      <c r="E213" s="11"/>
      <c r="F213" s="3"/>
      <c r="G213" s="3"/>
      <c r="H213" s="3"/>
      <c r="I213" s="7"/>
    </row>
    <row r="214" spans="1:9" x14ac:dyDescent="0.3">
      <c r="A214" s="6"/>
      <c r="B214" s="3"/>
      <c r="C214" s="3" t="s">
        <v>558</v>
      </c>
      <c r="D214" s="3"/>
      <c r="E214" s="11"/>
      <c r="F214" s="3"/>
      <c r="G214" s="3"/>
      <c r="H214" s="3"/>
      <c r="I214" s="7"/>
    </row>
    <row r="215" spans="1:9" x14ac:dyDescent="0.3">
      <c r="A215" s="6"/>
      <c r="B215" s="3"/>
      <c r="C215" s="3" t="s">
        <v>559</v>
      </c>
      <c r="D215" s="3"/>
      <c r="E215" s="11"/>
      <c r="F215" s="3"/>
      <c r="G215" s="3"/>
      <c r="H215" s="3"/>
      <c r="I215" s="7"/>
    </row>
    <row r="216" spans="1:9" x14ac:dyDescent="0.3">
      <c r="A216" s="6"/>
      <c r="B216" s="3"/>
      <c r="C216" s="3" t="s">
        <v>560</v>
      </c>
      <c r="D216" s="3"/>
      <c r="E216" s="11"/>
      <c r="F216" s="3"/>
      <c r="G216" s="3"/>
      <c r="H216" s="3"/>
      <c r="I216" s="7"/>
    </row>
    <row r="217" spans="1:9" x14ac:dyDescent="0.3">
      <c r="A217" s="6"/>
      <c r="B217" s="3"/>
      <c r="C217" s="3" t="s">
        <v>561</v>
      </c>
      <c r="D217" s="3"/>
      <c r="E217" s="11"/>
      <c r="F217" s="3"/>
      <c r="G217" s="3"/>
      <c r="H217" s="3"/>
      <c r="I217" s="7"/>
    </row>
    <row r="218" spans="1:9" x14ac:dyDescent="0.3">
      <c r="A218" s="6"/>
      <c r="B218" s="3"/>
      <c r="C218" s="3" t="s">
        <v>562</v>
      </c>
      <c r="D218" s="3"/>
      <c r="E218" s="11"/>
      <c r="F218" s="3"/>
      <c r="G218" s="3"/>
      <c r="H218" s="3"/>
      <c r="I218" s="7"/>
    </row>
    <row r="219" spans="1:9" x14ac:dyDescent="0.3">
      <c r="A219" s="6"/>
      <c r="B219" s="3"/>
      <c r="C219" s="3" t="s">
        <v>563</v>
      </c>
      <c r="D219" s="3"/>
      <c r="E219" s="11"/>
      <c r="F219" s="3"/>
      <c r="G219" s="3"/>
      <c r="H219" s="3"/>
      <c r="I219" s="7"/>
    </row>
    <row r="220" spans="1:9" x14ac:dyDescent="0.3">
      <c r="A220" s="6"/>
      <c r="B220" s="3"/>
      <c r="C220" s="3" t="s">
        <v>564</v>
      </c>
      <c r="D220" s="3"/>
      <c r="E220" s="11"/>
      <c r="F220" s="3"/>
      <c r="G220" s="3"/>
      <c r="H220" s="3"/>
      <c r="I220" s="7"/>
    </row>
    <row r="221" spans="1:9" x14ac:dyDescent="0.3">
      <c r="A221" s="6"/>
      <c r="B221" s="3"/>
      <c r="C221" s="3" t="s">
        <v>565</v>
      </c>
      <c r="D221" s="3"/>
      <c r="E221" s="11"/>
      <c r="F221" s="3"/>
      <c r="G221" s="3"/>
      <c r="H221" s="3"/>
      <c r="I221" s="7"/>
    </row>
    <row r="222" spans="1:9" x14ac:dyDescent="0.3">
      <c r="A222" s="6"/>
      <c r="B222" s="3"/>
      <c r="C222" s="3" t="s">
        <v>566</v>
      </c>
      <c r="D222" s="3"/>
      <c r="E222" s="11"/>
      <c r="F222" s="3"/>
      <c r="G222" s="3"/>
      <c r="H222" s="3"/>
      <c r="I222" s="7"/>
    </row>
    <row r="223" spans="1:9" x14ac:dyDescent="0.3">
      <c r="A223" s="6"/>
      <c r="B223" s="3"/>
      <c r="C223" s="3" t="s">
        <v>567</v>
      </c>
      <c r="D223" s="3"/>
      <c r="E223" s="11"/>
      <c r="F223" s="3"/>
      <c r="G223" s="3"/>
      <c r="H223" s="3"/>
      <c r="I223" s="7"/>
    </row>
    <row r="224" spans="1:9" x14ac:dyDescent="0.3">
      <c r="A224" s="6"/>
      <c r="B224" s="3"/>
      <c r="C224" s="3" t="s">
        <v>568</v>
      </c>
      <c r="D224" s="3"/>
      <c r="E224" s="11"/>
      <c r="F224" s="3"/>
      <c r="G224" s="3"/>
      <c r="H224" s="3"/>
      <c r="I224" s="7"/>
    </row>
    <row r="225" spans="1:9" x14ac:dyDescent="0.3">
      <c r="A225" s="6"/>
      <c r="B225" s="3"/>
      <c r="C225" s="3" t="s">
        <v>569</v>
      </c>
      <c r="D225" s="3"/>
      <c r="E225" s="11"/>
      <c r="F225" s="3"/>
      <c r="G225" s="3"/>
      <c r="H225" s="3"/>
      <c r="I225" s="7"/>
    </row>
    <row r="226" spans="1:9" x14ac:dyDescent="0.3">
      <c r="A226" s="6"/>
      <c r="B226" s="3"/>
      <c r="C226" s="3" t="s">
        <v>570</v>
      </c>
      <c r="D226" s="3"/>
      <c r="E226" s="11"/>
      <c r="F226" s="3"/>
      <c r="G226" s="3"/>
      <c r="H226" s="3"/>
      <c r="I226" s="7"/>
    </row>
    <row r="227" spans="1:9" x14ac:dyDescent="0.3">
      <c r="A227" s="6"/>
      <c r="B227" s="3"/>
      <c r="C227" s="3" t="s">
        <v>571</v>
      </c>
      <c r="D227" s="3"/>
      <c r="E227" s="11"/>
      <c r="F227" s="3"/>
      <c r="G227" s="3"/>
      <c r="H227" s="3"/>
      <c r="I227" s="7"/>
    </row>
    <row r="228" spans="1:9" x14ac:dyDescent="0.3">
      <c r="A228" s="6"/>
      <c r="B228" s="3"/>
      <c r="C228" s="3" t="s">
        <v>572</v>
      </c>
      <c r="D228" s="3"/>
      <c r="E228" s="11"/>
      <c r="F228" s="3"/>
      <c r="G228" s="3"/>
      <c r="H228" s="3"/>
      <c r="I228" s="7"/>
    </row>
    <row r="229" spans="1:9" x14ac:dyDescent="0.3">
      <c r="A229" s="6"/>
      <c r="B229" s="3"/>
      <c r="C229" s="3" t="s">
        <v>573</v>
      </c>
      <c r="D229" s="3"/>
      <c r="E229" s="11"/>
      <c r="F229" s="3"/>
      <c r="G229" s="3"/>
      <c r="H229" s="3"/>
      <c r="I229" s="7"/>
    </row>
    <row r="230" spans="1:9" x14ac:dyDescent="0.3">
      <c r="A230" s="6"/>
      <c r="B230" s="3"/>
      <c r="C230" s="3" t="s">
        <v>574</v>
      </c>
      <c r="D230" s="3"/>
      <c r="E230" s="11"/>
      <c r="F230" s="3"/>
      <c r="G230" s="3"/>
      <c r="H230" s="3"/>
      <c r="I230" s="7"/>
    </row>
    <row r="231" spans="1:9" x14ac:dyDescent="0.3">
      <c r="A231" s="6"/>
      <c r="B231" s="3"/>
      <c r="C231" s="3" t="s">
        <v>575</v>
      </c>
      <c r="D231" s="3"/>
      <c r="E231" s="11"/>
      <c r="F231" s="3"/>
      <c r="G231" s="3"/>
      <c r="H231" s="3"/>
      <c r="I231" s="7"/>
    </row>
    <row r="232" spans="1:9" x14ac:dyDescent="0.3">
      <c r="A232" s="6"/>
      <c r="B232" s="3"/>
      <c r="C232" s="3" t="s">
        <v>576</v>
      </c>
      <c r="D232" s="3"/>
      <c r="E232" s="11"/>
      <c r="F232" s="3"/>
      <c r="G232" s="3"/>
      <c r="H232" s="3"/>
      <c r="I232" s="7"/>
    </row>
    <row r="233" spans="1:9" x14ac:dyDescent="0.3">
      <c r="A233" s="6"/>
      <c r="B233" s="3"/>
      <c r="C233" s="3" t="s">
        <v>577</v>
      </c>
      <c r="D233" s="3"/>
      <c r="E233" s="11"/>
      <c r="F233" s="3"/>
      <c r="G233" s="3"/>
      <c r="H233" s="3"/>
      <c r="I233" s="7"/>
    </row>
    <row r="234" spans="1:9" x14ac:dyDescent="0.3">
      <c r="A234" s="6"/>
      <c r="B234" s="3"/>
      <c r="C234" s="3" t="s">
        <v>578</v>
      </c>
      <c r="D234" s="3"/>
      <c r="E234" s="11"/>
      <c r="F234" s="3"/>
      <c r="G234" s="3"/>
      <c r="H234" s="3"/>
      <c r="I234" s="7"/>
    </row>
    <row r="235" spans="1:9" x14ac:dyDescent="0.3">
      <c r="A235" s="6"/>
      <c r="B235" s="3"/>
      <c r="C235" s="3" t="s">
        <v>579</v>
      </c>
      <c r="D235" s="3"/>
      <c r="E235" s="11"/>
      <c r="F235" s="3"/>
      <c r="G235" s="3"/>
      <c r="H235" s="3"/>
      <c r="I235" s="7"/>
    </row>
    <row r="236" spans="1:9" x14ac:dyDescent="0.3">
      <c r="A236" s="6"/>
      <c r="B236" s="3"/>
      <c r="C236" s="3" t="s">
        <v>580</v>
      </c>
      <c r="D236" s="3"/>
      <c r="E236" s="11"/>
      <c r="F236" s="3"/>
      <c r="G236" s="3"/>
      <c r="H236" s="3"/>
      <c r="I236" s="7"/>
    </row>
    <row r="237" spans="1:9" x14ac:dyDescent="0.3">
      <c r="A237" s="6"/>
      <c r="B237" s="3"/>
      <c r="C237" s="3" t="s">
        <v>581</v>
      </c>
      <c r="D237" s="3"/>
      <c r="E237" s="11"/>
      <c r="F237" s="3"/>
      <c r="G237" s="3"/>
      <c r="H237" s="3"/>
      <c r="I237" s="7"/>
    </row>
    <row r="238" spans="1:9" x14ac:dyDescent="0.3">
      <c r="A238" s="6"/>
      <c r="B238" s="3"/>
      <c r="C238" s="3" t="s">
        <v>582</v>
      </c>
      <c r="D238" s="3"/>
      <c r="E238" s="11"/>
      <c r="F238" s="3"/>
      <c r="G238" s="3"/>
      <c r="H238" s="3"/>
      <c r="I238" s="7"/>
    </row>
    <row r="239" spans="1:9" x14ac:dyDescent="0.3">
      <c r="A239" s="6"/>
      <c r="B239" s="3"/>
      <c r="C239" s="3" t="s">
        <v>583</v>
      </c>
      <c r="D239" s="3"/>
      <c r="E239" s="11"/>
      <c r="F239" s="3"/>
      <c r="G239" s="3"/>
      <c r="H239" s="3"/>
      <c r="I239" s="7"/>
    </row>
    <row r="240" spans="1:9" x14ac:dyDescent="0.3">
      <c r="A240" s="6"/>
      <c r="B240" s="3"/>
      <c r="C240" s="3" t="s">
        <v>584</v>
      </c>
      <c r="D240" s="3"/>
      <c r="E240" s="11"/>
      <c r="F240" s="3"/>
      <c r="G240" s="3"/>
      <c r="H240" s="3"/>
      <c r="I240" s="7"/>
    </row>
    <row r="241" spans="1:9" x14ac:dyDescent="0.3">
      <c r="A241" s="6"/>
      <c r="B241" s="3"/>
      <c r="C241" s="3" t="s">
        <v>585</v>
      </c>
      <c r="D241" s="3"/>
      <c r="E241" s="11"/>
      <c r="F241" s="3"/>
      <c r="G241" s="3"/>
      <c r="H241" s="3"/>
      <c r="I241" s="7"/>
    </row>
    <row r="242" spans="1:9" x14ac:dyDescent="0.3">
      <c r="A242" s="6"/>
      <c r="B242" s="3"/>
      <c r="C242" s="3" t="s">
        <v>586</v>
      </c>
      <c r="D242" s="3"/>
      <c r="E242" s="11"/>
      <c r="F242" s="3"/>
      <c r="G242" s="3"/>
      <c r="H242" s="3"/>
      <c r="I242" s="7"/>
    </row>
    <row r="243" spans="1:9" x14ac:dyDescent="0.3">
      <c r="A243" s="6"/>
      <c r="B243" s="3"/>
      <c r="C243" s="3" t="s">
        <v>587</v>
      </c>
      <c r="D243" s="3"/>
      <c r="E243" s="11"/>
      <c r="F243" s="3"/>
      <c r="G243" s="3"/>
      <c r="H243" s="3"/>
      <c r="I243" s="7"/>
    </row>
    <row r="244" spans="1:9" x14ac:dyDescent="0.3">
      <c r="A244" s="6"/>
      <c r="B244" s="3"/>
      <c r="C244" s="3" t="s">
        <v>588</v>
      </c>
      <c r="D244" s="3"/>
      <c r="E244" s="11"/>
      <c r="F244" s="3"/>
      <c r="G244" s="3"/>
      <c r="H244" s="3"/>
      <c r="I244" s="7"/>
    </row>
    <row r="245" spans="1:9" x14ac:dyDescent="0.3">
      <c r="A245" s="6"/>
      <c r="B245" s="3"/>
      <c r="C245" s="3" t="s">
        <v>589</v>
      </c>
      <c r="D245" s="3"/>
      <c r="E245" s="11"/>
      <c r="F245" s="3"/>
      <c r="G245" s="3"/>
      <c r="H245" s="3"/>
      <c r="I245" s="7"/>
    </row>
    <row r="246" spans="1:9" x14ac:dyDescent="0.3">
      <c r="A246" s="6"/>
      <c r="B246" s="3"/>
      <c r="C246" s="3" t="s">
        <v>590</v>
      </c>
      <c r="D246" s="3"/>
      <c r="E246" s="11"/>
      <c r="F246" s="3"/>
      <c r="G246" s="3"/>
      <c r="H246" s="3"/>
      <c r="I246" s="7"/>
    </row>
    <row r="247" spans="1:9" x14ac:dyDescent="0.3">
      <c r="A247" s="6"/>
      <c r="B247" s="3"/>
      <c r="C247" s="3" t="s">
        <v>591</v>
      </c>
      <c r="D247" s="3"/>
      <c r="E247" s="11"/>
      <c r="F247" s="3"/>
      <c r="G247" s="3"/>
      <c r="H247" s="3"/>
      <c r="I247" s="7"/>
    </row>
    <row r="248" spans="1:9" x14ac:dyDescent="0.3">
      <c r="A248" s="6"/>
      <c r="B248" s="3"/>
      <c r="C248" s="3" t="s">
        <v>592</v>
      </c>
      <c r="D248" s="3"/>
      <c r="E248" s="11"/>
      <c r="F248" s="3"/>
      <c r="G248" s="3"/>
      <c r="H248" s="3"/>
      <c r="I248" s="7"/>
    </row>
    <row r="249" spans="1:9" x14ac:dyDescent="0.3">
      <c r="A249" s="6"/>
      <c r="B249" s="3"/>
      <c r="C249" s="3" t="s">
        <v>593</v>
      </c>
      <c r="D249" s="3"/>
      <c r="E249" s="11"/>
      <c r="F249" s="3"/>
      <c r="G249" s="3"/>
      <c r="H249" s="3"/>
      <c r="I249" s="7"/>
    </row>
    <row r="250" spans="1:9" x14ac:dyDescent="0.3">
      <c r="A250" s="6"/>
      <c r="B250" s="3"/>
      <c r="C250" s="3" t="s">
        <v>594</v>
      </c>
      <c r="D250" s="3"/>
      <c r="E250" s="11"/>
      <c r="F250" s="3"/>
      <c r="G250" s="3"/>
      <c r="H250" s="3"/>
      <c r="I250" s="7"/>
    </row>
    <row r="251" spans="1:9" x14ac:dyDescent="0.3">
      <c r="A251" s="6"/>
      <c r="B251" s="3"/>
      <c r="C251" s="3" t="s">
        <v>595</v>
      </c>
      <c r="D251" s="3"/>
      <c r="E251" s="11"/>
      <c r="F251" s="3"/>
      <c r="G251" s="3"/>
      <c r="H251" s="3"/>
      <c r="I251" s="7"/>
    </row>
    <row r="252" spans="1:9" x14ac:dyDescent="0.3">
      <c r="A252" s="6"/>
      <c r="B252" s="3"/>
      <c r="C252" s="3" t="s">
        <v>596</v>
      </c>
      <c r="D252" s="3"/>
      <c r="E252" s="11"/>
      <c r="F252" s="3"/>
      <c r="G252" s="3"/>
      <c r="H252" s="3"/>
      <c r="I252" s="7"/>
    </row>
    <row r="253" spans="1:9" x14ac:dyDescent="0.3">
      <c r="A253" s="6"/>
      <c r="B253" s="3"/>
      <c r="C253" s="3" t="s">
        <v>597</v>
      </c>
      <c r="D253" s="3"/>
      <c r="E253" s="11"/>
      <c r="F253" s="3"/>
      <c r="G253" s="3"/>
      <c r="H253" s="3"/>
      <c r="I253" s="7"/>
    </row>
    <row r="254" spans="1:9" x14ac:dyDescent="0.3">
      <c r="A254" s="6"/>
      <c r="B254" s="3"/>
      <c r="C254" s="3" t="s">
        <v>598</v>
      </c>
      <c r="D254" s="3"/>
      <c r="E254" s="11"/>
      <c r="F254" s="3"/>
      <c r="G254" s="3"/>
      <c r="H254" s="3"/>
      <c r="I254" s="7"/>
    </row>
    <row r="255" spans="1:9" x14ac:dyDescent="0.3">
      <c r="A255" s="6"/>
      <c r="B255" s="3"/>
      <c r="C255" s="3" t="s">
        <v>599</v>
      </c>
      <c r="D255" s="3"/>
      <c r="E255" s="11"/>
      <c r="F255" s="3"/>
      <c r="G255" s="3"/>
      <c r="H255" s="3"/>
      <c r="I255" s="7"/>
    </row>
    <row r="256" spans="1:9" x14ac:dyDescent="0.3">
      <c r="A256" s="6"/>
      <c r="B256" s="3"/>
      <c r="C256" s="3" t="s">
        <v>600</v>
      </c>
      <c r="D256" s="3"/>
      <c r="E256" s="11"/>
      <c r="F256" s="3"/>
      <c r="G256" s="3"/>
      <c r="H256" s="3"/>
      <c r="I256" s="7"/>
    </row>
    <row r="257" spans="1:9" x14ac:dyDescent="0.3">
      <c r="A257" s="6"/>
      <c r="B257" s="3"/>
      <c r="C257" s="3" t="s">
        <v>601</v>
      </c>
      <c r="D257" s="3"/>
      <c r="E257" s="11"/>
      <c r="F257" s="3"/>
      <c r="G257" s="3"/>
      <c r="H257" s="3"/>
      <c r="I257" s="7"/>
    </row>
    <row r="258" spans="1:9" x14ac:dyDescent="0.3">
      <c r="A258" s="6"/>
      <c r="B258" s="3"/>
      <c r="C258" s="3" t="s">
        <v>602</v>
      </c>
      <c r="D258" s="3"/>
      <c r="E258" s="11"/>
      <c r="F258" s="3"/>
      <c r="G258" s="3"/>
      <c r="H258" s="3"/>
      <c r="I258" s="7"/>
    </row>
    <row r="259" spans="1:9" x14ac:dyDescent="0.3">
      <c r="A259" s="6"/>
      <c r="B259" s="3"/>
      <c r="C259" s="3" t="s">
        <v>603</v>
      </c>
      <c r="D259" s="3"/>
      <c r="E259" s="11"/>
      <c r="F259" s="3"/>
      <c r="G259" s="3"/>
      <c r="H259" s="3"/>
      <c r="I259" s="7"/>
    </row>
    <row r="260" spans="1:9" x14ac:dyDescent="0.3">
      <c r="A260" s="6"/>
      <c r="B260" s="3"/>
      <c r="C260" s="3" t="s">
        <v>604</v>
      </c>
      <c r="D260" s="3"/>
      <c r="E260" s="11"/>
      <c r="F260" s="3"/>
      <c r="G260" s="3"/>
      <c r="H260" s="3"/>
      <c r="I260" s="7"/>
    </row>
    <row r="261" spans="1:9" x14ac:dyDescent="0.3">
      <c r="A261" s="6"/>
      <c r="B261" s="3"/>
      <c r="C261" s="3" t="s">
        <v>605</v>
      </c>
      <c r="D261" s="3"/>
      <c r="E261" s="11"/>
      <c r="F261" s="3"/>
      <c r="G261" s="3"/>
      <c r="H261" s="3"/>
      <c r="I261" s="7"/>
    </row>
    <row r="262" spans="1:9" x14ac:dyDescent="0.3">
      <c r="A262" s="6"/>
      <c r="B262" s="3"/>
      <c r="C262" s="3" t="s">
        <v>606</v>
      </c>
      <c r="D262" s="3"/>
      <c r="E262" s="11"/>
      <c r="F262" s="3"/>
      <c r="G262" s="3"/>
      <c r="H262" s="3"/>
      <c r="I262" s="7"/>
    </row>
    <row r="263" spans="1:9" x14ac:dyDescent="0.3">
      <c r="A263" s="6"/>
      <c r="B263" s="3"/>
      <c r="C263" s="3" t="s">
        <v>607</v>
      </c>
      <c r="D263" s="3"/>
      <c r="E263" s="11"/>
      <c r="F263" s="3"/>
      <c r="G263" s="3"/>
      <c r="H263" s="3"/>
      <c r="I263" s="7"/>
    </row>
    <row r="264" spans="1:9" x14ac:dyDescent="0.3">
      <c r="A264" s="6"/>
      <c r="B264" s="3"/>
      <c r="C264" s="3" t="s">
        <v>608</v>
      </c>
      <c r="D264" s="3"/>
      <c r="E264" s="11"/>
      <c r="F264" s="3"/>
      <c r="G264" s="3"/>
      <c r="H264" s="3"/>
      <c r="I264" s="7"/>
    </row>
    <row r="265" spans="1:9" x14ac:dyDescent="0.3">
      <c r="A265" s="6"/>
      <c r="B265" s="3"/>
      <c r="C265" s="3" t="s">
        <v>609</v>
      </c>
      <c r="D265" s="3"/>
      <c r="E265" s="11"/>
      <c r="F265" s="3"/>
      <c r="G265" s="3"/>
      <c r="H265" s="3"/>
      <c r="I265" s="7"/>
    </row>
    <row r="266" spans="1:9" x14ac:dyDescent="0.3">
      <c r="A266" s="6"/>
      <c r="B266" s="3"/>
      <c r="C266" s="3" t="s">
        <v>610</v>
      </c>
      <c r="D266" s="3"/>
      <c r="E266" s="11"/>
      <c r="F266" s="3"/>
      <c r="G266" s="3"/>
      <c r="H266" s="3"/>
      <c r="I266" s="7"/>
    </row>
    <row r="267" spans="1:9" x14ac:dyDescent="0.3">
      <c r="A267" s="6"/>
      <c r="B267" s="3"/>
      <c r="C267" s="3" t="s">
        <v>611</v>
      </c>
      <c r="D267" s="3"/>
      <c r="E267" s="11"/>
      <c r="F267" s="3"/>
      <c r="G267" s="3"/>
      <c r="H267" s="3"/>
      <c r="I267" s="7"/>
    </row>
    <row r="268" spans="1:9" x14ac:dyDescent="0.3">
      <c r="A268" s="6"/>
      <c r="B268" s="3"/>
      <c r="C268" s="3" t="s">
        <v>612</v>
      </c>
      <c r="D268" s="3"/>
      <c r="E268" s="11"/>
      <c r="F268" s="3"/>
      <c r="G268" s="3"/>
      <c r="H268" s="3"/>
      <c r="I268" s="7"/>
    </row>
    <row r="269" spans="1:9" x14ac:dyDescent="0.3">
      <c r="A269" s="6"/>
      <c r="B269" s="3"/>
      <c r="C269" s="3" t="s">
        <v>613</v>
      </c>
      <c r="D269" s="3"/>
      <c r="E269" s="11"/>
      <c r="F269" s="3"/>
      <c r="G269" s="3"/>
      <c r="H269" s="3"/>
      <c r="I269" s="7"/>
    </row>
    <row r="270" spans="1:9" x14ac:dyDescent="0.3">
      <c r="A270" s="6"/>
      <c r="B270" s="3"/>
      <c r="C270" s="3" t="s">
        <v>614</v>
      </c>
      <c r="D270" s="3"/>
      <c r="E270" s="11"/>
      <c r="F270" s="3"/>
      <c r="G270" s="3"/>
      <c r="H270" s="3"/>
      <c r="I270" s="7"/>
    </row>
    <row r="271" spans="1:9" x14ac:dyDescent="0.3">
      <c r="A271" s="6"/>
      <c r="B271" s="3"/>
      <c r="C271" s="3" t="s">
        <v>615</v>
      </c>
      <c r="D271" s="3"/>
      <c r="E271" s="11"/>
      <c r="F271" s="3"/>
      <c r="G271" s="3"/>
      <c r="H271" s="3"/>
      <c r="I271" s="7"/>
    </row>
    <row r="272" spans="1:9" x14ac:dyDescent="0.3">
      <c r="A272" s="6"/>
      <c r="B272" s="3"/>
      <c r="C272" s="3" t="s">
        <v>616</v>
      </c>
      <c r="D272" s="3"/>
      <c r="E272" s="11"/>
      <c r="F272" s="3"/>
      <c r="G272" s="3"/>
      <c r="H272" s="3"/>
      <c r="I272" s="7"/>
    </row>
    <row r="273" spans="1:9" x14ac:dyDescent="0.3">
      <c r="A273" s="6"/>
      <c r="B273" s="3"/>
      <c r="C273" s="3" t="s">
        <v>617</v>
      </c>
      <c r="D273" s="3"/>
      <c r="E273" s="11"/>
      <c r="F273" s="3"/>
      <c r="G273" s="3"/>
      <c r="H273" s="3"/>
      <c r="I273" s="7"/>
    </row>
    <row r="274" spans="1:9" x14ac:dyDescent="0.3">
      <c r="A274" s="6"/>
      <c r="B274" s="3"/>
      <c r="C274" s="3" t="s">
        <v>618</v>
      </c>
      <c r="D274" s="3"/>
      <c r="E274" s="11"/>
      <c r="F274" s="3"/>
      <c r="G274" s="3"/>
      <c r="H274" s="3"/>
      <c r="I274" s="7"/>
    </row>
    <row r="275" spans="1:9" x14ac:dyDescent="0.3">
      <c r="A275" s="6"/>
      <c r="B275" s="3"/>
      <c r="C275" s="3" t="s">
        <v>619</v>
      </c>
      <c r="D275" s="3"/>
      <c r="E275" s="11"/>
      <c r="F275" s="3"/>
      <c r="G275" s="3"/>
      <c r="H275" s="3"/>
      <c r="I275" s="7"/>
    </row>
    <row r="276" spans="1:9" x14ac:dyDescent="0.3">
      <c r="A276" s="6"/>
      <c r="B276" s="3"/>
      <c r="C276" s="3" t="s">
        <v>620</v>
      </c>
      <c r="D276" s="3"/>
      <c r="E276" s="11"/>
      <c r="F276" s="3"/>
      <c r="G276" s="3"/>
      <c r="H276" s="3"/>
      <c r="I276" s="7"/>
    </row>
    <row r="277" spans="1:9" x14ac:dyDescent="0.3">
      <c r="A277" s="6"/>
      <c r="B277" s="3"/>
      <c r="C277" s="3" t="s">
        <v>621</v>
      </c>
      <c r="D277" s="3"/>
      <c r="E277" s="11"/>
      <c r="F277" s="3"/>
      <c r="G277" s="3"/>
      <c r="H277" s="3"/>
      <c r="I277" s="7"/>
    </row>
    <row r="278" spans="1:9" x14ac:dyDescent="0.3">
      <c r="A278" s="6"/>
      <c r="B278" s="3"/>
      <c r="C278" s="3" t="s">
        <v>622</v>
      </c>
      <c r="D278" s="3"/>
      <c r="E278" s="11"/>
      <c r="F278" s="3"/>
      <c r="G278" s="3"/>
      <c r="H278" s="3"/>
      <c r="I278" s="7"/>
    </row>
    <row r="279" spans="1:9" x14ac:dyDescent="0.3">
      <c r="A279" s="6"/>
      <c r="B279" s="3"/>
      <c r="C279" s="3" t="s">
        <v>623</v>
      </c>
      <c r="D279" s="3"/>
      <c r="E279" s="11"/>
      <c r="F279" s="3"/>
      <c r="G279" s="3"/>
      <c r="H279" s="3"/>
      <c r="I279" s="7"/>
    </row>
    <row r="280" spans="1:9" x14ac:dyDescent="0.3">
      <c r="A280" s="6"/>
      <c r="B280" s="3"/>
      <c r="C280" s="3" t="s">
        <v>624</v>
      </c>
      <c r="D280" s="3"/>
      <c r="E280" s="11"/>
      <c r="F280" s="3"/>
      <c r="G280" s="3"/>
      <c r="H280" s="3"/>
      <c r="I280" s="7"/>
    </row>
    <row r="281" spans="1:9" x14ac:dyDescent="0.3">
      <c r="A281" s="6"/>
      <c r="B281" s="3"/>
      <c r="C281" s="3" t="s">
        <v>625</v>
      </c>
      <c r="D281" s="3"/>
      <c r="E281" s="11"/>
      <c r="F281" s="3"/>
      <c r="G281" s="3"/>
      <c r="H281" s="3"/>
      <c r="I281" s="7"/>
    </row>
    <row r="282" spans="1:9" x14ac:dyDescent="0.3">
      <c r="A282" s="6"/>
      <c r="B282" s="3"/>
      <c r="C282" s="3" t="s">
        <v>626</v>
      </c>
      <c r="D282" s="3"/>
      <c r="E282" s="11"/>
      <c r="F282" s="3"/>
      <c r="G282" s="3"/>
      <c r="H282" s="3"/>
      <c r="I282" s="7"/>
    </row>
    <row r="283" spans="1:9" x14ac:dyDescent="0.3">
      <c r="A283" s="6"/>
      <c r="B283" s="3"/>
      <c r="C283" s="3" t="s">
        <v>627</v>
      </c>
      <c r="D283" s="3"/>
      <c r="E283" s="11"/>
      <c r="F283" s="3"/>
      <c r="G283" s="3"/>
      <c r="H283" s="3"/>
      <c r="I283" s="7"/>
    </row>
    <row r="284" spans="1:9" x14ac:dyDescent="0.3">
      <c r="A284" s="6"/>
      <c r="B284" s="3"/>
      <c r="C284" s="3" t="s">
        <v>628</v>
      </c>
      <c r="D284" s="3"/>
      <c r="E284" s="11"/>
      <c r="F284" s="3"/>
      <c r="G284" s="3"/>
      <c r="H284" s="3"/>
      <c r="I284" s="7"/>
    </row>
    <row r="285" spans="1:9" x14ac:dyDescent="0.3">
      <c r="A285" s="6"/>
      <c r="B285" s="3"/>
      <c r="C285" s="3" t="s">
        <v>629</v>
      </c>
      <c r="D285" s="3"/>
      <c r="E285" s="11"/>
      <c r="F285" s="3"/>
      <c r="G285" s="3"/>
      <c r="H285" s="3"/>
      <c r="I285" s="7"/>
    </row>
    <row r="286" spans="1:9" x14ac:dyDescent="0.3">
      <c r="A286" s="6"/>
      <c r="B286" s="3"/>
      <c r="C286" s="3" t="s">
        <v>630</v>
      </c>
      <c r="D286" s="3"/>
      <c r="E286" s="11"/>
      <c r="F286" s="3"/>
      <c r="G286" s="3"/>
      <c r="H286" s="3"/>
      <c r="I286" s="7"/>
    </row>
    <row r="287" spans="1:9" x14ac:dyDescent="0.3">
      <c r="A287" s="6"/>
      <c r="B287" s="3"/>
      <c r="C287" s="3" t="s">
        <v>631</v>
      </c>
      <c r="D287" s="3"/>
      <c r="E287" s="11"/>
      <c r="F287" s="3"/>
      <c r="G287" s="3"/>
      <c r="H287" s="3"/>
      <c r="I287" s="7"/>
    </row>
    <row r="288" spans="1:9" x14ac:dyDescent="0.3">
      <c r="A288" s="6"/>
      <c r="B288" s="3"/>
      <c r="C288" s="3" t="s">
        <v>632</v>
      </c>
      <c r="D288" s="3"/>
      <c r="E288" s="11"/>
      <c r="F288" s="3"/>
      <c r="G288" s="3"/>
      <c r="H288" s="3"/>
      <c r="I288" s="7"/>
    </row>
    <row r="289" spans="1:9" x14ac:dyDescent="0.3">
      <c r="A289" s="6"/>
      <c r="B289" s="3"/>
      <c r="C289" s="3" t="s">
        <v>633</v>
      </c>
      <c r="D289" s="3"/>
      <c r="E289" s="11"/>
      <c r="F289" s="3"/>
      <c r="G289" s="3"/>
      <c r="H289" s="3"/>
      <c r="I289" s="7"/>
    </row>
    <row r="290" spans="1:9" x14ac:dyDescent="0.3">
      <c r="A290" s="6"/>
      <c r="B290" s="3"/>
      <c r="C290" s="3" t="s">
        <v>634</v>
      </c>
      <c r="D290" s="3"/>
      <c r="E290" s="11"/>
      <c r="F290" s="3"/>
      <c r="G290" s="3"/>
      <c r="H290" s="3"/>
      <c r="I290" s="7"/>
    </row>
    <row r="291" spans="1:9" x14ac:dyDescent="0.3">
      <c r="A291" s="6"/>
      <c r="B291" s="3"/>
      <c r="C291" s="3" t="s">
        <v>635</v>
      </c>
      <c r="D291" s="3"/>
      <c r="E291" s="11"/>
      <c r="F291" s="3"/>
      <c r="G291" s="3"/>
      <c r="H291" s="3"/>
      <c r="I291" s="7"/>
    </row>
    <row r="292" spans="1:9" x14ac:dyDescent="0.3">
      <c r="A292" s="6"/>
      <c r="B292" s="3"/>
      <c r="C292" s="3" t="s">
        <v>636</v>
      </c>
      <c r="D292" s="3"/>
      <c r="E292" s="11"/>
      <c r="F292" s="3"/>
      <c r="G292" s="3"/>
      <c r="H292" s="3"/>
      <c r="I292" s="7"/>
    </row>
    <row r="293" spans="1:9" x14ac:dyDescent="0.3">
      <c r="A293" s="6"/>
      <c r="B293" s="3"/>
      <c r="C293" s="3" t="s">
        <v>637</v>
      </c>
      <c r="D293" s="3"/>
      <c r="E293" s="11"/>
      <c r="F293" s="3"/>
      <c r="G293" s="3"/>
      <c r="H293" s="3"/>
      <c r="I293" s="7"/>
    </row>
    <row r="294" spans="1:9" x14ac:dyDescent="0.3">
      <c r="A294" s="6"/>
      <c r="B294" s="3"/>
      <c r="C294" s="3" t="s">
        <v>638</v>
      </c>
      <c r="D294" s="3"/>
      <c r="E294" s="11"/>
      <c r="F294" s="3"/>
      <c r="G294" s="3"/>
      <c r="H294" s="3"/>
      <c r="I294" s="7"/>
    </row>
    <row r="295" spans="1:9" x14ac:dyDescent="0.3">
      <c r="A295" s="6"/>
      <c r="B295" s="3"/>
      <c r="C295" s="3" t="s">
        <v>639</v>
      </c>
      <c r="D295" s="3"/>
      <c r="E295" s="11"/>
      <c r="F295" s="3"/>
      <c r="G295" s="3"/>
      <c r="H295" s="3"/>
      <c r="I295" s="7"/>
    </row>
    <row r="296" spans="1:9" x14ac:dyDescent="0.3">
      <c r="A296" s="6"/>
      <c r="B296" s="3"/>
      <c r="C296" s="3" t="s">
        <v>640</v>
      </c>
      <c r="D296" s="3"/>
      <c r="E296" s="11"/>
      <c r="F296" s="3"/>
      <c r="G296" s="3"/>
      <c r="H296" s="3"/>
      <c r="I296" s="7"/>
    </row>
    <row r="297" spans="1:9" x14ac:dyDescent="0.3">
      <c r="A297" s="6"/>
      <c r="B297" s="3"/>
      <c r="C297" s="3" t="s">
        <v>641</v>
      </c>
      <c r="D297" s="3"/>
      <c r="E297" s="11"/>
      <c r="F297" s="3"/>
      <c r="G297" s="3"/>
      <c r="H297" s="3"/>
      <c r="I297" s="7"/>
    </row>
    <row r="298" spans="1:9" x14ac:dyDescent="0.3">
      <c r="A298" s="6"/>
      <c r="B298" s="3"/>
      <c r="C298" s="3" t="s">
        <v>642</v>
      </c>
      <c r="D298" s="3"/>
      <c r="E298" s="11"/>
      <c r="F298" s="3"/>
      <c r="G298" s="3"/>
      <c r="H298" s="3"/>
      <c r="I298" s="7"/>
    </row>
    <row r="299" spans="1:9" x14ac:dyDescent="0.3">
      <c r="A299" s="6"/>
      <c r="B299" s="3"/>
      <c r="C299" s="3" t="s">
        <v>643</v>
      </c>
      <c r="D299" s="3"/>
      <c r="E299" s="11"/>
      <c r="F299" s="3"/>
      <c r="G299" s="3"/>
      <c r="H299" s="3"/>
      <c r="I299" s="7"/>
    </row>
    <row r="300" spans="1:9" x14ac:dyDescent="0.3">
      <c r="A300" s="6"/>
      <c r="B300" s="3"/>
      <c r="C300" s="3" t="s">
        <v>644</v>
      </c>
      <c r="D300" s="3"/>
      <c r="E300" s="11"/>
      <c r="F300" s="3"/>
      <c r="G300" s="3"/>
      <c r="H300" s="3"/>
      <c r="I300" s="7"/>
    </row>
    <row r="301" spans="1:9" x14ac:dyDescent="0.3">
      <c r="A301" s="6"/>
      <c r="B301" s="3"/>
      <c r="C301" s="3" t="s">
        <v>645</v>
      </c>
      <c r="D301" s="3"/>
      <c r="E301" s="11"/>
      <c r="F301" s="3"/>
      <c r="G301" s="3"/>
      <c r="H301" s="3"/>
      <c r="I301" s="7"/>
    </row>
    <row r="302" spans="1:9" x14ac:dyDescent="0.3">
      <c r="A302" s="6"/>
      <c r="B302" s="3"/>
      <c r="C302" s="3" t="s">
        <v>646</v>
      </c>
      <c r="D302" s="3"/>
      <c r="E302" s="11"/>
      <c r="F302" s="3"/>
      <c r="G302" s="3"/>
      <c r="H302" s="3"/>
      <c r="I302" s="7"/>
    </row>
    <row r="303" spans="1:9" x14ac:dyDescent="0.3">
      <c r="A303" s="6"/>
      <c r="B303" s="3"/>
      <c r="C303" s="3" t="s">
        <v>647</v>
      </c>
      <c r="D303" s="3"/>
      <c r="E303" s="11"/>
      <c r="F303" s="3"/>
      <c r="G303" s="3"/>
      <c r="H303" s="3"/>
      <c r="I303" s="7"/>
    </row>
    <row r="304" spans="1:9" x14ac:dyDescent="0.3">
      <c r="A304" s="6"/>
      <c r="B304" s="3"/>
      <c r="C304" s="3" t="s">
        <v>648</v>
      </c>
      <c r="D304" s="3"/>
      <c r="E304" s="11"/>
      <c r="F304" s="3"/>
      <c r="G304" s="3"/>
      <c r="H304" s="3"/>
      <c r="I304" s="7"/>
    </row>
    <row r="305" spans="1:9" x14ac:dyDescent="0.3">
      <c r="A305" s="6"/>
      <c r="B305" s="3"/>
      <c r="C305" s="3" t="s">
        <v>649</v>
      </c>
      <c r="D305" s="3"/>
      <c r="E305" s="11"/>
      <c r="F305" s="3"/>
      <c r="G305" s="3"/>
      <c r="H305" s="3"/>
      <c r="I305" s="7"/>
    </row>
    <row r="306" spans="1:9" x14ac:dyDescent="0.3">
      <c r="A306" s="6"/>
      <c r="B306" s="3"/>
      <c r="C306" s="3" t="s">
        <v>650</v>
      </c>
      <c r="D306" s="3"/>
      <c r="E306" s="11"/>
      <c r="F306" s="3"/>
      <c r="G306" s="3"/>
      <c r="H306" s="3"/>
      <c r="I306" s="7"/>
    </row>
    <row r="307" spans="1:9" x14ac:dyDescent="0.3">
      <c r="A307" s="6"/>
      <c r="B307" s="3"/>
      <c r="C307" s="3" t="s">
        <v>651</v>
      </c>
      <c r="D307" s="3"/>
      <c r="E307" s="11"/>
      <c r="F307" s="3"/>
      <c r="G307" s="3"/>
      <c r="H307" s="3"/>
      <c r="I307" s="7"/>
    </row>
    <row r="308" spans="1:9" x14ac:dyDescent="0.3">
      <c r="A308" s="6"/>
      <c r="B308" s="3"/>
      <c r="C308" s="3" t="s">
        <v>652</v>
      </c>
      <c r="D308" s="3"/>
      <c r="E308" s="11"/>
      <c r="F308" s="3"/>
      <c r="G308" s="3"/>
      <c r="H308" s="3"/>
      <c r="I308" s="7"/>
    </row>
    <row r="309" spans="1:9" x14ac:dyDescent="0.3">
      <c r="A309" s="6"/>
      <c r="B309" s="3"/>
      <c r="C309" s="3" t="s">
        <v>653</v>
      </c>
      <c r="D309" s="3"/>
      <c r="E309" s="11"/>
      <c r="F309" s="3"/>
      <c r="G309" s="3"/>
      <c r="H309" s="3"/>
      <c r="I309" s="7"/>
    </row>
    <row r="310" spans="1:9" x14ac:dyDescent="0.3">
      <c r="A310" s="6"/>
      <c r="B310" s="3"/>
      <c r="C310" s="3" t="s">
        <v>654</v>
      </c>
      <c r="D310" s="3"/>
      <c r="E310" s="11"/>
      <c r="F310" s="3"/>
      <c r="G310" s="3"/>
      <c r="H310" s="3"/>
      <c r="I310" s="7"/>
    </row>
    <row r="311" spans="1:9" x14ac:dyDescent="0.3">
      <c r="A311" s="6"/>
      <c r="B311" s="3"/>
      <c r="C311" s="3" t="s">
        <v>655</v>
      </c>
      <c r="D311" s="3"/>
      <c r="E311" s="11"/>
      <c r="F311" s="3"/>
      <c r="G311" s="3"/>
      <c r="H311" s="3"/>
      <c r="I311" s="7"/>
    </row>
    <row r="312" spans="1:9" x14ac:dyDescent="0.3">
      <c r="A312" s="6"/>
      <c r="B312" s="3"/>
      <c r="C312" s="3" t="s">
        <v>656</v>
      </c>
      <c r="D312" s="3"/>
      <c r="E312" s="11"/>
      <c r="F312" s="3"/>
      <c r="G312" s="3"/>
      <c r="H312" s="3"/>
      <c r="I312" s="7"/>
    </row>
    <row r="313" spans="1:9" x14ac:dyDescent="0.3">
      <c r="A313" s="6"/>
      <c r="B313" s="3"/>
      <c r="C313" s="3" t="s">
        <v>657</v>
      </c>
      <c r="D313" s="3"/>
      <c r="E313" s="11"/>
      <c r="F313" s="3"/>
      <c r="G313" s="3"/>
      <c r="H313" s="3"/>
      <c r="I313" s="7"/>
    </row>
    <row r="314" spans="1:9" x14ac:dyDescent="0.3">
      <c r="A314" s="6"/>
      <c r="B314" s="3"/>
      <c r="C314" s="3" t="s">
        <v>658</v>
      </c>
      <c r="D314" s="3"/>
      <c r="E314" s="11"/>
      <c r="F314" s="3"/>
      <c r="G314" s="3"/>
      <c r="H314" s="3"/>
      <c r="I314" s="7"/>
    </row>
    <row r="315" spans="1:9" x14ac:dyDescent="0.3">
      <c r="A315" s="6"/>
      <c r="B315" s="3"/>
      <c r="C315" s="3" t="s">
        <v>659</v>
      </c>
      <c r="D315" s="3"/>
      <c r="E315" s="11"/>
      <c r="F315" s="3"/>
      <c r="G315" s="3"/>
      <c r="H315" s="3"/>
      <c r="I315" s="7"/>
    </row>
    <row r="316" spans="1:9" x14ac:dyDescent="0.3">
      <c r="A316" s="6"/>
      <c r="B316" s="3"/>
      <c r="C316" s="3" t="s">
        <v>660</v>
      </c>
      <c r="D316" s="3"/>
      <c r="E316" s="11"/>
      <c r="F316" s="3"/>
      <c r="G316" s="3"/>
      <c r="H316" s="3"/>
      <c r="I316" s="7"/>
    </row>
    <row r="317" spans="1:9" x14ac:dyDescent="0.3">
      <c r="A317" s="6"/>
      <c r="B317" s="3"/>
      <c r="C317" s="3" t="s">
        <v>661</v>
      </c>
      <c r="D317" s="3"/>
      <c r="E317" s="11"/>
      <c r="F317" s="3"/>
      <c r="G317" s="3"/>
      <c r="H317" s="3"/>
      <c r="I317" s="7"/>
    </row>
    <row r="318" spans="1:9" x14ac:dyDescent="0.3">
      <c r="A318" s="6"/>
      <c r="B318" s="3"/>
      <c r="C318" s="3" t="s">
        <v>662</v>
      </c>
      <c r="D318" s="3"/>
      <c r="E318" s="11"/>
      <c r="F318" s="3"/>
      <c r="G318" s="3"/>
      <c r="H318" s="3"/>
      <c r="I318" s="7"/>
    </row>
    <row r="319" spans="1:9" x14ac:dyDescent="0.3">
      <c r="A319" s="6"/>
      <c r="B319" s="3"/>
      <c r="C319" s="3" t="s">
        <v>663</v>
      </c>
      <c r="D319" s="3"/>
      <c r="E319" s="11"/>
      <c r="F319" s="3"/>
      <c r="G319" s="3"/>
      <c r="H319" s="3"/>
      <c r="I319" s="7"/>
    </row>
    <row r="320" spans="1:9" x14ac:dyDescent="0.3">
      <c r="A320" s="6"/>
      <c r="B320" s="3"/>
      <c r="C320" s="3" t="s">
        <v>664</v>
      </c>
      <c r="D320" s="3"/>
      <c r="E320" s="11"/>
      <c r="F320" s="3"/>
      <c r="G320" s="3"/>
      <c r="H320" s="3"/>
      <c r="I320" s="7"/>
    </row>
    <row r="321" spans="1:9" x14ac:dyDescent="0.3">
      <c r="A321" s="6"/>
      <c r="B321" s="3"/>
      <c r="C321" s="3" t="s">
        <v>665</v>
      </c>
      <c r="D321" s="3"/>
      <c r="E321" s="11"/>
      <c r="F321" s="3"/>
      <c r="G321" s="3"/>
      <c r="H321" s="3"/>
      <c r="I321" s="7"/>
    </row>
    <row r="322" spans="1:9" x14ac:dyDescent="0.3">
      <c r="A322" s="6"/>
      <c r="B322" s="3"/>
      <c r="C322" s="3" t="s">
        <v>666</v>
      </c>
      <c r="D322" s="3"/>
      <c r="E322" s="11"/>
      <c r="F322" s="3"/>
      <c r="G322" s="3"/>
      <c r="H322" s="3"/>
      <c r="I322" s="7"/>
    </row>
    <row r="323" spans="1:9" x14ac:dyDescent="0.3">
      <c r="A323" s="6"/>
      <c r="B323" s="3"/>
      <c r="C323" s="3" t="s">
        <v>667</v>
      </c>
      <c r="D323" s="3"/>
      <c r="E323" s="11"/>
      <c r="F323" s="3"/>
      <c r="G323" s="3"/>
      <c r="H323" s="3"/>
      <c r="I323" s="7"/>
    </row>
    <row r="324" spans="1:9" x14ac:dyDescent="0.3">
      <c r="A324" s="6"/>
      <c r="B324" s="3"/>
      <c r="C324" s="3" t="s">
        <v>668</v>
      </c>
      <c r="D324" s="3"/>
      <c r="E324" s="11"/>
      <c r="F324" s="3"/>
      <c r="G324" s="3"/>
      <c r="H324" s="3"/>
      <c r="I324" s="7"/>
    </row>
    <row r="325" spans="1:9" x14ac:dyDescent="0.3">
      <c r="A325" s="6"/>
      <c r="B325" s="3"/>
      <c r="C325" s="3" t="s">
        <v>669</v>
      </c>
      <c r="D325" s="3"/>
      <c r="E325" s="11"/>
      <c r="F325" s="3"/>
      <c r="G325" s="3"/>
      <c r="H325" s="3"/>
      <c r="I325" s="7"/>
    </row>
    <row r="326" spans="1:9" x14ac:dyDescent="0.3">
      <c r="A326" s="6"/>
      <c r="B326" s="3"/>
      <c r="C326" s="3" t="s">
        <v>670</v>
      </c>
      <c r="D326" s="3"/>
      <c r="E326" s="11"/>
      <c r="F326" s="3"/>
      <c r="G326" s="3"/>
      <c r="H326" s="3"/>
      <c r="I326" s="7"/>
    </row>
    <row r="327" spans="1:9" x14ac:dyDescent="0.3">
      <c r="A327" s="6"/>
      <c r="B327" s="3"/>
      <c r="C327" s="3" t="s">
        <v>671</v>
      </c>
      <c r="D327" s="3"/>
      <c r="E327" s="11"/>
      <c r="F327" s="3"/>
      <c r="G327" s="3"/>
      <c r="H327" s="3"/>
      <c r="I327" s="7"/>
    </row>
    <row r="328" spans="1:9" x14ac:dyDescent="0.3">
      <c r="A328" s="6"/>
      <c r="B328" s="3"/>
      <c r="C328" s="3" t="s">
        <v>672</v>
      </c>
      <c r="D328" s="3"/>
      <c r="E328" s="11"/>
      <c r="F328" s="3"/>
      <c r="G328" s="3"/>
      <c r="H328" s="3"/>
      <c r="I328" s="7"/>
    </row>
    <row r="329" spans="1:9" x14ac:dyDescent="0.3">
      <c r="A329" s="6"/>
      <c r="B329" s="3"/>
      <c r="C329" s="3" t="s">
        <v>673</v>
      </c>
      <c r="D329" s="3"/>
      <c r="E329" s="11"/>
      <c r="F329" s="3"/>
      <c r="G329" s="3"/>
      <c r="H329" s="3"/>
      <c r="I329" s="7"/>
    </row>
    <row r="330" spans="1:9" x14ac:dyDescent="0.3">
      <c r="A330" s="6"/>
      <c r="B330" s="3"/>
      <c r="C330" s="3" t="s">
        <v>674</v>
      </c>
      <c r="D330" s="3"/>
      <c r="E330" s="11"/>
      <c r="F330" s="3"/>
      <c r="G330" s="3"/>
      <c r="H330" s="3"/>
      <c r="I330" s="7"/>
    </row>
    <row r="331" spans="1:9" x14ac:dyDescent="0.3">
      <c r="A331" s="6"/>
      <c r="B331" s="3"/>
      <c r="C331" s="3" t="s">
        <v>675</v>
      </c>
      <c r="D331" s="3"/>
      <c r="E331" s="11"/>
      <c r="F331" s="3"/>
      <c r="G331" s="3"/>
      <c r="H331" s="3"/>
      <c r="I331" s="7"/>
    </row>
    <row r="332" spans="1:9" x14ac:dyDescent="0.3">
      <c r="A332" s="6"/>
      <c r="B332" s="3"/>
      <c r="C332" s="3" t="s">
        <v>676</v>
      </c>
      <c r="D332" s="3"/>
      <c r="E332" s="11"/>
      <c r="F332" s="3"/>
      <c r="G332" s="3"/>
      <c r="H332" s="3"/>
      <c r="I332" s="7"/>
    </row>
    <row r="333" spans="1:9" x14ac:dyDescent="0.3">
      <c r="A333" s="6"/>
      <c r="B333" s="3"/>
      <c r="C333" s="3" t="s">
        <v>677</v>
      </c>
      <c r="D333" s="3"/>
      <c r="E333" s="11"/>
      <c r="F333" s="3"/>
      <c r="G333" s="3"/>
      <c r="H333" s="3"/>
      <c r="I333" s="7"/>
    </row>
    <row r="334" spans="1:9" x14ac:dyDescent="0.3">
      <c r="A334" s="6"/>
      <c r="B334" s="3"/>
      <c r="C334" s="3" t="s">
        <v>678</v>
      </c>
      <c r="D334" s="3"/>
      <c r="E334" s="11"/>
      <c r="F334" s="3"/>
      <c r="G334" s="3"/>
      <c r="H334" s="3"/>
      <c r="I334" s="7"/>
    </row>
    <row r="335" spans="1:9" x14ac:dyDescent="0.3">
      <c r="A335" s="6"/>
      <c r="B335" s="3"/>
      <c r="C335" s="3" t="s">
        <v>679</v>
      </c>
      <c r="D335" s="3"/>
      <c r="E335" s="11"/>
      <c r="F335" s="3"/>
      <c r="G335" s="3"/>
      <c r="H335" s="3"/>
      <c r="I335" s="7"/>
    </row>
    <row r="336" spans="1:9" x14ac:dyDescent="0.3">
      <c r="A336" s="6"/>
      <c r="B336" s="3"/>
      <c r="C336" s="3" t="s">
        <v>680</v>
      </c>
      <c r="D336" s="3"/>
      <c r="E336" s="11"/>
      <c r="F336" s="3"/>
      <c r="G336" s="3"/>
      <c r="H336" s="3"/>
      <c r="I336" s="7"/>
    </row>
    <row r="337" spans="1:9" x14ac:dyDescent="0.3">
      <c r="A337" s="6"/>
      <c r="B337" s="3"/>
      <c r="C337" s="3" t="s">
        <v>681</v>
      </c>
      <c r="D337" s="3"/>
      <c r="E337" s="11"/>
      <c r="F337" s="3"/>
      <c r="G337" s="3"/>
      <c r="H337" s="3"/>
      <c r="I337" s="7"/>
    </row>
    <row r="338" spans="1:9" x14ac:dyDescent="0.3">
      <c r="A338" s="6"/>
      <c r="B338" s="3"/>
      <c r="C338" s="3" t="s">
        <v>682</v>
      </c>
      <c r="D338" s="3"/>
      <c r="E338" s="11"/>
      <c r="F338" s="3"/>
      <c r="G338" s="3"/>
      <c r="H338" s="3"/>
      <c r="I338" s="7"/>
    </row>
    <row r="339" spans="1:9" x14ac:dyDescent="0.3">
      <c r="A339" s="6"/>
      <c r="B339" s="3"/>
      <c r="C339" s="3" t="s">
        <v>683</v>
      </c>
      <c r="D339" s="3"/>
      <c r="E339" s="11"/>
      <c r="F339" s="3"/>
      <c r="G339" s="3"/>
      <c r="H339" s="3"/>
      <c r="I339" s="7"/>
    </row>
    <row r="340" spans="1:9" x14ac:dyDescent="0.3">
      <c r="A340" s="6"/>
      <c r="B340" s="3"/>
      <c r="C340" s="3" t="s">
        <v>684</v>
      </c>
      <c r="D340" s="3"/>
      <c r="E340" s="11"/>
      <c r="F340" s="3"/>
      <c r="G340" s="3"/>
      <c r="H340" s="3"/>
      <c r="I340" s="7"/>
    </row>
    <row r="341" spans="1:9" x14ac:dyDescent="0.3">
      <c r="A341" s="6"/>
      <c r="B341" s="3"/>
      <c r="C341" s="3" t="s">
        <v>685</v>
      </c>
      <c r="D341" s="3"/>
      <c r="E341" s="11"/>
      <c r="F341" s="3"/>
      <c r="G341" s="3"/>
      <c r="H341" s="3"/>
      <c r="I341" s="7"/>
    </row>
    <row r="342" spans="1:9" x14ac:dyDescent="0.3">
      <c r="A342" s="6"/>
      <c r="B342" s="3"/>
      <c r="C342" s="3" t="s">
        <v>686</v>
      </c>
      <c r="D342" s="3"/>
      <c r="E342" s="11"/>
      <c r="F342" s="3"/>
      <c r="G342" s="3"/>
      <c r="H342" s="3"/>
      <c r="I342" s="7"/>
    </row>
    <row r="343" spans="1:9" x14ac:dyDescent="0.3">
      <c r="A343" s="6"/>
      <c r="B343" s="3"/>
      <c r="C343" s="3" t="s">
        <v>687</v>
      </c>
      <c r="D343" s="3"/>
      <c r="E343" s="11"/>
      <c r="F343" s="3"/>
      <c r="G343" s="3"/>
      <c r="H343" s="3"/>
      <c r="I343" s="7"/>
    </row>
    <row r="344" spans="1:9" x14ac:dyDescent="0.3">
      <c r="A344" s="6"/>
      <c r="B344" s="3"/>
      <c r="C344" s="3" t="s">
        <v>688</v>
      </c>
      <c r="D344" s="3"/>
      <c r="E344" s="11"/>
      <c r="F344" s="3"/>
      <c r="G344" s="3"/>
      <c r="H344" s="3"/>
      <c r="I344" s="7"/>
    </row>
    <row r="345" spans="1:9" x14ac:dyDescent="0.3">
      <c r="A345" s="6"/>
      <c r="B345" s="3"/>
      <c r="C345" s="3" t="s">
        <v>689</v>
      </c>
      <c r="D345" s="3"/>
      <c r="E345" s="11"/>
      <c r="F345" s="3"/>
      <c r="G345" s="3"/>
      <c r="H345" s="3"/>
      <c r="I345" s="7"/>
    </row>
    <row r="346" spans="1:9" x14ac:dyDescent="0.3">
      <c r="A346" s="6"/>
      <c r="B346" s="3"/>
      <c r="C346" s="3" t="s">
        <v>690</v>
      </c>
      <c r="D346" s="3"/>
      <c r="E346" s="11"/>
      <c r="F346" s="3"/>
      <c r="G346" s="3"/>
      <c r="H346" s="3"/>
      <c r="I346" s="7"/>
    </row>
    <row r="347" spans="1:9" x14ac:dyDescent="0.3">
      <c r="A347" s="6"/>
      <c r="B347" s="3"/>
      <c r="C347" s="3" t="s">
        <v>691</v>
      </c>
      <c r="D347" s="3"/>
      <c r="E347" s="11"/>
      <c r="F347" s="3"/>
      <c r="G347" s="3"/>
      <c r="H347" s="3"/>
      <c r="I347" s="7"/>
    </row>
    <row r="348" spans="1:9" x14ac:dyDescent="0.3">
      <c r="A348" s="6"/>
      <c r="B348" s="3"/>
      <c r="C348" s="3" t="s">
        <v>692</v>
      </c>
      <c r="D348" s="3"/>
      <c r="E348" s="11"/>
      <c r="F348" s="3"/>
      <c r="G348" s="3"/>
      <c r="H348" s="3"/>
      <c r="I348" s="7"/>
    </row>
    <row r="349" spans="1:9" x14ac:dyDescent="0.3">
      <c r="A349" s="6"/>
      <c r="B349" s="3"/>
      <c r="C349" s="3" t="s">
        <v>693</v>
      </c>
      <c r="D349" s="3"/>
      <c r="E349" s="11"/>
      <c r="F349" s="3"/>
      <c r="G349" s="3"/>
      <c r="H349" s="3"/>
      <c r="I349" s="7"/>
    </row>
    <row r="350" spans="1:9" x14ac:dyDescent="0.3">
      <c r="A350" s="6"/>
      <c r="B350" s="3"/>
      <c r="C350" s="3" t="s">
        <v>694</v>
      </c>
      <c r="D350" s="3"/>
      <c r="E350" s="11"/>
      <c r="F350" s="3"/>
      <c r="G350" s="3"/>
      <c r="H350" s="3"/>
      <c r="I350" s="7"/>
    </row>
    <row r="351" spans="1:9" x14ac:dyDescent="0.3">
      <c r="A351" s="6"/>
      <c r="B351" s="3"/>
      <c r="C351" s="3" t="s">
        <v>695</v>
      </c>
      <c r="D351" s="3"/>
      <c r="E351" s="11"/>
      <c r="F351" s="3"/>
      <c r="G351" s="3"/>
      <c r="H351" s="3"/>
      <c r="I351" s="7"/>
    </row>
    <row r="352" spans="1:9" x14ac:dyDescent="0.3">
      <c r="A352" s="6"/>
      <c r="B352" s="3"/>
      <c r="C352" s="3" t="s">
        <v>696</v>
      </c>
      <c r="D352" s="3"/>
      <c r="E352" s="11"/>
      <c r="F352" s="3"/>
      <c r="G352" s="3"/>
      <c r="H352" s="3"/>
      <c r="I352" s="7"/>
    </row>
    <row r="353" spans="1:9" x14ac:dyDescent="0.3">
      <c r="A353" s="6"/>
      <c r="B353" s="3"/>
      <c r="C353" s="3" t="s">
        <v>697</v>
      </c>
      <c r="D353" s="3"/>
      <c r="E353" s="11"/>
      <c r="F353" s="3"/>
      <c r="G353" s="3"/>
      <c r="H353" s="3"/>
      <c r="I353" s="7"/>
    </row>
    <row r="354" spans="1:9" x14ac:dyDescent="0.3">
      <c r="A354" s="6"/>
      <c r="B354" s="3"/>
      <c r="C354" s="3" t="s">
        <v>698</v>
      </c>
      <c r="D354" s="3"/>
      <c r="E354" s="11"/>
      <c r="F354" s="3"/>
      <c r="G354" s="3"/>
      <c r="H354" s="3"/>
      <c r="I354" s="7"/>
    </row>
    <row r="355" spans="1:9" x14ac:dyDescent="0.3">
      <c r="A355" s="6"/>
      <c r="B355" s="3"/>
      <c r="C355" s="3" t="s">
        <v>699</v>
      </c>
      <c r="D355" s="3"/>
      <c r="E355" s="11"/>
      <c r="F355" s="3"/>
      <c r="G355" s="3"/>
      <c r="H355" s="3"/>
      <c r="I355" s="7"/>
    </row>
    <row r="356" spans="1:9" x14ac:dyDescent="0.3">
      <c r="A356" s="6"/>
      <c r="B356" s="3"/>
      <c r="C356" s="3" t="s">
        <v>700</v>
      </c>
      <c r="D356" s="3"/>
      <c r="E356" s="11"/>
      <c r="F356" s="3"/>
      <c r="G356" s="3"/>
      <c r="H356" s="3"/>
      <c r="I356" s="7"/>
    </row>
    <row r="357" spans="1:9" x14ac:dyDescent="0.3">
      <c r="A357" s="6"/>
      <c r="B357" s="3"/>
      <c r="C357" s="3" t="s">
        <v>701</v>
      </c>
      <c r="D357" s="3"/>
      <c r="E357" s="11"/>
      <c r="F357" s="3"/>
      <c r="G357" s="3"/>
      <c r="H357" s="3"/>
      <c r="I357" s="7"/>
    </row>
    <row r="358" spans="1:9" x14ac:dyDescent="0.3">
      <c r="A358" s="6"/>
      <c r="B358" s="3"/>
      <c r="C358" s="3" t="s">
        <v>702</v>
      </c>
      <c r="D358" s="3"/>
      <c r="E358" s="11"/>
      <c r="F358" s="3"/>
      <c r="G358" s="3"/>
      <c r="H358" s="3"/>
      <c r="I358" s="7"/>
    </row>
    <row r="359" spans="1:9" x14ac:dyDescent="0.3">
      <c r="A359" s="6"/>
      <c r="B359" s="3"/>
      <c r="C359" s="3" t="s">
        <v>703</v>
      </c>
      <c r="D359" s="3"/>
      <c r="E359" s="11"/>
      <c r="F359" s="3"/>
      <c r="G359" s="3"/>
      <c r="H359" s="3"/>
      <c r="I359" s="7"/>
    </row>
    <row r="360" spans="1:9" x14ac:dyDescent="0.3">
      <c r="A360" s="6"/>
      <c r="B360" s="3"/>
      <c r="C360" s="3" t="s">
        <v>704</v>
      </c>
      <c r="D360" s="3"/>
      <c r="E360" s="11"/>
      <c r="F360" s="3"/>
      <c r="G360" s="3"/>
      <c r="H360" s="3"/>
      <c r="I360" s="7"/>
    </row>
    <row r="361" spans="1:9" x14ac:dyDescent="0.3">
      <c r="A361" s="6"/>
      <c r="B361" s="3"/>
      <c r="C361" s="3" t="s">
        <v>705</v>
      </c>
      <c r="D361" s="3"/>
      <c r="E361" s="11"/>
      <c r="F361" s="3"/>
      <c r="G361" s="3"/>
      <c r="H361" s="3"/>
      <c r="I361" s="7"/>
    </row>
    <row r="362" spans="1:9" x14ac:dyDescent="0.3">
      <c r="A362" s="6"/>
      <c r="B362" s="3"/>
      <c r="C362" s="3" t="s">
        <v>706</v>
      </c>
      <c r="D362" s="3"/>
      <c r="E362" s="11"/>
      <c r="F362" s="3"/>
      <c r="G362" s="3"/>
      <c r="H362" s="3"/>
      <c r="I362" s="7"/>
    </row>
    <row r="363" spans="1:9" x14ac:dyDescent="0.3">
      <c r="A363" s="6"/>
      <c r="B363" s="3"/>
      <c r="C363" s="3" t="s">
        <v>707</v>
      </c>
      <c r="D363" s="3"/>
      <c r="E363" s="11"/>
      <c r="F363" s="3"/>
      <c r="G363" s="3"/>
      <c r="H363" s="3"/>
      <c r="I363" s="7"/>
    </row>
    <row r="364" spans="1:9" x14ac:dyDescent="0.3">
      <c r="A364" s="6"/>
      <c r="B364" s="3"/>
      <c r="C364" s="3" t="s">
        <v>708</v>
      </c>
      <c r="D364" s="3"/>
      <c r="E364" s="11"/>
      <c r="F364" s="3"/>
      <c r="G364" s="3"/>
      <c r="H364" s="3"/>
      <c r="I364" s="7"/>
    </row>
    <row r="365" spans="1:9" x14ac:dyDescent="0.3">
      <c r="A365" s="6"/>
      <c r="B365" s="3"/>
      <c r="C365" s="3" t="s">
        <v>709</v>
      </c>
      <c r="D365" s="3"/>
      <c r="E365" s="11"/>
      <c r="F365" s="3"/>
      <c r="G365" s="3"/>
      <c r="H365" s="3"/>
      <c r="I365" s="7"/>
    </row>
    <row r="366" spans="1:9" x14ac:dyDescent="0.3">
      <c r="A366" s="6"/>
      <c r="B366" s="3"/>
      <c r="C366" s="3" t="s">
        <v>710</v>
      </c>
      <c r="D366" s="3"/>
      <c r="E366" s="11"/>
      <c r="F366" s="3"/>
      <c r="G366" s="3"/>
      <c r="H366" s="3"/>
      <c r="I366" s="7"/>
    </row>
    <row r="367" spans="1:9" x14ac:dyDescent="0.3">
      <c r="A367" s="6"/>
      <c r="B367" s="3"/>
      <c r="C367" s="3" t="s">
        <v>711</v>
      </c>
      <c r="D367" s="3"/>
      <c r="E367" s="11"/>
      <c r="F367" s="3"/>
      <c r="G367" s="3"/>
      <c r="H367" s="3"/>
      <c r="I367" s="7"/>
    </row>
    <row r="368" spans="1:9" x14ac:dyDescent="0.3">
      <c r="A368" s="6"/>
      <c r="B368" s="3"/>
      <c r="C368" s="3" t="s">
        <v>712</v>
      </c>
      <c r="D368" s="3"/>
      <c r="E368" s="11"/>
      <c r="F368" s="3"/>
      <c r="G368" s="3"/>
      <c r="H368" s="3"/>
      <c r="I368" s="7"/>
    </row>
    <row r="369" spans="1:9" x14ac:dyDescent="0.3">
      <c r="A369" s="6"/>
      <c r="B369" s="3"/>
      <c r="C369" s="3" t="s">
        <v>713</v>
      </c>
      <c r="D369" s="3"/>
      <c r="E369" s="11"/>
      <c r="F369" s="3"/>
      <c r="G369" s="3"/>
      <c r="H369" s="3"/>
      <c r="I369" s="7"/>
    </row>
    <row r="370" spans="1:9" x14ac:dyDescent="0.3">
      <c r="A370" s="6"/>
      <c r="B370" s="3"/>
      <c r="C370" s="3" t="s">
        <v>714</v>
      </c>
      <c r="D370" s="3"/>
      <c r="E370" s="11"/>
      <c r="F370" s="3"/>
      <c r="G370" s="3"/>
      <c r="H370" s="3"/>
      <c r="I370" s="7"/>
    </row>
    <row r="371" spans="1:9" x14ac:dyDescent="0.3">
      <c r="A371" s="6"/>
      <c r="B371" s="3"/>
      <c r="C371" s="3" t="s">
        <v>715</v>
      </c>
      <c r="D371" s="3"/>
      <c r="E371" s="11"/>
      <c r="F371" s="3"/>
      <c r="G371" s="3"/>
      <c r="H371" s="3"/>
      <c r="I371" s="7"/>
    </row>
    <row r="372" spans="1:9" x14ac:dyDescent="0.3">
      <c r="A372" s="6"/>
      <c r="B372" s="3"/>
      <c r="C372" s="3" t="s">
        <v>716</v>
      </c>
      <c r="D372" s="3"/>
      <c r="E372" s="11"/>
      <c r="F372" s="3"/>
      <c r="G372" s="3"/>
      <c r="H372" s="3"/>
      <c r="I372" s="7"/>
    </row>
    <row r="373" spans="1:9" x14ac:dyDescent="0.3">
      <c r="A373" s="6"/>
      <c r="B373" s="3"/>
      <c r="C373" s="3" t="s">
        <v>717</v>
      </c>
      <c r="D373" s="3"/>
      <c r="E373" s="11"/>
      <c r="F373" s="3"/>
      <c r="G373" s="3"/>
      <c r="H373" s="3"/>
      <c r="I373" s="7"/>
    </row>
    <row r="374" spans="1:9" x14ac:dyDescent="0.3">
      <c r="A374" s="6"/>
      <c r="B374" s="3"/>
      <c r="C374" s="3" t="s">
        <v>718</v>
      </c>
      <c r="D374" s="3"/>
      <c r="E374" s="11"/>
      <c r="F374" s="3"/>
      <c r="G374" s="3"/>
      <c r="H374" s="3"/>
      <c r="I374" s="7"/>
    </row>
    <row r="375" spans="1:9" x14ac:dyDescent="0.3">
      <c r="A375" s="6"/>
      <c r="B375" s="3"/>
      <c r="C375" s="3" t="s">
        <v>719</v>
      </c>
      <c r="D375" s="3"/>
      <c r="E375" s="11"/>
      <c r="F375" s="3"/>
      <c r="G375" s="3"/>
      <c r="H375" s="3"/>
      <c r="I375" s="7"/>
    </row>
    <row r="376" spans="1:9" x14ac:dyDescent="0.3">
      <c r="A376" s="6"/>
      <c r="B376" s="3"/>
      <c r="C376" s="3" t="s">
        <v>720</v>
      </c>
      <c r="D376" s="3"/>
      <c r="E376" s="11"/>
      <c r="F376" s="3"/>
      <c r="G376" s="3"/>
      <c r="H376" s="3"/>
      <c r="I376" s="7"/>
    </row>
    <row r="377" spans="1:9" x14ac:dyDescent="0.3">
      <c r="A377" s="6"/>
      <c r="B377" s="3"/>
      <c r="C377" s="3" t="s">
        <v>721</v>
      </c>
      <c r="D377" s="3"/>
      <c r="E377" s="11"/>
      <c r="F377" s="3"/>
      <c r="G377" s="3"/>
      <c r="H377" s="3"/>
      <c r="I377" s="7"/>
    </row>
    <row r="378" spans="1:9" x14ac:dyDescent="0.3">
      <c r="A378" s="6"/>
      <c r="B378" s="3"/>
      <c r="C378" s="3" t="s">
        <v>722</v>
      </c>
      <c r="D378" s="3"/>
      <c r="E378" s="11"/>
      <c r="F378" s="3"/>
      <c r="G378" s="3"/>
      <c r="H378" s="3"/>
      <c r="I378" s="7"/>
    </row>
    <row r="379" spans="1:9" x14ac:dyDescent="0.3">
      <c r="A379" s="6"/>
      <c r="B379" s="3"/>
      <c r="C379" s="3" t="s">
        <v>723</v>
      </c>
      <c r="D379" s="3"/>
      <c r="E379" s="11"/>
      <c r="F379" s="3"/>
      <c r="G379" s="3"/>
      <c r="H379" s="3"/>
      <c r="I379" s="7"/>
    </row>
    <row r="380" spans="1:9" x14ac:dyDescent="0.3">
      <c r="A380" s="6"/>
      <c r="B380" s="3"/>
      <c r="C380" s="3" t="s">
        <v>724</v>
      </c>
      <c r="D380" s="3"/>
      <c r="E380" s="11"/>
      <c r="F380" s="3"/>
      <c r="G380" s="3"/>
      <c r="H380" s="3"/>
      <c r="I380" s="7"/>
    </row>
    <row r="381" spans="1:9" x14ac:dyDescent="0.3">
      <c r="A381" s="6"/>
      <c r="B381" s="3"/>
      <c r="C381" s="3" t="s">
        <v>725</v>
      </c>
      <c r="D381" s="3"/>
      <c r="E381" s="11"/>
      <c r="F381" s="3"/>
      <c r="G381" s="3"/>
      <c r="H381" s="3"/>
      <c r="I381" s="7"/>
    </row>
    <row r="382" spans="1:9" x14ac:dyDescent="0.3">
      <c r="A382" s="6"/>
      <c r="B382" s="3"/>
      <c r="C382" s="3" t="s">
        <v>726</v>
      </c>
      <c r="D382" s="3"/>
      <c r="E382" s="11"/>
      <c r="F382" s="3"/>
      <c r="G382" s="3"/>
      <c r="H382" s="3"/>
      <c r="I382" s="7"/>
    </row>
    <row r="383" spans="1:9" x14ac:dyDescent="0.3">
      <c r="A383" s="6"/>
      <c r="B383" s="3"/>
      <c r="C383" s="3" t="s">
        <v>727</v>
      </c>
      <c r="D383" s="3"/>
      <c r="E383" s="11"/>
      <c r="F383" s="3"/>
      <c r="G383" s="3"/>
      <c r="H383" s="3"/>
      <c r="I383" s="7"/>
    </row>
    <row r="384" spans="1:9" x14ac:dyDescent="0.3">
      <c r="A384" s="6"/>
      <c r="B384" s="3"/>
      <c r="C384" s="3" t="s">
        <v>728</v>
      </c>
      <c r="D384" s="3"/>
      <c r="E384" s="11"/>
      <c r="F384" s="3"/>
      <c r="G384" s="3"/>
      <c r="H384" s="3"/>
      <c r="I384" s="7"/>
    </row>
    <row r="385" spans="1:9" x14ac:dyDescent="0.3">
      <c r="A385" s="6"/>
      <c r="B385" s="3"/>
      <c r="C385" s="3" t="s">
        <v>729</v>
      </c>
      <c r="D385" s="3"/>
      <c r="E385" s="11"/>
      <c r="F385" s="3"/>
      <c r="G385" s="3"/>
      <c r="H385" s="3"/>
      <c r="I385" s="7"/>
    </row>
    <row r="386" spans="1:9" x14ac:dyDescent="0.3">
      <c r="A386" s="6"/>
      <c r="B386" s="3"/>
      <c r="C386" s="3" t="s">
        <v>730</v>
      </c>
      <c r="D386" s="3"/>
      <c r="E386" s="11"/>
      <c r="F386" s="3"/>
      <c r="G386" s="3"/>
      <c r="H386" s="3"/>
      <c r="I386" s="7"/>
    </row>
    <row r="387" spans="1:9" x14ac:dyDescent="0.3">
      <c r="A387" s="6"/>
      <c r="B387" s="3"/>
      <c r="C387" s="3" t="s">
        <v>731</v>
      </c>
      <c r="D387" s="3"/>
      <c r="E387" s="11"/>
      <c r="F387" s="3"/>
      <c r="G387" s="3"/>
      <c r="H387" s="3"/>
      <c r="I387" s="7"/>
    </row>
    <row r="388" spans="1:9" x14ac:dyDescent="0.3">
      <c r="A388" s="6"/>
      <c r="B388" s="3"/>
      <c r="C388" s="3" t="s">
        <v>732</v>
      </c>
      <c r="D388" s="3"/>
      <c r="E388" s="11"/>
      <c r="F388" s="3"/>
      <c r="G388" s="3"/>
      <c r="H388" s="3"/>
      <c r="I388" s="7"/>
    </row>
    <row r="389" spans="1:9" x14ac:dyDescent="0.3">
      <c r="A389" s="6"/>
      <c r="B389" s="3"/>
      <c r="C389" s="3" t="s">
        <v>733</v>
      </c>
      <c r="D389" s="3"/>
      <c r="E389" s="11"/>
      <c r="F389" s="3"/>
      <c r="G389" s="3"/>
      <c r="H389" s="3"/>
      <c r="I389" s="7"/>
    </row>
    <row r="390" spans="1:9" x14ac:dyDescent="0.3">
      <c r="A390" s="6"/>
      <c r="B390" s="3"/>
      <c r="C390" s="3" t="s">
        <v>734</v>
      </c>
      <c r="D390" s="3"/>
      <c r="E390" s="11"/>
      <c r="F390" s="3"/>
      <c r="G390" s="3"/>
      <c r="H390" s="3"/>
      <c r="I390" s="7"/>
    </row>
    <row r="391" spans="1:9" x14ac:dyDescent="0.3">
      <c r="A391" s="6"/>
      <c r="B391" s="3"/>
      <c r="C391" s="3" t="s">
        <v>735</v>
      </c>
      <c r="D391" s="3"/>
      <c r="E391" s="11"/>
      <c r="F391" s="3"/>
      <c r="G391" s="3"/>
      <c r="H391" s="3"/>
      <c r="I391" s="7"/>
    </row>
    <row r="392" spans="1:9" x14ac:dyDescent="0.3">
      <c r="A392" s="6"/>
      <c r="B392" s="3"/>
      <c r="C392" s="3" t="s">
        <v>736</v>
      </c>
      <c r="D392" s="3"/>
      <c r="E392" s="11"/>
      <c r="F392" s="3"/>
      <c r="G392" s="3"/>
      <c r="H392" s="3"/>
      <c r="I392" s="7"/>
    </row>
    <row r="393" spans="1:9" x14ac:dyDescent="0.3">
      <c r="A393" s="6"/>
      <c r="B393" s="3"/>
      <c r="C393" s="3" t="s">
        <v>737</v>
      </c>
      <c r="D393" s="3"/>
      <c r="E393" s="11"/>
      <c r="F393" s="3"/>
      <c r="G393" s="3"/>
      <c r="H393" s="3"/>
      <c r="I393" s="7"/>
    </row>
    <row r="394" spans="1:9" x14ac:dyDescent="0.3">
      <c r="A394" s="6"/>
      <c r="B394" s="3"/>
      <c r="C394" s="3" t="s">
        <v>738</v>
      </c>
      <c r="D394" s="3"/>
      <c r="E394" s="11"/>
      <c r="F394" s="3"/>
      <c r="G394" s="3"/>
      <c r="H394" s="3"/>
      <c r="I394" s="7"/>
    </row>
    <row r="395" spans="1:9" x14ac:dyDescent="0.3">
      <c r="A395" s="6"/>
      <c r="B395" s="3"/>
      <c r="C395" s="3" t="s">
        <v>739</v>
      </c>
      <c r="D395" s="3"/>
      <c r="E395" s="11"/>
      <c r="F395" s="3"/>
      <c r="G395" s="3"/>
      <c r="H395" s="3"/>
      <c r="I395" s="7"/>
    </row>
    <row r="396" spans="1:9" x14ac:dyDescent="0.3">
      <c r="A396" s="6"/>
      <c r="B396" s="3"/>
      <c r="C396" s="3" t="s">
        <v>740</v>
      </c>
      <c r="D396" s="3"/>
      <c r="E396" s="11"/>
      <c r="F396" s="3"/>
      <c r="G396" s="3"/>
      <c r="H396" s="3"/>
      <c r="I396" s="7"/>
    </row>
    <row r="397" spans="1:9" x14ac:dyDescent="0.3">
      <c r="A397" s="6"/>
      <c r="B397" s="3"/>
      <c r="C397" s="3" t="s">
        <v>741</v>
      </c>
      <c r="D397" s="3"/>
      <c r="E397" s="11"/>
      <c r="F397" s="3"/>
      <c r="G397" s="3"/>
      <c r="H397" s="3"/>
      <c r="I397" s="7"/>
    </row>
    <row r="398" spans="1:9" x14ac:dyDescent="0.3">
      <c r="A398" s="6"/>
      <c r="B398" s="3"/>
      <c r="C398" s="3" t="s">
        <v>742</v>
      </c>
      <c r="D398" s="3"/>
      <c r="E398" s="11"/>
      <c r="F398" s="3"/>
      <c r="G398" s="3"/>
      <c r="H398" s="3"/>
      <c r="I398" s="7"/>
    </row>
    <row r="399" spans="1:9" x14ac:dyDescent="0.3">
      <c r="A399" s="6"/>
      <c r="B399" s="3"/>
      <c r="C399" s="3" t="s">
        <v>743</v>
      </c>
      <c r="D399" s="3"/>
      <c r="E399" s="11"/>
      <c r="F399" s="3"/>
      <c r="G399" s="3"/>
      <c r="H399" s="3"/>
      <c r="I399" s="7"/>
    </row>
    <row r="400" spans="1:9" x14ac:dyDescent="0.3">
      <c r="A400" s="6"/>
      <c r="B400" s="3"/>
      <c r="C400" s="3" t="s">
        <v>744</v>
      </c>
      <c r="D400" s="3"/>
      <c r="E400" s="11"/>
      <c r="F400" s="3"/>
      <c r="G400" s="3"/>
      <c r="H400" s="3"/>
      <c r="I400" s="7"/>
    </row>
    <row r="401" spans="1:9" x14ac:dyDescent="0.3">
      <c r="A401" s="6"/>
      <c r="B401" s="3"/>
      <c r="C401" s="3" t="s">
        <v>745</v>
      </c>
      <c r="D401" s="3"/>
      <c r="E401" s="11"/>
      <c r="F401" s="3"/>
      <c r="G401" s="3"/>
      <c r="H401" s="3"/>
      <c r="I401" s="7"/>
    </row>
    <row r="402" spans="1:9" x14ac:dyDescent="0.3">
      <c r="A402" s="6"/>
      <c r="B402" s="3"/>
      <c r="C402" s="3" t="s">
        <v>746</v>
      </c>
      <c r="D402" s="3"/>
      <c r="E402" s="11"/>
      <c r="F402" s="3"/>
      <c r="G402" s="3"/>
      <c r="H402" s="3"/>
      <c r="I402" s="7"/>
    </row>
    <row r="403" spans="1:9" x14ac:dyDescent="0.3">
      <c r="A403" s="6"/>
      <c r="B403" s="3"/>
      <c r="C403" s="3" t="s">
        <v>747</v>
      </c>
      <c r="D403" s="3"/>
      <c r="E403" s="11"/>
      <c r="F403" s="3"/>
      <c r="G403" s="3"/>
      <c r="H403" s="3"/>
      <c r="I403" s="7"/>
    </row>
    <row r="404" spans="1:9" x14ac:dyDescent="0.3">
      <c r="A404" s="6"/>
      <c r="B404" s="3"/>
      <c r="C404" s="3" t="s">
        <v>748</v>
      </c>
      <c r="D404" s="3"/>
      <c r="E404" s="11"/>
      <c r="F404" s="3"/>
      <c r="G404" s="3"/>
      <c r="H404" s="3"/>
      <c r="I404" s="7"/>
    </row>
    <row r="405" spans="1:9" x14ac:dyDescent="0.3">
      <c r="A405" s="6"/>
      <c r="B405" s="3"/>
      <c r="C405" s="3" t="s">
        <v>749</v>
      </c>
      <c r="D405" s="3"/>
      <c r="E405" s="11"/>
      <c r="F405" s="3"/>
      <c r="G405" s="3"/>
      <c r="H405" s="3"/>
      <c r="I405" s="7"/>
    </row>
    <row r="406" spans="1:9" x14ac:dyDescent="0.3">
      <c r="A406" s="6"/>
      <c r="B406" s="3"/>
      <c r="C406" s="3" t="s">
        <v>750</v>
      </c>
      <c r="D406" s="3"/>
      <c r="E406" s="11"/>
      <c r="F406" s="3"/>
      <c r="G406" s="3"/>
      <c r="H406" s="3"/>
      <c r="I406" s="7"/>
    </row>
    <row r="407" spans="1:9" x14ac:dyDescent="0.3">
      <c r="A407" s="6"/>
      <c r="B407" s="3"/>
      <c r="C407" s="3" t="s">
        <v>751</v>
      </c>
      <c r="D407" s="3"/>
      <c r="E407" s="11"/>
      <c r="F407" s="3"/>
      <c r="G407" s="3"/>
      <c r="H407" s="3"/>
      <c r="I407" s="7"/>
    </row>
    <row r="408" spans="1:9" x14ac:dyDescent="0.3">
      <c r="A408" s="6"/>
      <c r="B408" s="3"/>
      <c r="C408" s="3" t="s">
        <v>752</v>
      </c>
      <c r="D408" s="3"/>
      <c r="E408" s="11"/>
      <c r="F408" s="3"/>
      <c r="G408" s="3"/>
      <c r="H408" s="3"/>
      <c r="I408" s="7"/>
    </row>
    <row r="409" spans="1:9" x14ac:dyDescent="0.3">
      <c r="A409" s="6"/>
      <c r="B409" s="3"/>
      <c r="C409" s="3" t="s">
        <v>753</v>
      </c>
      <c r="D409" s="3"/>
      <c r="E409" s="11"/>
      <c r="F409" s="3"/>
      <c r="G409" s="3"/>
      <c r="H409" s="3"/>
      <c r="I409" s="7"/>
    </row>
    <row r="410" spans="1:9" x14ac:dyDescent="0.3">
      <c r="A410" s="6"/>
      <c r="B410" s="3"/>
      <c r="C410" s="3" t="s">
        <v>754</v>
      </c>
      <c r="D410" s="3"/>
      <c r="E410" s="11"/>
      <c r="F410" s="3"/>
      <c r="G410" s="3"/>
      <c r="H410" s="3"/>
      <c r="I410" s="7"/>
    </row>
    <row r="411" spans="1:9" x14ac:dyDescent="0.3">
      <c r="A411" s="6"/>
      <c r="B411" s="3"/>
      <c r="C411" s="3" t="s">
        <v>755</v>
      </c>
      <c r="D411" s="3"/>
      <c r="E411" s="11"/>
      <c r="F411" s="3"/>
      <c r="G411" s="3"/>
      <c r="H411" s="3"/>
      <c r="I411" s="7"/>
    </row>
    <row r="412" spans="1:9" x14ac:dyDescent="0.3">
      <c r="A412" s="6"/>
      <c r="B412" s="3"/>
      <c r="C412" s="3" t="s">
        <v>756</v>
      </c>
      <c r="D412" s="3"/>
      <c r="E412" s="11"/>
      <c r="F412" s="3"/>
      <c r="G412" s="3"/>
      <c r="H412" s="3"/>
      <c r="I412" s="7"/>
    </row>
    <row r="413" spans="1:9" x14ac:dyDescent="0.3">
      <c r="A413" s="6"/>
      <c r="B413" s="3"/>
      <c r="C413" s="3" t="s">
        <v>757</v>
      </c>
      <c r="D413" s="3"/>
      <c r="E413" s="11"/>
      <c r="F413" s="3"/>
      <c r="G413" s="3"/>
      <c r="H413" s="3"/>
      <c r="I413" s="7"/>
    </row>
    <row r="414" spans="1:9" x14ac:dyDescent="0.3">
      <c r="A414" s="6"/>
      <c r="B414" s="3"/>
      <c r="C414" s="3" t="s">
        <v>758</v>
      </c>
      <c r="D414" s="3"/>
      <c r="E414" s="11"/>
      <c r="F414" s="3"/>
      <c r="G414" s="3"/>
      <c r="H414" s="3"/>
      <c r="I414" s="7"/>
    </row>
    <row r="415" spans="1:9" x14ac:dyDescent="0.3">
      <c r="A415" s="6"/>
      <c r="B415" s="3"/>
      <c r="C415" s="3" t="s">
        <v>759</v>
      </c>
      <c r="D415" s="3"/>
      <c r="E415" s="11"/>
      <c r="F415" s="3"/>
      <c r="G415" s="3"/>
      <c r="H415" s="3"/>
      <c r="I415" s="7"/>
    </row>
    <row r="416" spans="1:9" x14ac:dyDescent="0.3">
      <c r="A416" s="6"/>
      <c r="B416" s="3"/>
      <c r="C416" s="3" t="s">
        <v>760</v>
      </c>
      <c r="D416" s="3"/>
      <c r="E416" s="11"/>
      <c r="F416" s="3"/>
      <c r="G416" s="3"/>
      <c r="H416" s="3"/>
      <c r="I416" s="7"/>
    </row>
    <row r="417" spans="1:9" x14ac:dyDescent="0.3">
      <c r="A417" s="6"/>
      <c r="B417" s="3"/>
      <c r="C417" s="3" t="s">
        <v>761</v>
      </c>
      <c r="D417" s="3"/>
      <c r="E417" s="11"/>
      <c r="F417" s="3"/>
      <c r="G417" s="3"/>
      <c r="H417" s="3"/>
      <c r="I417" s="7"/>
    </row>
    <row r="418" spans="1:9" x14ac:dyDescent="0.3">
      <c r="A418" s="6"/>
      <c r="B418" s="3"/>
      <c r="C418" s="3" t="s">
        <v>762</v>
      </c>
      <c r="D418" s="3"/>
      <c r="E418" s="11"/>
      <c r="F418" s="3"/>
      <c r="G418" s="3"/>
      <c r="H418" s="3"/>
      <c r="I418" s="7"/>
    </row>
    <row r="419" spans="1:9" x14ac:dyDescent="0.3">
      <c r="A419" s="6"/>
      <c r="B419" s="3"/>
      <c r="C419" s="3" t="s">
        <v>763</v>
      </c>
      <c r="D419" s="3"/>
      <c r="E419" s="11"/>
      <c r="F419" s="3"/>
      <c r="G419" s="3"/>
      <c r="H419" s="3"/>
      <c r="I419" s="7"/>
    </row>
    <row r="420" spans="1:9" x14ac:dyDescent="0.3">
      <c r="A420" s="6"/>
      <c r="B420" s="3"/>
      <c r="C420" s="3" t="s">
        <v>764</v>
      </c>
      <c r="D420" s="3"/>
      <c r="E420" s="11"/>
      <c r="F420" s="3"/>
      <c r="G420" s="3"/>
      <c r="H420" s="3"/>
      <c r="I420" s="7"/>
    </row>
    <row r="421" spans="1:9" x14ac:dyDescent="0.3">
      <c r="A421" s="6"/>
      <c r="B421" s="3"/>
      <c r="C421" s="3" t="s">
        <v>765</v>
      </c>
      <c r="D421" s="3"/>
      <c r="E421" s="11"/>
      <c r="F421" s="3"/>
      <c r="G421" s="3"/>
      <c r="H421" s="3"/>
      <c r="I421" s="7"/>
    </row>
    <row r="422" spans="1:9" x14ac:dyDescent="0.3">
      <c r="A422" s="6"/>
      <c r="B422" s="3"/>
      <c r="C422" s="3" t="s">
        <v>766</v>
      </c>
      <c r="D422" s="3"/>
      <c r="E422" s="11"/>
      <c r="F422" s="3"/>
      <c r="G422" s="3"/>
      <c r="H422" s="3"/>
      <c r="I422" s="7"/>
    </row>
    <row r="423" spans="1:9" x14ac:dyDescent="0.3">
      <c r="A423" s="6"/>
      <c r="B423" s="3"/>
      <c r="C423" s="3" t="s">
        <v>767</v>
      </c>
      <c r="D423" s="3"/>
      <c r="E423" s="11"/>
      <c r="F423" s="3"/>
      <c r="G423" s="3"/>
      <c r="H423" s="3"/>
      <c r="I423" s="7"/>
    </row>
    <row r="424" spans="1:9" x14ac:dyDescent="0.3">
      <c r="A424" s="6"/>
      <c r="B424" s="3"/>
      <c r="C424" s="3" t="s">
        <v>768</v>
      </c>
      <c r="D424" s="3"/>
      <c r="E424" s="11"/>
      <c r="F424" s="3"/>
      <c r="G424" s="3"/>
      <c r="H424" s="3"/>
      <c r="I424" s="7"/>
    </row>
    <row r="425" spans="1:9" x14ac:dyDescent="0.3">
      <c r="A425" s="6"/>
      <c r="B425" s="3"/>
      <c r="C425" s="3" t="s">
        <v>769</v>
      </c>
      <c r="D425" s="3"/>
      <c r="E425" s="11"/>
      <c r="F425" s="3"/>
      <c r="G425" s="3"/>
      <c r="H425" s="3"/>
      <c r="I425" s="7"/>
    </row>
    <row r="426" spans="1:9" x14ac:dyDescent="0.3">
      <c r="A426" s="6"/>
      <c r="B426" s="3"/>
      <c r="C426" s="3" t="s">
        <v>770</v>
      </c>
      <c r="D426" s="3"/>
      <c r="E426" s="11"/>
      <c r="F426" s="3"/>
      <c r="G426" s="3"/>
      <c r="H426" s="3"/>
      <c r="I426" s="7"/>
    </row>
    <row r="427" spans="1:9" x14ac:dyDescent="0.3">
      <c r="A427" s="6"/>
      <c r="B427" s="3"/>
      <c r="C427" s="3" t="s">
        <v>771</v>
      </c>
      <c r="D427" s="3"/>
      <c r="E427" s="11"/>
      <c r="F427" s="3"/>
      <c r="G427" s="3"/>
      <c r="H427" s="3"/>
      <c r="I427" s="7"/>
    </row>
    <row r="428" spans="1:9" x14ac:dyDescent="0.3">
      <c r="A428" s="6"/>
      <c r="B428" s="3"/>
      <c r="C428" s="3" t="s">
        <v>772</v>
      </c>
      <c r="D428" s="3"/>
      <c r="E428" s="11"/>
      <c r="F428" s="3"/>
      <c r="G428" s="3"/>
      <c r="H428" s="3"/>
      <c r="I428" s="7"/>
    </row>
    <row r="429" spans="1:9" x14ac:dyDescent="0.3">
      <c r="A429" s="6"/>
      <c r="B429" s="3"/>
      <c r="C429" s="3" t="s">
        <v>773</v>
      </c>
      <c r="D429" s="3"/>
      <c r="E429" s="11"/>
      <c r="F429" s="3"/>
      <c r="G429" s="3"/>
      <c r="H429" s="3"/>
      <c r="I429" s="7"/>
    </row>
    <row r="430" spans="1:9" x14ac:dyDescent="0.3">
      <c r="A430" s="6"/>
      <c r="B430" s="3"/>
      <c r="C430" s="3" t="s">
        <v>774</v>
      </c>
      <c r="D430" s="3"/>
      <c r="E430" s="11"/>
      <c r="F430" s="3"/>
      <c r="G430" s="3"/>
      <c r="H430" s="3"/>
      <c r="I430" s="7"/>
    </row>
    <row r="431" spans="1:9" x14ac:dyDescent="0.3">
      <c r="A431" s="6"/>
      <c r="B431" s="3"/>
      <c r="C431" s="3" t="s">
        <v>775</v>
      </c>
      <c r="D431" s="3"/>
      <c r="E431" s="11"/>
      <c r="F431" s="3"/>
      <c r="G431" s="3"/>
      <c r="H431" s="3"/>
      <c r="I431" s="7"/>
    </row>
    <row r="432" spans="1:9" x14ac:dyDescent="0.3">
      <c r="A432" s="6"/>
      <c r="B432" s="3"/>
      <c r="C432" s="3" t="s">
        <v>776</v>
      </c>
      <c r="D432" s="3"/>
      <c r="E432" s="11"/>
      <c r="F432" s="3"/>
      <c r="G432" s="3"/>
      <c r="H432" s="3"/>
      <c r="I432" s="7"/>
    </row>
    <row r="433" spans="1:9" x14ac:dyDescent="0.3">
      <c r="A433" s="6"/>
      <c r="B433" s="3"/>
      <c r="C433" s="3" t="s">
        <v>777</v>
      </c>
      <c r="D433" s="3"/>
      <c r="E433" s="11"/>
      <c r="F433" s="3"/>
      <c r="G433" s="3"/>
      <c r="H433" s="3"/>
      <c r="I433" s="7"/>
    </row>
    <row r="434" spans="1:9" x14ac:dyDescent="0.3">
      <c r="A434" s="6"/>
      <c r="B434" s="3"/>
      <c r="C434" s="3" t="s">
        <v>778</v>
      </c>
      <c r="D434" s="3"/>
      <c r="E434" s="11"/>
      <c r="F434" s="3"/>
      <c r="G434" s="3"/>
      <c r="H434" s="3"/>
      <c r="I434" s="7"/>
    </row>
    <row r="435" spans="1:9" x14ac:dyDescent="0.3">
      <c r="A435" s="6"/>
      <c r="B435" s="3"/>
      <c r="C435" s="3" t="s">
        <v>779</v>
      </c>
      <c r="D435" s="3"/>
      <c r="E435" s="11"/>
      <c r="F435" s="3"/>
      <c r="G435" s="3"/>
      <c r="H435" s="3"/>
      <c r="I435" s="7"/>
    </row>
    <row r="436" spans="1:9" x14ac:dyDescent="0.3">
      <c r="A436" s="6"/>
      <c r="B436" s="3"/>
      <c r="C436" s="3" t="s">
        <v>780</v>
      </c>
      <c r="D436" s="3"/>
      <c r="E436" s="11"/>
      <c r="F436" s="3"/>
      <c r="G436" s="3"/>
      <c r="H436" s="3"/>
      <c r="I436" s="7"/>
    </row>
    <row r="437" spans="1:9" x14ac:dyDescent="0.3">
      <c r="A437" s="6"/>
      <c r="B437" s="3"/>
      <c r="C437" s="3" t="s">
        <v>781</v>
      </c>
      <c r="D437" s="3"/>
      <c r="E437" s="11"/>
      <c r="F437" s="3"/>
      <c r="G437" s="3"/>
      <c r="H437" s="3"/>
      <c r="I437" s="7"/>
    </row>
    <row r="438" spans="1:9" x14ac:dyDescent="0.3">
      <c r="A438" s="6"/>
      <c r="B438" s="3"/>
      <c r="C438" s="3" t="s">
        <v>782</v>
      </c>
      <c r="D438" s="3"/>
      <c r="E438" s="11"/>
      <c r="F438" s="3"/>
      <c r="G438" s="3"/>
      <c r="H438" s="3"/>
      <c r="I438" s="7"/>
    </row>
    <row r="439" spans="1:9" x14ac:dyDescent="0.3">
      <c r="A439" s="6"/>
      <c r="B439" s="3"/>
      <c r="C439" s="3" t="s">
        <v>783</v>
      </c>
      <c r="D439" s="3"/>
      <c r="E439" s="11"/>
      <c r="F439" s="3"/>
      <c r="G439" s="3"/>
      <c r="H439" s="3"/>
      <c r="I439" s="7"/>
    </row>
    <row r="440" spans="1:9" x14ac:dyDescent="0.3">
      <c r="A440" s="6"/>
      <c r="B440" s="3"/>
      <c r="C440" s="3" t="s">
        <v>784</v>
      </c>
      <c r="D440" s="3"/>
      <c r="E440" s="11"/>
      <c r="F440" s="3"/>
      <c r="G440" s="3"/>
      <c r="H440" s="3"/>
      <c r="I440" s="7"/>
    </row>
    <row r="441" spans="1:9" x14ac:dyDescent="0.3">
      <c r="A441" s="6"/>
      <c r="B441" s="3"/>
      <c r="C441" s="3" t="s">
        <v>785</v>
      </c>
      <c r="D441" s="3"/>
      <c r="E441" s="11"/>
      <c r="F441" s="3"/>
      <c r="G441" s="3"/>
      <c r="H441" s="3"/>
      <c r="I441" s="7"/>
    </row>
    <row r="442" spans="1:9" x14ac:dyDescent="0.3">
      <c r="A442" s="6"/>
      <c r="B442" s="3"/>
      <c r="C442" s="3" t="s">
        <v>786</v>
      </c>
      <c r="D442" s="3"/>
      <c r="E442" s="11"/>
      <c r="F442" s="3"/>
      <c r="G442" s="3"/>
      <c r="H442" s="3"/>
      <c r="I442" s="7"/>
    </row>
    <row r="443" spans="1:9" x14ac:dyDescent="0.3">
      <c r="A443" s="6"/>
      <c r="B443" s="3"/>
      <c r="C443" s="3" t="s">
        <v>787</v>
      </c>
      <c r="D443" s="3"/>
      <c r="E443" s="11"/>
      <c r="F443" s="3"/>
      <c r="G443" s="3"/>
      <c r="H443" s="3"/>
      <c r="I443" s="7"/>
    </row>
    <row r="444" spans="1:9" x14ac:dyDescent="0.3">
      <c r="A444" s="6"/>
      <c r="B444" s="3"/>
      <c r="C444" s="3" t="s">
        <v>788</v>
      </c>
      <c r="D444" s="3"/>
      <c r="E444" s="11"/>
      <c r="F444" s="3"/>
      <c r="G444" s="3"/>
      <c r="H444" s="3"/>
      <c r="I444" s="7"/>
    </row>
    <row r="445" spans="1:9" x14ac:dyDescent="0.3">
      <c r="A445" s="6"/>
      <c r="B445" s="3"/>
      <c r="C445" s="3" t="s">
        <v>789</v>
      </c>
      <c r="D445" s="3"/>
      <c r="E445" s="11"/>
      <c r="F445" s="3"/>
      <c r="G445" s="3"/>
      <c r="H445" s="3"/>
      <c r="I445" s="7"/>
    </row>
    <row r="446" spans="1:9" x14ac:dyDescent="0.3">
      <c r="A446" s="6"/>
      <c r="B446" s="3"/>
      <c r="C446" s="3" t="s">
        <v>790</v>
      </c>
      <c r="D446" s="3"/>
      <c r="E446" s="11"/>
      <c r="F446" s="3"/>
      <c r="G446" s="3"/>
      <c r="H446" s="3"/>
      <c r="I446" s="7"/>
    </row>
    <row r="447" spans="1:9" x14ac:dyDescent="0.3">
      <c r="A447" s="6"/>
      <c r="B447" s="3"/>
      <c r="C447" s="3" t="s">
        <v>791</v>
      </c>
      <c r="D447" s="3"/>
      <c r="E447" s="11"/>
      <c r="F447" s="3"/>
      <c r="G447" s="3"/>
      <c r="H447" s="3"/>
      <c r="I447" s="7"/>
    </row>
    <row r="448" spans="1:9" x14ac:dyDescent="0.3">
      <c r="A448" s="6"/>
      <c r="B448" s="3"/>
      <c r="C448" s="3" t="s">
        <v>792</v>
      </c>
      <c r="D448" s="3"/>
      <c r="E448" s="11"/>
      <c r="F448" s="3"/>
      <c r="G448" s="3"/>
      <c r="H448" s="3"/>
      <c r="I448" s="7"/>
    </row>
    <row r="449" spans="1:9" x14ac:dyDescent="0.3">
      <c r="A449" s="6"/>
      <c r="B449" s="3"/>
      <c r="C449" s="3" t="s">
        <v>793</v>
      </c>
      <c r="D449" s="3"/>
      <c r="E449" s="11"/>
      <c r="F449" s="3"/>
      <c r="G449" s="3"/>
      <c r="H449" s="3"/>
      <c r="I449" s="7"/>
    </row>
    <row r="450" spans="1:9" x14ac:dyDescent="0.3">
      <c r="A450" s="6"/>
      <c r="B450" s="3"/>
      <c r="C450" s="3" t="s">
        <v>794</v>
      </c>
      <c r="D450" s="3"/>
      <c r="E450" s="11"/>
      <c r="F450" s="3"/>
      <c r="G450" s="3"/>
      <c r="H450" s="3"/>
      <c r="I450" s="7"/>
    </row>
    <row r="451" spans="1:9" x14ac:dyDescent="0.3">
      <c r="A451" s="6"/>
      <c r="B451" s="3"/>
      <c r="C451" s="3" t="s">
        <v>795</v>
      </c>
      <c r="D451" s="3"/>
      <c r="E451" s="11"/>
      <c r="F451" s="3"/>
      <c r="G451" s="3"/>
      <c r="H451" s="3"/>
      <c r="I451" s="7"/>
    </row>
    <row r="452" spans="1:9" x14ac:dyDescent="0.3">
      <c r="A452" s="6"/>
      <c r="B452" s="3"/>
      <c r="C452" s="3" t="s">
        <v>796</v>
      </c>
      <c r="D452" s="3"/>
      <c r="E452" s="11"/>
      <c r="F452" s="3"/>
      <c r="G452" s="3"/>
      <c r="H452" s="3"/>
      <c r="I452" s="7"/>
    </row>
    <row r="453" spans="1:9" x14ac:dyDescent="0.3">
      <c r="A453" s="6"/>
      <c r="B453" s="3"/>
      <c r="C453" s="3" t="s">
        <v>797</v>
      </c>
      <c r="D453" s="3"/>
      <c r="E453" s="11"/>
      <c r="F453" s="3"/>
      <c r="G453" s="3"/>
      <c r="H453" s="3"/>
      <c r="I453" s="7"/>
    </row>
    <row r="454" spans="1:9" x14ac:dyDescent="0.3">
      <c r="A454" s="6"/>
      <c r="B454" s="3"/>
      <c r="C454" s="3" t="s">
        <v>798</v>
      </c>
      <c r="D454" s="3"/>
      <c r="E454" s="11"/>
      <c r="F454" s="3"/>
      <c r="G454" s="3"/>
      <c r="H454" s="3"/>
      <c r="I454" s="7"/>
    </row>
    <row r="455" spans="1:9" x14ac:dyDescent="0.3">
      <c r="A455" s="6"/>
      <c r="B455" s="3"/>
      <c r="C455" s="3" t="s">
        <v>799</v>
      </c>
      <c r="D455" s="3"/>
      <c r="E455" s="11"/>
      <c r="F455" s="3"/>
      <c r="G455" s="3"/>
      <c r="H455" s="3"/>
      <c r="I455" s="7"/>
    </row>
    <row r="456" spans="1:9" x14ac:dyDescent="0.3">
      <c r="A456" s="6"/>
      <c r="B456" s="3"/>
      <c r="C456" s="3" t="s">
        <v>800</v>
      </c>
      <c r="D456" s="3"/>
      <c r="E456" s="11"/>
      <c r="F456" s="3"/>
      <c r="G456" s="3"/>
      <c r="H456" s="3"/>
      <c r="I456" s="7"/>
    </row>
    <row r="457" spans="1:9" x14ac:dyDescent="0.3">
      <c r="A457" s="6"/>
      <c r="B457" s="3"/>
      <c r="C457" s="3" t="s">
        <v>801</v>
      </c>
      <c r="D457" s="3"/>
      <c r="E457" s="11"/>
      <c r="F457" s="3"/>
      <c r="G457" s="3"/>
      <c r="H457" s="3"/>
      <c r="I457" s="7"/>
    </row>
    <row r="458" spans="1:9" x14ac:dyDescent="0.3">
      <c r="A458" s="6"/>
      <c r="B458" s="3"/>
      <c r="C458" s="3" t="s">
        <v>802</v>
      </c>
      <c r="D458" s="3"/>
      <c r="E458" s="11"/>
      <c r="F458" s="3"/>
      <c r="G458" s="3"/>
      <c r="H458" s="3"/>
      <c r="I458" s="7"/>
    </row>
    <row r="459" spans="1:9" x14ac:dyDescent="0.3">
      <c r="A459" s="6"/>
      <c r="B459" s="3"/>
      <c r="C459" s="3" t="s">
        <v>803</v>
      </c>
      <c r="D459" s="3"/>
      <c r="E459" s="11"/>
      <c r="F459" s="3"/>
      <c r="G459" s="3"/>
      <c r="H459" s="3"/>
      <c r="I459" s="7"/>
    </row>
    <row r="460" spans="1:9" x14ac:dyDescent="0.3">
      <c r="A460" s="6"/>
      <c r="B460" s="3"/>
      <c r="C460" s="3" t="s">
        <v>804</v>
      </c>
      <c r="D460" s="3"/>
      <c r="E460" s="11"/>
      <c r="F460" s="3"/>
      <c r="G460" s="3"/>
      <c r="H460" s="3"/>
      <c r="I460" s="7"/>
    </row>
    <row r="461" spans="1:9" x14ac:dyDescent="0.3">
      <c r="A461" s="6"/>
      <c r="B461" s="3"/>
      <c r="C461" s="3" t="s">
        <v>805</v>
      </c>
      <c r="D461" s="3"/>
      <c r="E461" s="11"/>
      <c r="F461" s="3"/>
      <c r="G461" s="3"/>
      <c r="H461" s="3"/>
      <c r="I461" s="7"/>
    </row>
    <row r="462" spans="1:9" x14ac:dyDescent="0.3">
      <c r="A462" s="6"/>
      <c r="B462" s="3"/>
      <c r="C462" s="3" t="s">
        <v>806</v>
      </c>
      <c r="D462" s="3"/>
      <c r="E462" s="11"/>
      <c r="F462" s="3"/>
      <c r="G462" s="3"/>
      <c r="H462" s="3"/>
      <c r="I462" s="7"/>
    </row>
    <row r="463" spans="1:9" x14ac:dyDescent="0.3">
      <c r="A463" s="6"/>
      <c r="B463" s="3"/>
      <c r="C463" s="3" t="s">
        <v>807</v>
      </c>
      <c r="D463" s="3"/>
      <c r="E463" s="11"/>
      <c r="F463" s="3"/>
      <c r="G463" s="3"/>
      <c r="H463" s="3"/>
      <c r="I463" s="7"/>
    </row>
    <row r="464" spans="1:9" x14ac:dyDescent="0.3">
      <c r="A464" s="6"/>
      <c r="B464" s="3"/>
      <c r="C464" s="3" t="s">
        <v>808</v>
      </c>
      <c r="D464" s="3"/>
      <c r="E464" s="11"/>
      <c r="F464" s="3"/>
      <c r="G464" s="3"/>
      <c r="H464" s="3"/>
      <c r="I464" s="7"/>
    </row>
    <row r="465" spans="1:9" x14ac:dyDescent="0.3">
      <c r="A465" s="6"/>
      <c r="B465" s="3"/>
      <c r="C465" s="3" t="s">
        <v>809</v>
      </c>
      <c r="D465" s="3"/>
      <c r="E465" s="11"/>
      <c r="F465" s="3"/>
      <c r="G465" s="3"/>
      <c r="H465" s="3"/>
      <c r="I465" s="7"/>
    </row>
    <row r="466" spans="1:9" x14ac:dyDescent="0.3">
      <c r="A466" s="6"/>
      <c r="B466" s="3"/>
      <c r="C466" s="3" t="s">
        <v>810</v>
      </c>
      <c r="D466" s="3"/>
      <c r="E466" s="11"/>
      <c r="F466" s="3"/>
      <c r="G466" s="3"/>
      <c r="H466" s="3"/>
      <c r="I466" s="7"/>
    </row>
    <row r="467" spans="1:9" x14ac:dyDescent="0.3">
      <c r="A467" s="6"/>
      <c r="B467" s="3"/>
      <c r="C467" s="3" t="s">
        <v>811</v>
      </c>
      <c r="D467" s="3"/>
      <c r="E467" s="11"/>
      <c r="F467" s="3"/>
      <c r="G467" s="3"/>
      <c r="H467" s="3"/>
      <c r="I467" s="7"/>
    </row>
    <row r="468" spans="1:9" x14ac:dyDescent="0.3">
      <c r="A468" s="6"/>
      <c r="B468" s="3"/>
      <c r="C468" s="3" t="s">
        <v>812</v>
      </c>
      <c r="D468" s="3"/>
      <c r="E468" s="11"/>
      <c r="F468" s="3"/>
      <c r="G468" s="3"/>
      <c r="H468" s="3"/>
      <c r="I468" s="7"/>
    </row>
    <row r="469" spans="1:9" x14ac:dyDescent="0.3">
      <c r="A469" s="6"/>
      <c r="B469" s="3"/>
      <c r="C469" s="3" t="s">
        <v>813</v>
      </c>
      <c r="D469" s="3"/>
      <c r="E469" s="11"/>
      <c r="F469" s="3"/>
      <c r="G469" s="3"/>
      <c r="H469" s="3"/>
      <c r="I469" s="7"/>
    </row>
    <row r="470" spans="1:9" x14ac:dyDescent="0.3">
      <c r="A470" s="6"/>
      <c r="B470" s="3"/>
      <c r="C470" s="3" t="s">
        <v>814</v>
      </c>
      <c r="D470" s="3"/>
      <c r="E470" s="11"/>
      <c r="F470" s="3"/>
      <c r="G470" s="3"/>
      <c r="H470" s="3"/>
      <c r="I470" s="7"/>
    </row>
    <row r="471" spans="1:9" x14ac:dyDescent="0.3">
      <c r="A471" s="6"/>
      <c r="B471" s="3"/>
      <c r="C471" s="3" t="s">
        <v>815</v>
      </c>
      <c r="D471" s="3"/>
      <c r="E471" s="11"/>
      <c r="F471" s="3"/>
      <c r="G471" s="3"/>
      <c r="H471" s="3"/>
      <c r="I471" s="7"/>
    </row>
    <row r="472" spans="1:9" x14ac:dyDescent="0.3">
      <c r="A472" s="6"/>
      <c r="B472" s="3"/>
      <c r="C472" s="3" t="s">
        <v>816</v>
      </c>
      <c r="D472" s="3"/>
      <c r="E472" s="11"/>
      <c r="F472" s="3"/>
      <c r="G472" s="3"/>
      <c r="H472" s="3"/>
      <c r="I472" s="7"/>
    </row>
    <row r="473" spans="1:9" x14ac:dyDescent="0.3">
      <c r="A473" s="6"/>
      <c r="B473" s="3"/>
      <c r="C473" s="3" t="s">
        <v>817</v>
      </c>
      <c r="D473" s="3"/>
      <c r="E473" s="11"/>
      <c r="F473" s="3"/>
      <c r="G473" s="3"/>
      <c r="H473" s="3"/>
      <c r="I473" s="7"/>
    </row>
    <row r="474" spans="1:9" x14ac:dyDescent="0.3">
      <c r="A474" s="6"/>
      <c r="B474" s="3"/>
      <c r="C474" s="3" t="s">
        <v>818</v>
      </c>
      <c r="D474" s="3"/>
      <c r="E474" s="11"/>
      <c r="F474" s="3"/>
      <c r="G474" s="3"/>
      <c r="H474" s="3"/>
      <c r="I474" s="7"/>
    </row>
    <row r="475" spans="1:9" x14ac:dyDescent="0.3">
      <c r="A475" s="6"/>
      <c r="B475" s="3"/>
      <c r="C475" s="3" t="s">
        <v>819</v>
      </c>
      <c r="D475" s="3"/>
      <c r="E475" s="11"/>
      <c r="F475" s="3"/>
      <c r="G475" s="3"/>
      <c r="H475" s="3"/>
      <c r="I475" s="7"/>
    </row>
    <row r="476" spans="1:9" x14ac:dyDescent="0.3">
      <c r="A476" s="6"/>
      <c r="B476" s="3"/>
      <c r="C476" s="3" t="s">
        <v>820</v>
      </c>
      <c r="D476" s="3"/>
      <c r="E476" s="11"/>
      <c r="F476" s="3"/>
      <c r="G476" s="3"/>
      <c r="H476" s="3"/>
      <c r="I476" s="7"/>
    </row>
    <row r="477" spans="1:9" x14ac:dyDescent="0.3">
      <c r="A477" s="6"/>
      <c r="B477" s="3"/>
      <c r="C477" s="3" t="s">
        <v>821</v>
      </c>
      <c r="D477" s="3"/>
      <c r="E477" s="11"/>
      <c r="F477" s="3"/>
      <c r="G477" s="3"/>
      <c r="H477" s="3"/>
      <c r="I477" s="7"/>
    </row>
    <row r="478" spans="1:9" x14ac:dyDescent="0.3">
      <c r="A478" s="6"/>
      <c r="B478" s="3"/>
      <c r="C478" s="3" t="s">
        <v>822</v>
      </c>
      <c r="D478" s="3"/>
      <c r="E478" s="11"/>
      <c r="F478" s="3"/>
      <c r="G478" s="3"/>
      <c r="H478" s="3"/>
      <c r="I478" s="7"/>
    </row>
    <row r="479" spans="1:9" x14ac:dyDescent="0.3">
      <c r="A479" s="6"/>
      <c r="B479" s="3"/>
      <c r="C479" s="3" t="s">
        <v>823</v>
      </c>
      <c r="D479" s="3"/>
      <c r="E479" s="11"/>
      <c r="F479" s="3"/>
      <c r="G479" s="3"/>
      <c r="H479" s="3"/>
      <c r="I479" s="7"/>
    </row>
    <row r="480" spans="1:9" x14ac:dyDescent="0.3">
      <c r="A480" s="6"/>
      <c r="B480" s="3"/>
      <c r="C480" s="3" t="s">
        <v>824</v>
      </c>
      <c r="D480" s="3"/>
      <c r="E480" s="11"/>
      <c r="F480" s="3"/>
      <c r="G480" s="3"/>
      <c r="H480" s="3"/>
      <c r="I480" s="7"/>
    </row>
    <row r="481" spans="1:9" x14ac:dyDescent="0.3">
      <c r="A481" s="6"/>
      <c r="B481" s="3"/>
      <c r="C481" s="3" t="s">
        <v>825</v>
      </c>
      <c r="D481" s="3"/>
      <c r="E481" s="11"/>
      <c r="F481" s="3"/>
      <c r="G481" s="3"/>
      <c r="H481" s="3"/>
      <c r="I481" s="7"/>
    </row>
    <row r="482" spans="1:9" x14ac:dyDescent="0.3">
      <c r="A482" s="6"/>
      <c r="B482" s="3"/>
      <c r="C482" s="3" t="s">
        <v>826</v>
      </c>
      <c r="D482" s="3"/>
      <c r="E482" s="11"/>
      <c r="F482" s="3"/>
      <c r="G482" s="3"/>
      <c r="H482" s="3"/>
      <c r="I482" s="7"/>
    </row>
    <row r="483" spans="1:9" x14ac:dyDescent="0.3">
      <c r="A483" s="6"/>
      <c r="B483" s="3"/>
      <c r="C483" s="3" t="s">
        <v>827</v>
      </c>
      <c r="D483" s="3"/>
      <c r="E483" s="11"/>
      <c r="F483" s="3"/>
      <c r="G483" s="3"/>
      <c r="H483" s="3"/>
      <c r="I483" s="7"/>
    </row>
    <row r="484" spans="1:9" x14ac:dyDescent="0.3">
      <c r="A484" s="6"/>
      <c r="B484" s="3"/>
      <c r="C484" s="3" t="s">
        <v>828</v>
      </c>
      <c r="D484" s="3"/>
      <c r="E484" s="11"/>
      <c r="F484" s="3"/>
      <c r="G484" s="3"/>
      <c r="H484" s="3"/>
      <c r="I484" s="7"/>
    </row>
    <row r="485" spans="1:9" x14ac:dyDescent="0.3">
      <c r="A485" s="6"/>
      <c r="B485" s="3"/>
      <c r="C485" s="3" t="s">
        <v>829</v>
      </c>
      <c r="D485" s="3"/>
      <c r="E485" s="11"/>
      <c r="F485" s="3"/>
      <c r="G485" s="3"/>
      <c r="H485" s="3"/>
      <c r="I485" s="7"/>
    </row>
    <row r="486" spans="1:9" x14ac:dyDescent="0.3">
      <c r="A486" s="6"/>
      <c r="B486" s="3"/>
      <c r="C486" s="3" t="s">
        <v>830</v>
      </c>
      <c r="D486" s="3"/>
      <c r="E486" s="11"/>
      <c r="F486" s="3"/>
      <c r="G486" s="3"/>
      <c r="H486" s="3"/>
      <c r="I486" s="7"/>
    </row>
    <row r="487" spans="1:9" x14ac:dyDescent="0.3">
      <c r="A487" s="6"/>
      <c r="B487" s="3"/>
      <c r="C487" s="3" t="s">
        <v>831</v>
      </c>
      <c r="D487" s="3"/>
      <c r="E487" s="11"/>
      <c r="F487" s="3"/>
      <c r="G487" s="3"/>
      <c r="H487" s="3"/>
      <c r="I487" s="7"/>
    </row>
    <row r="488" spans="1:9" x14ac:dyDescent="0.3">
      <c r="A488" s="6"/>
      <c r="B488" s="3"/>
      <c r="C488" s="3" t="s">
        <v>832</v>
      </c>
      <c r="D488" s="3"/>
      <c r="E488" s="11"/>
      <c r="F488" s="3"/>
      <c r="G488" s="3"/>
      <c r="H488" s="3"/>
      <c r="I488" s="7"/>
    </row>
    <row r="489" spans="1:9" x14ac:dyDescent="0.3">
      <c r="A489" s="6"/>
      <c r="B489" s="3"/>
      <c r="C489" s="3" t="s">
        <v>833</v>
      </c>
      <c r="D489" s="3"/>
      <c r="E489" s="11"/>
      <c r="F489" s="3"/>
      <c r="G489" s="3"/>
      <c r="H489" s="3"/>
      <c r="I489" s="7"/>
    </row>
    <row r="490" spans="1:9" x14ac:dyDescent="0.3">
      <c r="A490" s="6"/>
      <c r="B490" s="3"/>
      <c r="C490" s="3" t="s">
        <v>834</v>
      </c>
      <c r="D490" s="3"/>
      <c r="E490" s="11"/>
      <c r="F490" s="3"/>
      <c r="G490" s="3"/>
      <c r="H490" s="3"/>
      <c r="I490" s="7"/>
    </row>
    <row r="491" spans="1:9" x14ac:dyDescent="0.3">
      <c r="A491" s="6"/>
      <c r="B491" s="3"/>
      <c r="C491" s="3" t="s">
        <v>835</v>
      </c>
      <c r="D491" s="3"/>
      <c r="E491" s="11"/>
      <c r="F491" s="3"/>
      <c r="G491" s="3"/>
      <c r="H491" s="3"/>
      <c r="I491" s="7"/>
    </row>
    <row r="492" spans="1:9" x14ac:dyDescent="0.3">
      <c r="A492" s="6"/>
      <c r="B492" s="3"/>
      <c r="C492" s="3" t="s">
        <v>836</v>
      </c>
      <c r="D492" s="3"/>
      <c r="E492" s="11"/>
      <c r="F492" s="3"/>
      <c r="G492" s="3"/>
      <c r="H492" s="3"/>
      <c r="I492" s="7"/>
    </row>
    <row r="493" spans="1:9" x14ac:dyDescent="0.3">
      <c r="A493" s="6"/>
      <c r="B493" s="3"/>
      <c r="C493" s="3" t="s">
        <v>837</v>
      </c>
      <c r="D493" s="3"/>
      <c r="E493" s="11"/>
      <c r="F493" s="3"/>
      <c r="G493" s="3"/>
      <c r="H493" s="3"/>
      <c r="I493" s="7"/>
    </row>
    <row r="494" spans="1:9" x14ac:dyDescent="0.3">
      <c r="A494" s="6"/>
      <c r="B494" s="3"/>
      <c r="C494" s="3" t="s">
        <v>838</v>
      </c>
      <c r="D494" s="3"/>
      <c r="E494" s="11"/>
      <c r="F494" s="3"/>
      <c r="G494" s="3"/>
      <c r="H494" s="3"/>
      <c r="I494" s="7"/>
    </row>
    <row r="495" spans="1:9" x14ac:dyDescent="0.3">
      <c r="A495" s="6"/>
      <c r="B495" s="3"/>
      <c r="C495" s="3" t="s">
        <v>839</v>
      </c>
      <c r="D495" s="3"/>
      <c r="E495" s="11"/>
      <c r="F495" s="3"/>
      <c r="G495" s="3"/>
      <c r="H495" s="3"/>
      <c r="I495" s="7"/>
    </row>
    <row r="496" spans="1:9" x14ac:dyDescent="0.3">
      <c r="A496" s="6"/>
      <c r="B496" s="3"/>
      <c r="C496" s="3" t="s">
        <v>840</v>
      </c>
      <c r="D496" s="3"/>
      <c r="E496" s="11"/>
      <c r="F496" s="3"/>
      <c r="G496" s="3"/>
      <c r="H496" s="3"/>
      <c r="I496" s="7"/>
    </row>
    <row r="497" spans="1:9" x14ac:dyDescent="0.3">
      <c r="A497" s="6"/>
      <c r="B497" s="3"/>
      <c r="C497" s="3" t="s">
        <v>841</v>
      </c>
      <c r="D497" s="3"/>
      <c r="E497" s="11"/>
      <c r="F497" s="3"/>
      <c r="G497" s="3"/>
      <c r="H497" s="3"/>
      <c r="I497" s="7"/>
    </row>
    <row r="498" spans="1:9" x14ac:dyDescent="0.3">
      <c r="A498" s="6"/>
      <c r="B498" s="3"/>
      <c r="C498" s="3" t="s">
        <v>842</v>
      </c>
      <c r="D498" s="3"/>
      <c r="E498" s="11"/>
      <c r="F498" s="3"/>
      <c r="G498" s="3"/>
      <c r="H498" s="3"/>
      <c r="I498" s="7"/>
    </row>
    <row r="499" spans="1:9" x14ac:dyDescent="0.3">
      <c r="A499" s="6"/>
      <c r="B499" s="3"/>
      <c r="C499" s="3" t="s">
        <v>843</v>
      </c>
      <c r="D499" s="3"/>
      <c r="E499" s="11"/>
      <c r="F499" s="3"/>
      <c r="G499" s="3"/>
      <c r="H499" s="3"/>
      <c r="I499" s="7"/>
    </row>
    <row r="500" spans="1:9" x14ac:dyDescent="0.3">
      <c r="A500" s="6"/>
      <c r="B500" s="3"/>
      <c r="C500" s="3" t="s">
        <v>844</v>
      </c>
      <c r="D500" s="3"/>
      <c r="E500" s="11"/>
      <c r="F500" s="3"/>
      <c r="G500" s="3"/>
      <c r="H500" s="3"/>
      <c r="I500" s="7"/>
    </row>
    <row r="501" spans="1:9" x14ac:dyDescent="0.3">
      <c r="A501" s="7"/>
      <c r="B501" s="3"/>
      <c r="C501" s="3" t="s">
        <v>845</v>
      </c>
      <c r="D501" s="3"/>
      <c r="E501" s="14"/>
      <c r="F501" s="3"/>
      <c r="G501" s="3"/>
      <c r="H501" s="3"/>
      <c r="I501" s="7"/>
    </row>
    <row r="502" spans="1:9" x14ac:dyDescent="0.3">
      <c r="A502" s="7"/>
      <c r="B502" s="3"/>
      <c r="C502" s="3" t="s">
        <v>846</v>
      </c>
      <c r="D502" s="3"/>
      <c r="E502" s="14"/>
      <c r="F502" s="3"/>
      <c r="G502" s="3"/>
      <c r="H502" s="3"/>
      <c r="I502" s="7"/>
    </row>
    <row r="503" spans="1:9" x14ac:dyDescent="0.3">
      <c r="A503" s="7"/>
      <c r="B503" s="3"/>
      <c r="C503" s="3" t="s">
        <v>847</v>
      </c>
      <c r="D503" s="3"/>
      <c r="E503" s="14"/>
      <c r="F503" s="3"/>
      <c r="G503" s="3"/>
      <c r="H503" s="3"/>
      <c r="I503" s="7"/>
    </row>
    <row r="504" spans="1:9" x14ac:dyDescent="0.3">
      <c r="A504" s="7"/>
      <c r="B504" s="3"/>
      <c r="C504" s="3" t="s">
        <v>848</v>
      </c>
      <c r="D504" s="3"/>
      <c r="E504" s="14"/>
      <c r="F504" s="3"/>
      <c r="G504" s="3"/>
      <c r="H504" s="3"/>
      <c r="I504" s="7"/>
    </row>
    <row r="505" spans="1:9" x14ac:dyDescent="0.3">
      <c r="A505" s="7"/>
      <c r="B505" s="3"/>
      <c r="C505" s="3" t="s">
        <v>849</v>
      </c>
      <c r="D505" s="3"/>
      <c r="E505" s="14"/>
      <c r="F505" s="3"/>
      <c r="G505" s="3"/>
      <c r="H505" s="3"/>
      <c r="I505" s="7"/>
    </row>
    <row r="506" spans="1:9" x14ac:dyDescent="0.3">
      <c r="A506" s="7"/>
      <c r="B506" s="3"/>
      <c r="C506" s="3" t="s">
        <v>850</v>
      </c>
      <c r="D506" s="3"/>
      <c r="E506" s="14"/>
      <c r="F506" s="3"/>
      <c r="G506" s="3"/>
      <c r="H506" s="3"/>
      <c r="I506" s="7"/>
    </row>
    <row r="507" spans="1:9" x14ac:dyDescent="0.3">
      <c r="A507" s="7"/>
      <c r="B507" s="3"/>
      <c r="C507" s="3" t="s">
        <v>851</v>
      </c>
      <c r="D507" s="3"/>
      <c r="E507" s="14"/>
      <c r="F507" s="3"/>
      <c r="G507" s="3"/>
      <c r="H507" s="3"/>
      <c r="I507" s="7"/>
    </row>
    <row r="508" spans="1:9" x14ac:dyDescent="0.3">
      <c r="A508" s="7"/>
      <c r="B508" s="3"/>
      <c r="C508" s="3" t="s">
        <v>852</v>
      </c>
      <c r="D508" s="3"/>
      <c r="E508" s="14"/>
      <c r="F508" s="3"/>
      <c r="G508" s="3"/>
      <c r="H508" s="3"/>
      <c r="I508" s="7"/>
    </row>
    <row r="509" spans="1:9" x14ac:dyDescent="0.3">
      <c r="A509" s="7"/>
      <c r="B509" s="3"/>
      <c r="C509" s="3" t="s">
        <v>853</v>
      </c>
      <c r="D509" s="3"/>
      <c r="E509" s="14"/>
      <c r="F509" s="3"/>
      <c r="G509" s="3"/>
      <c r="H509" s="3"/>
      <c r="I509" s="7"/>
    </row>
    <row r="510" spans="1:9" x14ac:dyDescent="0.3">
      <c r="A510" s="7"/>
      <c r="B510" s="3"/>
      <c r="C510" s="3" t="s">
        <v>854</v>
      </c>
      <c r="D510" s="3"/>
      <c r="E510" s="14"/>
      <c r="F510" s="3"/>
      <c r="G510" s="3"/>
      <c r="H510" s="3"/>
      <c r="I510" s="7"/>
    </row>
    <row r="511" spans="1:9" x14ac:dyDescent="0.3">
      <c r="A511" s="7"/>
      <c r="B511" s="3"/>
      <c r="C511" s="3" t="s">
        <v>855</v>
      </c>
      <c r="D511" s="3"/>
      <c r="E511" s="14"/>
      <c r="F511" s="3"/>
      <c r="G511" s="3"/>
      <c r="H511" s="3"/>
      <c r="I511" s="7"/>
    </row>
    <row r="512" spans="1:9" x14ac:dyDescent="0.3">
      <c r="A512" s="7"/>
      <c r="B512" s="3"/>
      <c r="C512" s="3" t="s">
        <v>856</v>
      </c>
      <c r="D512" s="3"/>
      <c r="E512" s="14"/>
      <c r="F512" s="3"/>
      <c r="G512" s="3"/>
      <c r="H512" s="3"/>
      <c r="I512" s="7"/>
    </row>
    <row r="513" spans="1:9" x14ac:dyDescent="0.3">
      <c r="A513" s="7"/>
      <c r="B513" s="3"/>
      <c r="C513" s="3" t="s">
        <v>857</v>
      </c>
      <c r="D513" s="3"/>
      <c r="E513" s="14"/>
      <c r="F513" s="3"/>
      <c r="G513" s="3"/>
      <c r="H513" s="3"/>
      <c r="I513" s="7"/>
    </row>
    <row r="514" spans="1:9" x14ac:dyDescent="0.3">
      <c r="A514" s="7"/>
      <c r="B514" s="3"/>
      <c r="C514" s="3" t="s">
        <v>858</v>
      </c>
      <c r="D514" s="3"/>
      <c r="E514" s="14"/>
      <c r="F514" s="3"/>
      <c r="G514" s="3"/>
      <c r="H514" s="3"/>
      <c r="I514" s="7"/>
    </row>
    <row r="515" spans="1:9" x14ac:dyDescent="0.3">
      <c r="A515" s="7"/>
      <c r="B515" s="3"/>
      <c r="C515" s="3" t="s">
        <v>859</v>
      </c>
      <c r="D515" s="3"/>
      <c r="E515" s="14"/>
      <c r="F515" s="3"/>
      <c r="G515" s="3"/>
      <c r="H515" s="3"/>
      <c r="I515" s="7"/>
    </row>
    <row r="516" spans="1:9" x14ac:dyDescent="0.3">
      <c r="A516" s="7"/>
      <c r="B516" s="3"/>
      <c r="C516" s="3" t="s">
        <v>860</v>
      </c>
      <c r="D516" s="3"/>
      <c r="E516" s="14"/>
      <c r="F516" s="3"/>
      <c r="G516" s="3"/>
      <c r="H516" s="3"/>
      <c r="I516" s="7"/>
    </row>
    <row r="517" spans="1:9" x14ac:dyDescent="0.3">
      <c r="A517" s="7"/>
      <c r="B517" s="3"/>
      <c r="C517" s="3" t="s">
        <v>861</v>
      </c>
      <c r="D517" s="3"/>
      <c r="E517" s="14"/>
      <c r="F517" s="3"/>
      <c r="G517" s="3"/>
      <c r="H517" s="3"/>
      <c r="I517" s="7"/>
    </row>
    <row r="518" spans="1:9" x14ac:dyDescent="0.3">
      <c r="A518" s="7"/>
      <c r="B518" s="3"/>
      <c r="C518" s="3" t="s">
        <v>862</v>
      </c>
      <c r="D518" s="3"/>
      <c r="E518" s="14"/>
      <c r="F518" s="3"/>
      <c r="G518" s="3"/>
      <c r="H518" s="3"/>
      <c r="I518" s="7"/>
    </row>
    <row r="519" spans="1:9" x14ac:dyDescent="0.3">
      <c r="A519" s="7"/>
      <c r="B519" s="3"/>
      <c r="C519" s="3" t="s">
        <v>863</v>
      </c>
      <c r="D519" s="3"/>
      <c r="E519" s="14"/>
      <c r="F519" s="3"/>
      <c r="G519" s="3"/>
      <c r="H519" s="3"/>
      <c r="I519" s="7"/>
    </row>
    <row r="520" spans="1:9" x14ac:dyDescent="0.3">
      <c r="A520" s="7"/>
      <c r="B520" s="3"/>
      <c r="C520" s="3" t="s">
        <v>864</v>
      </c>
      <c r="D520" s="3"/>
      <c r="E520" s="14"/>
      <c r="F520" s="3"/>
      <c r="G520" s="3"/>
      <c r="H520" s="3"/>
      <c r="I520" s="7"/>
    </row>
    <row r="521" spans="1:9" x14ac:dyDescent="0.3">
      <c r="A521" s="7"/>
      <c r="B521" s="3"/>
      <c r="C521" s="3" t="s">
        <v>865</v>
      </c>
      <c r="D521" s="3"/>
      <c r="E521" s="14"/>
      <c r="F521" s="3"/>
      <c r="G521" s="3"/>
      <c r="H521" s="3"/>
      <c r="I521" s="7"/>
    </row>
    <row r="522" spans="1:9" x14ac:dyDescent="0.3">
      <c r="A522" s="7"/>
      <c r="B522" s="3"/>
      <c r="C522" s="3" t="s">
        <v>866</v>
      </c>
      <c r="D522" s="3"/>
      <c r="E522" s="14"/>
      <c r="F522" s="3"/>
      <c r="G522" s="3"/>
      <c r="H522" s="3"/>
      <c r="I522" s="7"/>
    </row>
    <row r="523" spans="1:9" x14ac:dyDescent="0.3">
      <c r="A523" s="7"/>
      <c r="B523" s="3"/>
      <c r="C523" s="3" t="s">
        <v>867</v>
      </c>
      <c r="D523" s="3"/>
      <c r="E523" s="14"/>
      <c r="F523" s="3"/>
      <c r="G523" s="3"/>
      <c r="H523" s="3"/>
      <c r="I523" s="7"/>
    </row>
    <row r="524" spans="1:9" x14ac:dyDescent="0.3">
      <c r="A524" s="7"/>
      <c r="B524" s="3"/>
      <c r="C524" s="3" t="s">
        <v>868</v>
      </c>
      <c r="D524" s="3"/>
      <c r="E524" s="14"/>
      <c r="F524" s="3"/>
      <c r="G524" s="3"/>
      <c r="H524" s="3"/>
      <c r="I524" s="7"/>
    </row>
    <row r="525" spans="1:9" x14ac:dyDescent="0.3">
      <c r="A525" s="7"/>
      <c r="B525" s="3"/>
      <c r="C525" s="3" t="s">
        <v>869</v>
      </c>
      <c r="D525" s="3"/>
      <c r="E525" s="14"/>
      <c r="F525" s="3"/>
      <c r="G525" s="3"/>
      <c r="H525" s="3"/>
      <c r="I525" s="7"/>
    </row>
    <row r="526" spans="1:9" x14ac:dyDescent="0.3">
      <c r="A526" s="7"/>
      <c r="B526" s="3"/>
      <c r="C526" s="3" t="s">
        <v>870</v>
      </c>
      <c r="D526" s="3"/>
      <c r="E526" s="14"/>
      <c r="F526" s="3"/>
      <c r="G526" s="3"/>
      <c r="H526" s="3"/>
      <c r="I526" s="7"/>
    </row>
    <row r="527" spans="1:9" x14ac:dyDescent="0.3">
      <c r="A527" s="7"/>
      <c r="B527" s="3"/>
      <c r="C527" s="3" t="s">
        <v>871</v>
      </c>
      <c r="D527" s="3"/>
      <c r="E527" s="14"/>
      <c r="F527" s="3"/>
      <c r="G527" s="3"/>
      <c r="H527" s="3"/>
      <c r="I527" s="7"/>
    </row>
    <row r="528" spans="1:9" x14ac:dyDescent="0.3">
      <c r="A528" s="7"/>
      <c r="B528" s="3"/>
      <c r="C528" s="3" t="s">
        <v>872</v>
      </c>
      <c r="D528" s="3"/>
      <c r="E528" s="14"/>
      <c r="F528" s="3"/>
      <c r="G528" s="3"/>
      <c r="H528" s="3"/>
      <c r="I528" s="7"/>
    </row>
    <row r="529" spans="1:9" x14ac:dyDescent="0.3">
      <c r="A529" s="7"/>
      <c r="B529" s="3"/>
      <c r="C529" s="3" t="s">
        <v>873</v>
      </c>
      <c r="D529" s="3"/>
      <c r="E529" s="14"/>
      <c r="F529" s="3"/>
      <c r="G529" s="3"/>
      <c r="H529" s="3"/>
      <c r="I529" s="7"/>
    </row>
    <row r="530" spans="1:9" x14ac:dyDescent="0.3">
      <c r="A530" s="7"/>
      <c r="B530" s="3"/>
      <c r="C530" s="3" t="s">
        <v>874</v>
      </c>
      <c r="D530" s="3"/>
      <c r="E530" s="14"/>
      <c r="F530" s="3"/>
      <c r="G530" s="3"/>
      <c r="H530" s="3"/>
      <c r="I530" s="7"/>
    </row>
    <row r="531" spans="1:9" x14ac:dyDescent="0.3">
      <c r="A531" s="7"/>
      <c r="B531" s="3"/>
      <c r="C531" s="3" t="s">
        <v>875</v>
      </c>
      <c r="D531" s="3"/>
      <c r="E531" s="14"/>
      <c r="F531" s="3"/>
      <c r="G531" s="3"/>
      <c r="H531" s="3"/>
      <c r="I531" s="7"/>
    </row>
    <row r="532" spans="1:9" x14ac:dyDescent="0.3">
      <c r="A532" s="7"/>
      <c r="B532" s="3"/>
      <c r="C532" s="3" t="s">
        <v>876</v>
      </c>
      <c r="D532" s="3"/>
      <c r="E532" s="14"/>
      <c r="F532" s="3"/>
      <c r="G532" s="3"/>
      <c r="H532" s="3"/>
      <c r="I532" s="7"/>
    </row>
    <row r="533" spans="1:9" x14ac:dyDescent="0.3">
      <c r="A533" s="7"/>
      <c r="B533" s="3"/>
      <c r="C533" s="3" t="s">
        <v>877</v>
      </c>
      <c r="D533" s="3"/>
      <c r="E533" s="14"/>
      <c r="F533" s="3"/>
      <c r="G533" s="3"/>
      <c r="H533" s="3"/>
      <c r="I533" s="7"/>
    </row>
    <row r="534" spans="1:9" x14ac:dyDescent="0.3">
      <c r="A534" s="7"/>
      <c r="B534" s="3"/>
      <c r="C534" s="3" t="s">
        <v>878</v>
      </c>
      <c r="D534" s="3"/>
      <c r="E534" s="14"/>
      <c r="F534" s="3"/>
      <c r="G534" s="3"/>
      <c r="H534" s="3"/>
      <c r="I534" s="7"/>
    </row>
    <row r="535" spans="1:9" x14ac:dyDescent="0.3">
      <c r="A535" s="7"/>
      <c r="B535" s="3"/>
      <c r="C535" s="3" t="s">
        <v>879</v>
      </c>
      <c r="D535" s="3"/>
      <c r="E535" s="14"/>
      <c r="F535" s="3"/>
      <c r="G535" s="3"/>
      <c r="H535" s="3"/>
      <c r="I535" s="7"/>
    </row>
    <row r="536" spans="1:9" x14ac:dyDescent="0.3">
      <c r="A536" s="7"/>
      <c r="B536" s="3"/>
      <c r="C536" s="3" t="s">
        <v>880</v>
      </c>
      <c r="D536" s="3"/>
      <c r="E536" s="14"/>
      <c r="F536" s="3"/>
      <c r="G536" s="3"/>
      <c r="H536" s="3"/>
      <c r="I536" s="7"/>
    </row>
    <row r="537" spans="1:9" x14ac:dyDescent="0.3">
      <c r="A537" s="7"/>
      <c r="B537" s="3"/>
      <c r="C537" s="3" t="s">
        <v>881</v>
      </c>
      <c r="D537" s="3"/>
      <c r="E537" s="14"/>
      <c r="F537" s="3"/>
      <c r="G537" s="3"/>
      <c r="H537" s="3"/>
      <c r="I537" s="7"/>
    </row>
    <row r="538" spans="1:9" x14ac:dyDescent="0.3">
      <c r="A538" s="7"/>
      <c r="B538" s="3"/>
      <c r="C538" s="3" t="s">
        <v>882</v>
      </c>
      <c r="D538" s="3"/>
      <c r="E538" s="14"/>
      <c r="F538" s="3"/>
      <c r="G538" s="3"/>
      <c r="H538" s="3"/>
      <c r="I538" s="7"/>
    </row>
    <row r="539" spans="1:9" x14ac:dyDescent="0.3">
      <c r="A539" s="7"/>
      <c r="B539" s="3"/>
      <c r="C539" s="3" t="s">
        <v>883</v>
      </c>
      <c r="D539" s="3"/>
      <c r="E539" s="14"/>
      <c r="F539" s="3"/>
      <c r="G539" s="3"/>
      <c r="H539" s="3"/>
      <c r="I539" s="7"/>
    </row>
    <row r="540" spans="1:9" x14ac:dyDescent="0.3">
      <c r="A540" s="7"/>
      <c r="B540" s="3"/>
      <c r="C540" s="3" t="s">
        <v>884</v>
      </c>
      <c r="D540" s="3"/>
      <c r="E540" s="14"/>
      <c r="F540" s="3"/>
      <c r="G540" s="3"/>
      <c r="H540" s="3"/>
      <c r="I540" s="7"/>
    </row>
    <row r="541" spans="1:9" x14ac:dyDescent="0.3">
      <c r="A541" s="7"/>
      <c r="B541" s="3"/>
      <c r="C541" s="3" t="s">
        <v>885</v>
      </c>
      <c r="D541" s="3"/>
      <c r="E541" s="14"/>
      <c r="F541" s="3"/>
      <c r="G541" s="3"/>
      <c r="H541" s="3"/>
      <c r="I541" s="7"/>
    </row>
    <row r="542" spans="1:9" x14ac:dyDescent="0.3">
      <c r="A542" s="7"/>
      <c r="B542" s="3"/>
      <c r="C542" s="3" t="s">
        <v>886</v>
      </c>
      <c r="D542" s="3"/>
      <c r="E542" s="14"/>
      <c r="F542" s="3"/>
      <c r="G542" s="3"/>
      <c r="H542" s="3"/>
      <c r="I542" s="7"/>
    </row>
    <row r="543" spans="1:9" x14ac:dyDescent="0.3">
      <c r="A543" s="7"/>
      <c r="B543" s="3"/>
      <c r="C543" s="3" t="s">
        <v>887</v>
      </c>
      <c r="D543" s="3"/>
      <c r="E543" s="14"/>
      <c r="F543" s="3"/>
      <c r="G543" s="3"/>
      <c r="H543" s="3"/>
      <c r="I543" s="7"/>
    </row>
    <row r="544" spans="1:9" x14ac:dyDescent="0.3">
      <c r="A544" s="7"/>
      <c r="B544" s="3"/>
      <c r="C544" s="3" t="s">
        <v>888</v>
      </c>
      <c r="D544" s="3"/>
      <c r="E544" s="14"/>
      <c r="F544" s="3"/>
      <c r="G544" s="3"/>
      <c r="H544" s="3"/>
      <c r="I544" s="7"/>
    </row>
    <row r="545" spans="1:9" x14ac:dyDescent="0.3">
      <c r="A545" s="7"/>
      <c r="B545" s="3"/>
      <c r="C545" s="3" t="s">
        <v>889</v>
      </c>
      <c r="D545" s="3"/>
      <c r="E545" s="14"/>
      <c r="F545" s="3"/>
      <c r="G545" s="3"/>
      <c r="H545" s="3"/>
      <c r="I545" s="7"/>
    </row>
    <row r="546" spans="1:9" x14ac:dyDescent="0.3">
      <c r="A546" s="7"/>
      <c r="B546" s="3"/>
      <c r="C546" s="3" t="s">
        <v>890</v>
      </c>
      <c r="D546" s="3"/>
      <c r="E546" s="14"/>
      <c r="F546" s="3"/>
      <c r="G546" s="3"/>
      <c r="H546" s="3"/>
      <c r="I546" s="7"/>
    </row>
    <row r="547" spans="1:9" x14ac:dyDescent="0.3">
      <c r="A547" s="7"/>
      <c r="B547" s="3"/>
      <c r="C547" s="3" t="s">
        <v>891</v>
      </c>
      <c r="D547" s="3"/>
      <c r="E547" s="14"/>
      <c r="F547" s="3"/>
      <c r="G547" s="3"/>
      <c r="H547" s="3"/>
      <c r="I547" s="7"/>
    </row>
    <row r="548" spans="1:9" x14ac:dyDescent="0.3">
      <c r="A548" s="7"/>
      <c r="B548" s="3"/>
      <c r="C548" s="3" t="s">
        <v>892</v>
      </c>
      <c r="D548" s="3"/>
      <c r="E548" s="14"/>
      <c r="F548" s="3"/>
      <c r="G548" s="3"/>
      <c r="H548" s="3"/>
      <c r="I548" s="7"/>
    </row>
    <row r="549" spans="1:9" x14ac:dyDescent="0.3">
      <c r="A549" s="7"/>
      <c r="B549" s="3"/>
      <c r="C549" s="3" t="s">
        <v>893</v>
      </c>
      <c r="D549" s="3"/>
      <c r="E549" s="14"/>
      <c r="F549" s="3"/>
      <c r="G549" s="3"/>
      <c r="H549" s="3"/>
      <c r="I549" s="7"/>
    </row>
    <row r="550" spans="1:9" x14ac:dyDescent="0.3">
      <c r="A550" s="7"/>
      <c r="B550" s="3"/>
      <c r="C550" s="3" t="s">
        <v>894</v>
      </c>
      <c r="D550" s="3"/>
      <c r="E550" s="14"/>
      <c r="F550" s="3"/>
      <c r="G550" s="3"/>
      <c r="H550" s="3"/>
      <c r="I550" s="7"/>
    </row>
    <row r="551" spans="1:9" x14ac:dyDescent="0.3">
      <c r="A551" s="7"/>
      <c r="B551" s="3"/>
      <c r="C551" s="3" t="s">
        <v>895</v>
      </c>
      <c r="D551" s="3"/>
      <c r="E551" s="14"/>
      <c r="F551" s="3"/>
      <c r="G551" s="3"/>
      <c r="H551" s="3"/>
      <c r="I551" s="7"/>
    </row>
    <row r="552" spans="1:9" x14ac:dyDescent="0.3">
      <c r="A552" s="7"/>
      <c r="B552" s="3"/>
      <c r="C552" s="3" t="s">
        <v>896</v>
      </c>
      <c r="D552" s="3"/>
      <c r="E552" s="14"/>
      <c r="F552" s="3"/>
      <c r="G552" s="3"/>
      <c r="H552" s="3"/>
      <c r="I552" s="7"/>
    </row>
    <row r="553" spans="1:9" x14ac:dyDescent="0.3">
      <c r="A553" s="7"/>
      <c r="B553" s="3"/>
      <c r="C553" s="3" t="s">
        <v>897</v>
      </c>
      <c r="D553" s="3"/>
      <c r="E553" s="14"/>
      <c r="F553" s="3"/>
      <c r="G553" s="3"/>
      <c r="H553" s="3"/>
      <c r="I553" s="7"/>
    </row>
    <row r="554" spans="1:9" x14ac:dyDescent="0.3">
      <c r="A554" s="7"/>
      <c r="B554" s="3"/>
      <c r="C554" s="3" t="s">
        <v>898</v>
      </c>
      <c r="D554" s="3"/>
      <c r="E554" s="14"/>
      <c r="F554" s="3"/>
      <c r="G554" s="3"/>
      <c r="H554" s="3"/>
      <c r="I554" s="7"/>
    </row>
    <row r="555" spans="1:9" x14ac:dyDescent="0.3">
      <c r="A555" s="7"/>
      <c r="B555" s="3"/>
      <c r="C555" s="3" t="s">
        <v>899</v>
      </c>
      <c r="D555" s="3"/>
      <c r="E555" s="14"/>
      <c r="F555" s="3"/>
      <c r="G555" s="3"/>
      <c r="H555" s="3"/>
      <c r="I555" s="7"/>
    </row>
    <row r="556" spans="1:9" x14ac:dyDescent="0.3">
      <c r="A556" s="7"/>
      <c r="B556" s="3"/>
      <c r="C556" s="3" t="s">
        <v>900</v>
      </c>
      <c r="D556" s="3"/>
      <c r="E556" s="14"/>
      <c r="F556" s="3"/>
      <c r="G556" s="3"/>
      <c r="H556" s="3"/>
      <c r="I556" s="7"/>
    </row>
    <row r="557" spans="1:9" x14ac:dyDescent="0.3">
      <c r="A557" s="7"/>
      <c r="B557" s="3"/>
      <c r="C557" s="3" t="s">
        <v>901</v>
      </c>
      <c r="D557" s="3"/>
      <c r="E557" s="14"/>
      <c r="F557" s="3"/>
      <c r="G557" s="3"/>
      <c r="H557" s="3"/>
      <c r="I557" s="7"/>
    </row>
    <row r="558" spans="1:9" x14ac:dyDescent="0.3">
      <c r="A558" s="7"/>
      <c r="B558" s="3"/>
      <c r="C558" s="3" t="s">
        <v>902</v>
      </c>
      <c r="D558" s="3"/>
      <c r="E558" s="14"/>
      <c r="F558" s="3"/>
      <c r="G558" s="3"/>
      <c r="H558" s="3"/>
      <c r="I558" s="7"/>
    </row>
    <row r="559" spans="1:9" x14ac:dyDescent="0.3">
      <c r="A559" s="7"/>
      <c r="B559" s="3"/>
      <c r="C559" s="3" t="s">
        <v>903</v>
      </c>
      <c r="D559" s="3"/>
      <c r="E559" s="14"/>
      <c r="F559" s="3"/>
      <c r="G559" s="3"/>
      <c r="H559" s="3"/>
      <c r="I559" s="7"/>
    </row>
    <row r="560" spans="1:9" x14ac:dyDescent="0.3">
      <c r="A560" s="7"/>
      <c r="B560" s="3"/>
      <c r="C560" s="3" t="s">
        <v>904</v>
      </c>
      <c r="D560" s="3"/>
      <c r="E560" s="14"/>
      <c r="F560" s="3"/>
      <c r="G560" s="3"/>
      <c r="H560" s="3"/>
      <c r="I560" s="7"/>
    </row>
    <row r="561" spans="1:9" x14ac:dyDescent="0.3">
      <c r="A561" s="7"/>
      <c r="B561" s="3"/>
      <c r="C561" s="3" t="s">
        <v>905</v>
      </c>
      <c r="D561" s="3"/>
      <c r="E561" s="14"/>
      <c r="F561" s="3"/>
      <c r="G561" s="3"/>
      <c r="H561" s="3"/>
      <c r="I561" s="7"/>
    </row>
    <row r="562" spans="1:9" x14ac:dyDescent="0.3">
      <c r="A562" s="7"/>
      <c r="B562" s="3"/>
      <c r="C562" s="3" t="s">
        <v>906</v>
      </c>
      <c r="D562" s="3"/>
      <c r="E562" s="14"/>
      <c r="F562" s="3"/>
      <c r="G562" s="3"/>
      <c r="H562" s="3"/>
      <c r="I562" s="7"/>
    </row>
    <row r="563" spans="1:9" x14ac:dyDescent="0.3">
      <c r="A563" s="7"/>
      <c r="B563" s="3"/>
      <c r="C563" s="3" t="s">
        <v>907</v>
      </c>
      <c r="D563" s="3"/>
      <c r="E563" s="14"/>
      <c r="F563" s="3"/>
      <c r="G563" s="3"/>
      <c r="H563" s="3"/>
      <c r="I563" s="7"/>
    </row>
    <row r="564" spans="1:9" x14ac:dyDescent="0.3">
      <c r="A564" s="7"/>
      <c r="B564" s="3"/>
      <c r="C564" s="3" t="s">
        <v>908</v>
      </c>
      <c r="D564" s="3"/>
      <c r="E564" s="14"/>
      <c r="F564" s="3"/>
      <c r="G564" s="3"/>
      <c r="H564" s="3"/>
      <c r="I564" s="7"/>
    </row>
    <row r="565" spans="1:9" x14ac:dyDescent="0.3">
      <c r="A565" s="7"/>
      <c r="B565" s="3"/>
      <c r="C565" s="3" t="s">
        <v>909</v>
      </c>
      <c r="D565" s="3"/>
      <c r="E565" s="14"/>
      <c r="F565" s="3"/>
      <c r="G565" s="3"/>
      <c r="H565" s="3"/>
      <c r="I565" s="7"/>
    </row>
    <row r="566" spans="1:9" x14ac:dyDescent="0.3">
      <c r="A566" s="7"/>
      <c r="B566" s="3"/>
      <c r="C566" s="3" t="s">
        <v>910</v>
      </c>
      <c r="D566" s="3"/>
      <c r="E566" s="14"/>
      <c r="F566" s="3"/>
      <c r="G566" s="3"/>
      <c r="H566" s="3"/>
      <c r="I566" s="7"/>
    </row>
    <row r="567" spans="1:9" x14ac:dyDescent="0.3">
      <c r="A567" s="7"/>
      <c r="B567" s="3"/>
      <c r="C567" s="3" t="s">
        <v>911</v>
      </c>
      <c r="D567" s="3"/>
      <c r="E567" s="14"/>
      <c r="F567" s="3"/>
      <c r="G567" s="3"/>
      <c r="H567" s="3"/>
      <c r="I567" s="7"/>
    </row>
    <row r="568" spans="1:9" x14ac:dyDescent="0.3">
      <c r="A568" s="7"/>
      <c r="B568" s="3"/>
      <c r="C568" s="3" t="s">
        <v>912</v>
      </c>
      <c r="D568" s="3"/>
      <c r="E568" s="14"/>
      <c r="F568" s="3"/>
      <c r="G568" s="3"/>
      <c r="H568" s="3"/>
      <c r="I568" s="7"/>
    </row>
    <row r="569" spans="1:9" x14ac:dyDescent="0.3">
      <c r="A569" s="7"/>
      <c r="B569" s="3"/>
      <c r="C569" s="3" t="s">
        <v>913</v>
      </c>
      <c r="D569" s="3"/>
      <c r="E569" s="14"/>
      <c r="F569" s="3"/>
      <c r="G569" s="3"/>
      <c r="H569" s="3"/>
      <c r="I569" s="7"/>
    </row>
    <row r="570" spans="1:9" x14ac:dyDescent="0.3">
      <c r="A570" s="7"/>
      <c r="B570" s="3"/>
      <c r="C570" s="3" t="s">
        <v>914</v>
      </c>
      <c r="D570" s="3"/>
      <c r="E570" s="14"/>
      <c r="F570" s="3"/>
      <c r="G570" s="3"/>
      <c r="H570" s="3"/>
      <c r="I570" s="7"/>
    </row>
    <row r="571" spans="1:9" x14ac:dyDescent="0.3">
      <c r="A571" s="7"/>
      <c r="B571" s="3"/>
      <c r="C571" s="3" t="s">
        <v>915</v>
      </c>
      <c r="D571" s="3"/>
      <c r="E571" s="14"/>
      <c r="F571" s="3"/>
      <c r="G571" s="3"/>
      <c r="H571" s="3"/>
      <c r="I571" s="7"/>
    </row>
    <row r="572" spans="1:9" x14ac:dyDescent="0.3">
      <c r="A572" s="7"/>
      <c r="B572" s="3"/>
      <c r="C572" s="3" t="s">
        <v>916</v>
      </c>
      <c r="D572" s="3"/>
      <c r="E572" s="14"/>
      <c r="F572" s="3"/>
      <c r="G572" s="3"/>
      <c r="H572" s="3"/>
      <c r="I572" s="7"/>
    </row>
    <row r="573" spans="1:9" x14ac:dyDescent="0.3">
      <c r="A573" s="7"/>
      <c r="B573" s="3"/>
      <c r="C573" s="3" t="s">
        <v>917</v>
      </c>
      <c r="D573" s="3"/>
      <c r="E573" s="14"/>
      <c r="F573" s="3"/>
      <c r="G573" s="3"/>
      <c r="H573" s="3"/>
      <c r="I573" s="7"/>
    </row>
    <row r="574" spans="1:9" x14ac:dyDescent="0.3">
      <c r="A574" s="7"/>
      <c r="B574" s="3"/>
      <c r="C574" s="3" t="s">
        <v>918</v>
      </c>
      <c r="D574" s="3"/>
      <c r="E574" s="14"/>
      <c r="F574" s="3"/>
      <c r="G574" s="3"/>
      <c r="H574" s="3"/>
      <c r="I574" s="7"/>
    </row>
    <row r="575" spans="1:9" x14ac:dyDescent="0.3">
      <c r="A575" s="7"/>
      <c r="B575" s="3"/>
      <c r="C575" s="3" t="s">
        <v>919</v>
      </c>
      <c r="D575" s="3"/>
      <c r="E575" s="14"/>
      <c r="F575" s="3"/>
      <c r="G575" s="3"/>
      <c r="H575" s="3"/>
      <c r="I575" s="7"/>
    </row>
    <row r="576" spans="1:9" x14ac:dyDescent="0.3">
      <c r="A576" s="7"/>
      <c r="B576" s="3"/>
      <c r="C576" s="3" t="s">
        <v>920</v>
      </c>
      <c r="D576" s="3"/>
      <c r="E576" s="14"/>
      <c r="F576" s="3"/>
      <c r="G576" s="3"/>
      <c r="H576" s="3"/>
      <c r="I576" s="7"/>
    </row>
    <row r="577" spans="1:9" x14ac:dyDescent="0.3">
      <c r="A577" s="7"/>
      <c r="B577" s="3"/>
      <c r="C577" s="3" t="s">
        <v>921</v>
      </c>
      <c r="D577" s="3"/>
      <c r="E577" s="14"/>
      <c r="F577" s="3"/>
      <c r="G577" s="3"/>
      <c r="H577" s="3"/>
      <c r="I577" s="7"/>
    </row>
    <row r="578" spans="1:9" x14ac:dyDescent="0.3">
      <c r="A578" s="7"/>
      <c r="B578" s="3"/>
      <c r="C578" s="3" t="s">
        <v>922</v>
      </c>
      <c r="D578" s="3"/>
      <c r="E578" s="14"/>
      <c r="F578" s="3"/>
      <c r="G578" s="3"/>
      <c r="H578" s="3"/>
      <c r="I578" s="7"/>
    </row>
    <row r="579" spans="1:9" x14ac:dyDescent="0.3">
      <c r="A579" s="7"/>
      <c r="B579" s="3"/>
      <c r="C579" s="3" t="s">
        <v>923</v>
      </c>
      <c r="D579" s="3"/>
      <c r="E579" s="14"/>
      <c r="F579" s="3"/>
      <c r="G579" s="3"/>
      <c r="H579" s="3"/>
      <c r="I579" s="7"/>
    </row>
    <row r="580" spans="1:9" x14ac:dyDescent="0.3">
      <c r="A580" s="7"/>
      <c r="B580" s="3"/>
      <c r="C580" s="3" t="s">
        <v>924</v>
      </c>
      <c r="D580" s="3"/>
      <c r="E580" s="14"/>
      <c r="F580" s="3"/>
      <c r="G580" s="3"/>
      <c r="H580" s="3"/>
      <c r="I580" s="7"/>
    </row>
    <row r="581" spans="1:9" x14ac:dyDescent="0.3">
      <c r="A581" s="7"/>
      <c r="B581" s="3"/>
      <c r="C581" s="3" t="s">
        <v>925</v>
      </c>
      <c r="D581" s="3"/>
      <c r="E581" s="14"/>
      <c r="F581" s="3"/>
      <c r="G581" s="3"/>
      <c r="H581" s="3"/>
      <c r="I581" s="7"/>
    </row>
    <row r="582" spans="1:9" x14ac:dyDescent="0.3">
      <c r="A582" s="7"/>
      <c r="B582" s="3"/>
      <c r="C582" s="3" t="s">
        <v>926</v>
      </c>
      <c r="D582" s="3"/>
      <c r="E582" s="14"/>
      <c r="F582" s="3"/>
      <c r="G582" s="3"/>
      <c r="H582" s="3"/>
      <c r="I582" s="7"/>
    </row>
    <row r="583" spans="1:9" x14ac:dyDescent="0.3">
      <c r="A583" s="7"/>
      <c r="B583" s="3"/>
      <c r="C583" s="3" t="s">
        <v>927</v>
      </c>
      <c r="D583" s="3"/>
      <c r="E583" s="14"/>
      <c r="F583" s="3"/>
      <c r="G583" s="3"/>
      <c r="H583" s="3"/>
      <c r="I583" s="7"/>
    </row>
    <row r="584" spans="1:9" x14ac:dyDescent="0.3">
      <c r="A584" s="7"/>
      <c r="B584" s="3"/>
      <c r="C584" s="3" t="s">
        <v>928</v>
      </c>
      <c r="D584" s="3"/>
      <c r="E584" s="14"/>
      <c r="F584" s="3"/>
      <c r="G584" s="3"/>
      <c r="H584" s="3"/>
      <c r="I584" s="7"/>
    </row>
    <row r="585" spans="1:9" x14ac:dyDescent="0.3">
      <c r="A585" s="7"/>
      <c r="B585" s="3"/>
      <c r="C585" s="3" t="s">
        <v>929</v>
      </c>
      <c r="D585" s="3"/>
      <c r="E585" s="14"/>
      <c r="F585" s="3"/>
      <c r="G585" s="3"/>
      <c r="H585" s="3"/>
      <c r="I585" s="7"/>
    </row>
    <row r="586" spans="1:9" x14ac:dyDescent="0.3">
      <c r="A586" s="7"/>
      <c r="B586" s="3"/>
      <c r="C586" s="3" t="s">
        <v>930</v>
      </c>
      <c r="D586" s="3"/>
      <c r="E586" s="14"/>
      <c r="F586" s="3"/>
      <c r="G586" s="3"/>
      <c r="H586" s="3"/>
      <c r="I586" s="7"/>
    </row>
    <row r="587" spans="1:9" x14ac:dyDescent="0.3">
      <c r="A587" s="7"/>
      <c r="B587" s="3"/>
      <c r="C587" s="3" t="s">
        <v>931</v>
      </c>
      <c r="D587" s="3"/>
      <c r="E587" s="14"/>
      <c r="F587" s="3"/>
      <c r="G587" s="3"/>
      <c r="H587" s="3"/>
      <c r="I587" s="7"/>
    </row>
    <row r="588" spans="1:9" x14ac:dyDescent="0.3">
      <c r="A588" s="7"/>
      <c r="B588" s="3"/>
      <c r="C588" s="3" t="s">
        <v>932</v>
      </c>
      <c r="D588" s="3"/>
      <c r="E588" s="14"/>
      <c r="F588" s="3"/>
      <c r="G588" s="3"/>
      <c r="H588" s="3"/>
      <c r="I588" s="7"/>
    </row>
    <row r="589" spans="1:9" x14ac:dyDescent="0.3">
      <c r="A589" s="7"/>
      <c r="B589" s="3"/>
      <c r="C589" s="3" t="s">
        <v>933</v>
      </c>
      <c r="D589" s="3"/>
      <c r="E589" s="14"/>
      <c r="F589" s="3"/>
      <c r="G589" s="3"/>
      <c r="H589" s="3"/>
      <c r="I589" s="7"/>
    </row>
    <row r="590" spans="1:9" x14ac:dyDescent="0.3">
      <c r="A590" s="7"/>
      <c r="B590" s="3"/>
      <c r="C590" s="3" t="s">
        <v>934</v>
      </c>
      <c r="D590" s="3"/>
      <c r="E590" s="14"/>
      <c r="F590" s="3"/>
      <c r="G590" s="3"/>
      <c r="H590" s="3"/>
      <c r="I590" s="7"/>
    </row>
    <row r="591" spans="1:9" x14ac:dyDescent="0.3">
      <c r="A591" s="7"/>
      <c r="B591" s="3"/>
      <c r="C591" s="3" t="s">
        <v>935</v>
      </c>
      <c r="D591" s="3"/>
      <c r="E591" s="14"/>
      <c r="F591" s="3"/>
      <c r="G591" s="3"/>
      <c r="H591" s="3"/>
      <c r="I591" s="7"/>
    </row>
    <row r="592" spans="1:9" x14ac:dyDescent="0.3">
      <c r="A592" s="7"/>
      <c r="B592" s="3"/>
      <c r="C592" s="3" t="s">
        <v>936</v>
      </c>
      <c r="D592" s="3"/>
      <c r="E592" s="14"/>
      <c r="F592" s="3"/>
      <c r="G592" s="3"/>
      <c r="H592" s="3"/>
      <c r="I592" s="7"/>
    </row>
    <row r="593" spans="1:9" x14ac:dyDescent="0.3">
      <c r="A593" s="7"/>
      <c r="B593" s="3"/>
      <c r="C593" s="3" t="s">
        <v>937</v>
      </c>
      <c r="D593" s="3"/>
      <c r="E593" s="14"/>
      <c r="F593" s="3"/>
      <c r="G593" s="3"/>
      <c r="H593" s="3"/>
      <c r="I593" s="7"/>
    </row>
    <row r="594" spans="1:9" x14ac:dyDescent="0.3">
      <c r="A594" s="7"/>
      <c r="B594" s="3"/>
      <c r="C594" s="3" t="s">
        <v>938</v>
      </c>
      <c r="D594" s="3"/>
      <c r="E594" s="14"/>
      <c r="F594" s="3"/>
      <c r="G594" s="3"/>
      <c r="H594" s="3"/>
      <c r="I594" s="7"/>
    </row>
    <row r="595" spans="1:9" x14ac:dyDescent="0.3">
      <c r="A595" s="7"/>
      <c r="B595" s="3"/>
      <c r="C595" s="3" t="s">
        <v>939</v>
      </c>
      <c r="D595" s="3"/>
      <c r="E595" s="14"/>
      <c r="F595" s="3"/>
      <c r="G595" s="3"/>
      <c r="H595" s="3"/>
      <c r="I595" s="7"/>
    </row>
    <row r="596" spans="1:9" x14ac:dyDescent="0.3">
      <c r="A596" s="7"/>
      <c r="B596" s="3"/>
      <c r="C596" s="3" t="s">
        <v>940</v>
      </c>
      <c r="D596" s="3"/>
      <c r="E596" s="14"/>
      <c r="F596" s="3"/>
      <c r="G596" s="3"/>
      <c r="H596" s="3"/>
      <c r="I596" s="7"/>
    </row>
    <row r="597" spans="1:9" x14ac:dyDescent="0.3">
      <c r="A597" s="7"/>
      <c r="B597" s="3"/>
      <c r="C597" s="3" t="s">
        <v>941</v>
      </c>
      <c r="D597" s="3"/>
      <c r="E597" s="14"/>
      <c r="F597" s="3"/>
      <c r="G597" s="3"/>
      <c r="H597" s="3"/>
      <c r="I597" s="7"/>
    </row>
    <row r="598" spans="1:9" x14ac:dyDescent="0.3">
      <c r="A598" s="7"/>
      <c r="B598" s="3"/>
      <c r="C598" s="3" t="s">
        <v>942</v>
      </c>
      <c r="D598" s="3"/>
      <c r="E598" s="14"/>
      <c r="F598" s="3"/>
      <c r="G598" s="3"/>
      <c r="H598" s="3"/>
      <c r="I598" s="7"/>
    </row>
    <row r="599" spans="1:9" x14ac:dyDescent="0.3">
      <c r="A599" s="7"/>
      <c r="B599" s="3"/>
      <c r="C599" s="3" t="s">
        <v>943</v>
      </c>
      <c r="D599" s="3"/>
      <c r="E599" s="14"/>
      <c r="F599" s="3"/>
      <c r="G599" s="3"/>
      <c r="H599" s="3"/>
      <c r="I599" s="7"/>
    </row>
    <row r="600" spans="1:9" x14ac:dyDescent="0.3">
      <c r="A600" s="7"/>
      <c r="B600" s="3"/>
      <c r="C600" s="3" t="s">
        <v>944</v>
      </c>
      <c r="D600" s="3"/>
      <c r="E600" s="14"/>
      <c r="F600" s="3"/>
      <c r="G600" s="3"/>
      <c r="H600" s="3"/>
      <c r="I600" s="7"/>
    </row>
    <row r="601" spans="1:9" x14ac:dyDescent="0.3">
      <c r="A601" s="7"/>
      <c r="B601" s="3"/>
      <c r="C601" s="3" t="s">
        <v>945</v>
      </c>
      <c r="D601" s="3"/>
      <c r="E601" s="14"/>
      <c r="F601" s="3"/>
      <c r="G601" s="3"/>
      <c r="H601" s="3"/>
      <c r="I601" s="7"/>
    </row>
    <row r="602" spans="1:9" x14ac:dyDescent="0.3">
      <c r="A602" s="7"/>
      <c r="B602" s="3"/>
      <c r="C602" s="3" t="s">
        <v>946</v>
      </c>
      <c r="D602" s="3"/>
      <c r="E602" s="14"/>
      <c r="F602" s="3"/>
      <c r="G602" s="3"/>
      <c r="H602" s="3"/>
      <c r="I602" s="7"/>
    </row>
    <row r="603" spans="1:9" x14ac:dyDescent="0.3">
      <c r="A603" s="7"/>
      <c r="B603" s="3"/>
      <c r="C603" s="3" t="s">
        <v>947</v>
      </c>
      <c r="D603" s="3"/>
      <c r="E603" s="14"/>
      <c r="F603" s="3"/>
      <c r="G603" s="3"/>
      <c r="H603" s="3"/>
      <c r="I603" s="7"/>
    </row>
    <row r="604" spans="1:9" x14ac:dyDescent="0.3">
      <c r="A604" s="7"/>
      <c r="B604" s="3"/>
      <c r="C604" s="3" t="s">
        <v>948</v>
      </c>
      <c r="D604" s="3"/>
      <c r="E604" s="14"/>
      <c r="F604" s="3"/>
      <c r="G604" s="3"/>
      <c r="H604" s="3"/>
      <c r="I604" s="7"/>
    </row>
    <row r="605" spans="1:9" x14ac:dyDescent="0.3">
      <c r="A605" s="7"/>
      <c r="B605" s="3"/>
      <c r="C605" s="3" t="s">
        <v>949</v>
      </c>
      <c r="D605" s="3"/>
      <c r="E605" s="14"/>
      <c r="F605" s="3"/>
      <c r="G605" s="3"/>
      <c r="H605" s="3"/>
      <c r="I605" s="7"/>
    </row>
    <row r="606" spans="1:9" x14ac:dyDescent="0.3">
      <c r="A606" s="7"/>
      <c r="B606" s="3"/>
      <c r="C606" s="3" t="s">
        <v>950</v>
      </c>
      <c r="D606" s="3"/>
      <c r="E606" s="14"/>
      <c r="F606" s="3"/>
      <c r="G606" s="3"/>
      <c r="H606" s="3"/>
      <c r="I606" s="7"/>
    </row>
    <row r="607" spans="1:9" x14ac:dyDescent="0.3">
      <c r="A607" s="7">
        <v>44574</v>
      </c>
      <c r="B607" s="3" t="s">
        <v>951</v>
      </c>
      <c r="C607" s="15" t="s">
        <v>952</v>
      </c>
      <c r="D607" s="3">
        <v>501</v>
      </c>
      <c r="E607" s="11" t="s">
        <v>953</v>
      </c>
      <c r="F607" s="3" t="s">
        <v>11</v>
      </c>
      <c r="G607" s="3" t="s">
        <v>1</v>
      </c>
      <c r="H607" s="3" t="s">
        <v>41</v>
      </c>
      <c r="I607" s="7">
        <v>44574</v>
      </c>
    </row>
    <row r="608" spans="1:9" x14ac:dyDescent="0.3">
      <c r="A608" s="7"/>
      <c r="B608" s="3"/>
      <c r="C608" s="3" t="s">
        <v>954</v>
      </c>
      <c r="D608" s="3"/>
      <c r="E608" s="11"/>
      <c r="F608" s="3"/>
      <c r="G608" s="3"/>
      <c r="H608" s="3"/>
      <c r="I608" s="7"/>
    </row>
    <row r="609" spans="1:9" x14ac:dyDescent="0.3">
      <c r="A609" s="7">
        <v>44572</v>
      </c>
      <c r="B609" s="3" t="s">
        <v>955</v>
      </c>
      <c r="C609" s="16" t="s">
        <v>956</v>
      </c>
      <c r="D609" s="3">
        <v>409</v>
      </c>
      <c r="E609" s="11" t="s">
        <v>957</v>
      </c>
      <c r="F609" s="3" t="s">
        <v>3</v>
      </c>
      <c r="G609" s="3" t="s">
        <v>1</v>
      </c>
      <c r="H609" s="3" t="s">
        <v>10</v>
      </c>
      <c r="I609" s="7">
        <v>44595</v>
      </c>
    </row>
    <row r="610" spans="1:9" x14ac:dyDescent="0.3">
      <c r="A610" s="7">
        <v>44571</v>
      </c>
      <c r="B610" s="3" t="s">
        <v>1314</v>
      </c>
      <c r="C610" s="3" t="s">
        <v>958</v>
      </c>
      <c r="D610" s="3">
        <v>608</v>
      </c>
      <c r="E610" s="11" t="s">
        <v>1313</v>
      </c>
      <c r="F610" s="3" t="s">
        <v>14</v>
      </c>
      <c r="G610" s="3" t="s">
        <v>4</v>
      </c>
      <c r="H610" s="3" t="s">
        <v>10</v>
      </c>
      <c r="I610" s="7">
        <v>44580</v>
      </c>
    </row>
    <row r="611" spans="1:9" x14ac:dyDescent="0.3">
      <c r="A611" s="7"/>
      <c r="B611" s="3"/>
      <c r="C611" s="3" t="s">
        <v>959</v>
      </c>
      <c r="D611" s="3"/>
      <c r="E611" s="11"/>
      <c r="F611" s="3"/>
      <c r="G611" s="3"/>
      <c r="H611" s="3"/>
      <c r="I611" s="7"/>
    </row>
    <row r="612" spans="1:9" x14ac:dyDescent="0.3">
      <c r="A612" s="7"/>
      <c r="B612" s="3"/>
      <c r="C612" s="3" t="s">
        <v>960</v>
      </c>
      <c r="D612" s="3"/>
      <c r="E612" s="11"/>
      <c r="F612" s="3"/>
      <c r="G612" s="3"/>
      <c r="H612" s="3"/>
      <c r="I612" s="7"/>
    </row>
    <row r="613" spans="1:9" x14ac:dyDescent="0.3">
      <c r="A613" s="7">
        <v>44605</v>
      </c>
      <c r="B613" s="3" t="s">
        <v>1361</v>
      </c>
      <c r="C613" s="3" t="s">
        <v>961</v>
      </c>
      <c r="D613" s="3">
        <v>625</v>
      </c>
      <c r="E613" s="11" t="s">
        <v>1360</v>
      </c>
      <c r="F613" s="3" t="s">
        <v>14</v>
      </c>
      <c r="G613" s="3" t="s">
        <v>7</v>
      </c>
      <c r="H613" s="3" t="s">
        <v>10</v>
      </c>
      <c r="I613" s="7">
        <v>44605</v>
      </c>
    </row>
    <row r="614" spans="1:9" x14ac:dyDescent="0.3">
      <c r="A614" s="7">
        <v>44579</v>
      </c>
      <c r="B614" s="3" t="s">
        <v>962</v>
      </c>
      <c r="C614" s="16" t="s">
        <v>963</v>
      </c>
      <c r="D614" s="3">
        <v>611</v>
      </c>
      <c r="E614" s="11" t="s">
        <v>1307</v>
      </c>
      <c r="F614" s="3" t="s">
        <v>12</v>
      </c>
      <c r="G614" s="3" t="s">
        <v>1</v>
      </c>
      <c r="H614" s="3" t="s">
        <v>10</v>
      </c>
      <c r="I614" s="7">
        <v>44585</v>
      </c>
    </row>
    <row r="615" spans="1:9" x14ac:dyDescent="0.3">
      <c r="A615" s="7"/>
      <c r="B615" s="3"/>
      <c r="C615" s="3" t="s">
        <v>964</v>
      </c>
      <c r="D615" s="3"/>
      <c r="E615" s="11"/>
      <c r="F615" s="3"/>
      <c r="G615" s="3"/>
      <c r="H615" s="3"/>
      <c r="I615" s="7"/>
    </row>
    <row r="616" spans="1:9" x14ac:dyDescent="0.3">
      <c r="A616" s="7"/>
      <c r="B616" s="3"/>
      <c r="C616" s="3" t="s">
        <v>965</v>
      </c>
      <c r="D616" s="3"/>
      <c r="E616" s="11"/>
      <c r="F616" s="3"/>
      <c r="G616" s="3"/>
      <c r="H616" s="3"/>
      <c r="I616" s="7"/>
    </row>
    <row r="617" spans="1:9" x14ac:dyDescent="0.3">
      <c r="A617" s="7"/>
      <c r="B617" s="3"/>
      <c r="C617" s="3" t="s">
        <v>966</v>
      </c>
      <c r="D617" s="3"/>
      <c r="E617" s="11"/>
      <c r="F617" s="3"/>
      <c r="G617" s="3"/>
      <c r="H617" s="3"/>
      <c r="I617" s="7"/>
    </row>
    <row r="618" spans="1:9" x14ac:dyDescent="0.3">
      <c r="A618" s="7"/>
      <c r="B618" s="3"/>
      <c r="C618" s="3" t="s">
        <v>967</v>
      </c>
      <c r="D618" s="3"/>
      <c r="E618" s="11"/>
      <c r="F618" s="3"/>
      <c r="G618" s="3"/>
      <c r="H618" s="3"/>
      <c r="I618" s="7"/>
    </row>
    <row r="619" spans="1:9" x14ac:dyDescent="0.3">
      <c r="A619" s="7">
        <v>44609</v>
      </c>
      <c r="B619" s="3" t="s">
        <v>1532</v>
      </c>
      <c r="C619" s="16" t="s">
        <v>968</v>
      </c>
      <c r="D619" s="3">
        <v>501</v>
      </c>
      <c r="E619" s="11" t="s">
        <v>1471</v>
      </c>
      <c r="F619" s="3" t="s">
        <v>6</v>
      </c>
      <c r="G619" s="3" t="s">
        <v>4</v>
      </c>
      <c r="H619" s="3" t="s">
        <v>10</v>
      </c>
      <c r="I619" s="7">
        <v>44609</v>
      </c>
    </row>
    <row r="620" spans="1:9" x14ac:dyDescent="0.3">
      <c r="A620" s="7"/>
      <c r="B620" s="3"/>
      <c r="C620" s="3" t="s">
        <v>969</v>
      </c>
      <c r="D620" s="3"/>
      <c r="E620" s="11"/>
      <c r="F620" s="3"/>
      <c r="G620" s="3"/>
      <c r="H620" s="3"/>
      <c r="I620" s="7"/>
    </row>
    <row r="621" spans="1:9" x14ac:dyDescent="0.3">
      <c r="A621" s="7"/>
      <c r="B621" s="3"/>
      <c r="C621" s="3" t="s">
        <v>970</v>
      </c>
      <c r="D621" s="3"/>
      <c r="E621" s="11"/>
      <c r="F621" s="3"/>
      <c r="G621" s="3"/>
      <c r="H621" s="3"/>
      <c r="I621" s="7"/>
    </row>
    <row r="622" spans="1:9" x14ac:dyDescent="0.3">
      <c r="A622" s="7"/>
      <c r="B622" s="3"/>
      <c r="C622" s="3" t="s">
        <v>971</v>
      </c>
      <c r="D622" s="3"/>
      <c r="E622" s="11"/>
      <c r="F622" s="3"/>
      <c r="G622" s="3"/>
      <c r="H622" s="3"/>
      <c r="I622" s="7"/>
    </row>
    <row r="623" spans="1:9" x14ac:dyDescent="0.3">
      <c r="A623" s="7"/>
      <c r="B623" s="3"/>
      <c r="C623" s="3" t="s">
        <v>972</v>
      </c>
      <c r="D623" s="3"/>
      <c r="E623" s="11"/>
      <c r="F623" s="3"/>
      <c r="G623" s="3"/>
      <c r="H623" s="3"/>
      <c r="I623" s="7"/>
    </row>
    <row r="624" spans="1:9" x14ac:dyDescent="0.3">
      <c r="A624" s="7"/>
      <c r="B624" s="3"/>
      <c r="C624" s="3" t="s">
        <v>973</v>
      </c>
      <c r="D624" s="3"/>
      <c r="E624" s="11"/>
      <c r="F624" s="3"/>
      <c r="G624" s="3"/>
      <c r="H624" s="3"/>
      <c r="I624" s="7"/>
    </row>
    <row r="625" spans="1:9" x14ac:dyDescent="0.3">
      <c r="A625" s="7"/>
      <c r="B625" s="3"/>
      <c r="C625" s="3" t="s">
        <v>974</v>
      </c>
      <c r="D625" s="3"/>
      <c r="E625" s="11"/>
      <c r="F625" s="3"/>
      <c r="G625" s="3"/>
      <c r="H625" s="3"/>
      <c r="I625" s="7"/>
    </row>
    <row r="626" spans="1:9" x14ac:dyDescent="0.3">
      <c r="A626" s="7"/>
      <c r="B626" s="3" t="s">
        <v>1472</v>
      </c>
      <c r="C626" s="3" t="s">
        <v>975</v>
      </c>
      <c r="D626" s="3">
        <v>519</v>
      </c>
      <c r="E626" s="11" t="s">
        <v>1473</v>
      </c>
      <c r="F626" s="3" t="s">
        <v>9</v>
      </c>
      <c r="G626" s="3" t="s">
        <v>4</v>
      </c>
      <c r="H626" s="3" t="s">
        <v>2</v>
      </c>
      <c r="I626" s="7"/>
    </row>
    <row r="627" spans="1:9" x14ac:dyDescent="0.3">
      <c r="A627" s="7"/>
      <c r="B627" s="3"/>
      <c r="C627" s="3" t="s">
        <v>976</v>
      </c>
      <c r="D627" s="3"/>
      <c r="E627" s="11"/>
      <c r="F627" s="3"/>
      <c r="G627" s="3"/>
      <c r="H627" s="3"/>
      <c r="I627" s="7"/>
    </row>
    <row r="628" spans="1:9" x14ac:dyDescent="0.3">
      <c r="A628" s="7"/>
      <c r="B628" s="3"/>
      <c r="C628" s="3" t="s">
        <v>977</v>
      </c>
      <c r="D628" s="3"/>
      <c r="E628" s="11"/>
      <c r="F628" s="3"/>
      <c r="G628" s="3"/>
      <c r="H628" s="3"/>
      <c r="I628" s="7"/>
    </row>
    <row r="629" spans="1:9" x14ac:dyDescent="0.3">
      <c r="A629" s="7"/>
      <c r="B629" s="3"/>
      <c r="C629" s="3" t="s">
        <v>978</v>
      </c>
      <c r="D629" s="3"/>
      <c r="E629" s="11"/>
      <c r="F629" s="3"/>
      <c r="G629" s="3"/>
      <c r="H629" s="3"/>
      <c r="I629" s="7"/>
    </row>
    <row r="630" spans="1:9" x14ac:dyDescent="0.3">
      <c r="A630" s="7"/>
      <c r="B630" s="3"/>
      <c r="C630" s="3" t="s">
        <v>979</v>
      </c>
      <c r="D630" s="3"/>
      <c r="E630" s="11"/>
      <c r="F630" s="3"/>
      <c r="G630" s="3"/>
      <c r="H630" s="3"/>
      <c r="I630" s="7"/>
    </row>
    <row r="631" spans="1:9" x14ac:dyDescent="0.3">
      <c r="A631" s="7"/>
      <c r="B631" s="3"/>
      <c r="C631" s="3" t="s">
        <v>980</v>
      </c>
      <c r="D631" s="3"/>
      <c r="E631" s="11"/>
      <c r="F631" s="3"/>
      <c r="G631" s="3"/>
      <c r="H631" s="3"/>
      <c r="I631" s="7"/>
    </row>
    <row r="632" spans="1:9" x14ac:dyDescent="0.3">
      <c r="A632" s="7"/>
      <c r="B632" s="3"/>
      <c r="C632" s="3" t="s">
        <v>981</v>
      </c>
      <c r="D632" s="3"/>
      <c r="E632" s="11"/>
      <c r="F632" s="3"/>
      <c r="G632" s="3"/>
      <c r="H632" s="3"/>
      <c r="I632" s="7"/>
    </row>
    <row r="633" spans="1:9" x14ac:dyDescent="0.3">
      <c r="A633" s="7"/>
      <c r="B633" s="3"/>
      <c r="C633" s="3" t="s">
        <v>982</v>
      </c>
      <c r="D633" s="3"/>
      <c r="E633" s="11"/>
      <c r="F633" s="3"/>
      <c r="G633" s="3"/>
      <c r="H633" s="3"/>
      <c r="I633" s="7"/>
    </row>
    <row r="634" spans="1:9" x14ac:dyDescent="0.3">
      <c r="A634" s="7"/>
      <c r="B634" s="3"/>
      <c r="C634" s="3" t="s">
        <v>983</v>
      </c>
      <c r="D634" s="3"/>
      <c r="E634" s="11"/>
      <c r="F634" s="3"/>
      <c r="G634" s="3"/>
      <c r="H634" s="3"/>
      <c r="I634" s="7"/>
    </row>
    <row r="635" spans="1:9" ht="28.8" x14ac:dyDescent="0.3">
      <c r="A635" s="7">
        <v>44580</v>
      </c>
      <c r="B635" s="3" t="s">
        <v>1363</v>
      </c>
      <c r="C635" s="3" t="s">
        <v>984</v>
      </c>
      <c r="D635" s="3">
        <v>420</v>
      </c>
      <c r="E635" s="14" t="s">
        <v>1362</v>
      </c>
      <c r="F635" s="3" t="s">
        <v>14</v>
      </c>
      <c r="G635" s="3" t="s">
        <v>7</v>
      </c>
      <c r="H635" s="3" t="s">
        <v>10</v>
      </c>
      <c r="I635" s="7">
        <v>44580</v>
      </c>
    </row>
    <row r="636" spans="1:9" x14ac:dyDescent="0.3">
      <c r="A636" s="7"/>
      <c r="B636" s="3"/>
      <c r="C636" s="3" t="s">
        <v>985</v>
      </c>
      <c r="D636" s="3"/>
      <c r="E636" s="11"/>
      <c r="F636" s="3"/>
      <c r="G636" s="3"/>
      <c r="H636" s="3"/>
      <c r="I636" s="7"/>
    </row>
    <row r="637" spans="1:9" x14ac:dyDescent="0.3">
      <c r="A637" s="7"/>
      <c r="B637" s="3"/>
      <c r="C637" s="3" t="s">
        <v>986</v>
      </c>
      <c r="D637" s="3"/>
      <c r="E637" s="11"/>
      <c r="F637" s="3"/>
      <c r="G637" s="3"/>
      <c r="H637" s="3"/>
      <c r="I637" s="7"/>
    </row>
    <row r="638" spans="1:9" x14ac:dyDescent="0.3">
      <c r="A638" s="7"/>
      <c r="B638" s="3"/>
      <c r="C638" s="3" t="s">
        <v>987</v>
      </c>
      <c r="D638" s="3"/>
      <c r="E638" s="11"/>
      <c r="F638" s="3"/>
      <c r="G638" s="3"/>
      <c r="H638" s="3"/>
      <c r="I638" s="7"/>
    </row>
    <row r="639" spans="1:9" x14ac:dyDescent="0.3">
      <c r="A639" s="7"/>
      <c r="B639" s="3"/>
      <c r="C639" s="3" t="s">
        <v>988</v>
      </c>
      <c r="D639" s="3"/>
      <c r="E639" s="11"/>
      <c r="F639" s="3"/>
      <c r="G639" s="3"/>
      <c r="H639" s="3"/>
      <c r="I639" s="7"/>
    </row>
    <row r="640" spans="1:9" x14ac:dyDescent="0.3">
      <c r="A640" s="6">
        <v>44545</v>
      </c>
      <c r="B640" s="3" t="s">
        <v>989</v>
      </c>
      <c r="C640" s="3" t="s">
        <v>990</v>
      </c>
      <c r="D640" s="3">
        <v>414</v>
      </c>
      <c r="E640" s="11" t="s">
        <v>991</v>
      </c>
      <c r="F640" s="3" t="s">
        <v>9</v>
      </c>
      <c r="G640" s="3"/>
      <c r="H640" s="3" t="s">
        <v>41</v>
      </c>
      <c r="I640" s="7">
        <v>44574</v>
      </c>
    </row>
    <row r="641" spans="1:9" x14ac:dyDescent="0.3">
      <c r="A641" s="7"/>
      <c r="B641" s="3"/>
      <c r="C641" s="3" t="s">
        <v>992</v>
      </c>
      <c r="D641" s="3"/>
      <c r="E641" s="11"/>
      <c r="F641" s="3"/>
      <c r="G641" s="3"/>
      <c r="H641" s="3"/>
      <c r="I641" s="7"/>
    </row>
    <row r="642" spans="1:9" x14ac:dyDescent="0.3">
      <c r="A642" s="7"/>
      <c r="B642" s="3"/>
      <c r="C642" s="3" t="s">
        <v>993</v>
      </c>
      <c r="D642" s="3"/>
      <c r="E642" s="11"/>
      <c r="F642" s="3"/>
      <c r="G642" s="3"/>
      <c r="H642" s="3"/>
      <c r="I642" s="7"/>
    </row>
    <row r="643" spans="1:9" x14ac:dyDescent="0.3">
      <c r="A643" s="7"/>
      <c r="B643" s="3"/>
      <c r="C643" s="3" t="s">
        <v>994</v>
      </c>
      <c r="D643" s="3"/>
      <c r="E643" s="11"/>
      <c r="F643" s="3"/>
      <c r="G643" s="3"/>
      <c r="H643" s="3"/>
      <c r="I643" s="7"/>
    </row>
    <row r="644" spans="1:9" x14ac:dyDescent="0.3">
      <c r="A644" s="7"/>
      <c r="B644" s="3"/>
      <c r="C644" s="3" t="s">
        <v>995</v>
      </c>
      <c r="D644" s="3"/>
      <c r="E644" s="11"/>
      <c r="F644" s="3"/>
      <c r="G644" s="3"/>
      <c r="H644" s="3"/>
      <c r="I644" s="7"/>
    </row>
    <row r="645" spans="1:9" ht="28.8" x14ac:dyDescent="0.3">
      <c r="A645" s="7">
        <v>44585</v>
      </c>
      <c r="B645" s="3" t="s">
        <v>1326</v>
      </c>
      <c r="C645" s="3" t="s">
        <v>996</v>
      </c>
      <c r="D645" s="3">
        <v>415</v>
      </c>
      <c r="E645" s="14" t="s">
        <v>1329</v>
      </c>
      <c r="F645" s="3" t="s">
        <v>9</v>
      </c>
      <c r="G645" s="3" t="s">
        <v>7</v>
      </c>
      <c r="H645" s="3" t="s">
        <v>5</v>
      </c>
      <c r="I645" s="7"/>
    </row>
    <row r="646" spans="1:9" x14ac:dyDescent="0.3">
      <c r="A646" s="7"/>
      <c r="B646" s="3"/>
      <c r="C646" s="3" t="s">
        <v>997</v>
      </c>
      <c r="D646" s="3"/>
      <c r="E646" s="11"/>
      <c r="F646" s="3"/>
      <c r="G646" s="3"/>
      <c r="H646" s="3"/>
      <c r="I646" s="7"/>
    </row>
    <row r="647" spans="1:9" x14ac:dyDescent="0.3">
      <c r="A647" s="7"/>
      <c r="B647" s="3"/>
      <c r="C647" s="3" t="s">
        <v>998</v>
      </c>
      <c r="D647" s="3"/>
      <c r="E647" s="11"/>
      <c r="F647" s="3"/>
      <c r="G647" s="3"/>
      <c r="H647" s="3"/>
      <c r="I647" s="7"/>
    </row>
    <row r="648" spans="1:9" x14ac:dyDescent="0.3">
      <c r="A648" s="7"/>
      <c r="B648" s="3"/>
      <c r="C648" s="3" t="s">
        <v>999</v>
      </c>
      <c r="D648" s="3"/>
      <c r="E648" s="11"/>
      <c r="F648" s="3"/>
      <c r="G648" s="3"/>
      <c r="H648" s="3"/>
      <c r="I648" s="7"/>
    </row>
    <row r="649" spans="1:9" x14ac:dyDescent="0.3">
      <c r="A649" s="7"/>
      <c r="B649" s="3"/>
      <c r="C649" s="3" t="s">
        <v>1000</v>
      </c>
      <c r="D649" s="3"/>
      <c r="E649" s="11"/>
      <c r="F649" s="3"/>
      <c r="G649" s="3"/>
      <c r="H649" s="3"/>
      <c r="I649" s="7"/>
    </row>
    <row r="650" spans="1:9" x14ac:dyDescent="0.3">
      <c r="A650" s="7"/>
      <c r="B650" s="3"/>
      <c r="C650" s="3" t="s">
        <v>1001</v>
      </c>
      <c r="D650" s="3"/>
      <c r="E650" s="11"/>
      <c r="F650" s="3"/>
      <c r="G650" s="3"/>
      <c r="H650" s="3"/>
      <c r="I650" s="7"/>
    </row>
    <row r="651" spans="1:9" ht="28.8" x14ac:dyDescent="0.3">
      <c r="A651" s="7">
        <v>44585</v>
      </c>
      <c r="B651" s="3" t="s">
        <v>1327</v>
      </c>
      <c r="C651" s="3" t="s">
        <v>1002</v>
      </c>
      <c r="D651" s="3">
        <v>402</v>
      </c>
      <c r="E651" s="14" t="s">
        <v>1328</v>
      </c>
      <c r="F651" s="3" t="s">
        <v>9</v>
      </c>
      <c r="G651" s="3" t="s">
        <v>7</v>
      </c>
      <c r="H651" s="3" t="s">
        <v>5</v>
      </c>
      <c r="I651" s="7"/>
    </row>
    <row r="652" spans="1:9" x14ac:dyDescent="0.3">
      <c r="A652" s="7"/>
      <c r="B652" s="3"/>
      <c r="C652" s="3" t="s">
        <v>1003</v>
      </c>
      <c r="D652" s="3"/>
      <c r="E652" s="11"/>
      <c r="F652" s="3"/>
      <c r="G652" s="3"/>
      <c r="H652" s="3"/>
      <c r="I652" s="7"/>
    </row>
    <row r="653" spans="1:9" x14ac:dyDescent="0.3">
      <c r="A653" s="7"/>
      <c r="B653" s="3"/>
      <c r="C653" s="3" t="s">
        <v>1004</v>
      </c>
      <c r="D653" s="3"/>
      <c r="E653" s="11"/>
      <c r="F653" s="3"/>
      <c r="G653" s="3"/>
      <c r="H653" s="3"/>
      <c r="I653" s="7"/>
    </row>
    <row r="654" spans="1:9" x14ac:dyDescent="0.3">
      <c r="A654" s="7"/>
      <c r="B654" s="3"/>
      <c r="C654" s="3" t="s">
        <v>1005</v>
      </c>
      <c r="D654" s="3"/>
      <c r="E654" s="11"/>
      <c r="F654" s="3"/>
      <c r="G654" s="3"/>
      <c r="H654" s="3"/>
      <c r="I654" s="7"/>
    </row>
    <row r="655" spans="1:9" x14ac:dyDescent="0.3">
      <c r="A655" s="7">
        <v>44580</v>
      </c>
      <c r="B655" s="3" t="s">
        <v>1448</v>
      </c>
      <c r="C655" s="3" t="s">
        <v>1006</v>
      </c>
      <c r="D655" s="3">
        <v>418</v>
      </c>
      <c r="E655" s="11" t="s">
        <v>1447</v>
      </c>
      <c r="F655" s="3" t="s">
        <v>14</v>
      </c>
      <c r="G655" s="3" t="s">
        <v>7</v>
      </c>
      <c r="H655" s="3" t="s">
        <v>10</v>
      </c>
      <c r="I655" s="13">
        <v>44580</v>
      </c>
    </row>
    <row r="656" spans="1:9" x14ac:dyDescent="0.3">
      <c r="A656" s="7"/>
      <c r="B656" s="3"/>
      <c r="C656" s="3" t="s">
        <v>1007</v>
      </c>
      <c r="D656" s="3"/>
      <c r="E656" s="11"/>
      <c r="F656" s="3"/>
      <c r="G656" s="3"/>
      <c r="H656" s="3"/>
      <c r="I656" s="7"/>
    </row>
    <row r="657" spans="1:9" x14ac:dyDescent="0.3">
      <c r="A657" s="7"/>
      <c r="B657" s="3"/>
      <c r="C657" s="3" t="s">
        <v>1008</v>
      </c>
      <c r="D657" s="3"/>
      <c r="E657" s="11"/>
      <c r="F657" s="3"/>
      <c r="G657" s="3"/>
      <c r="H657" s="3"/>
      <c r="I657" s="7"/>
    </row>
    <row r="658" spans="1:9" x14ac:dyDescent="0.3">
      <c r="A658" s="7"/>
      <c r="B658" s="3"/>
      <c r="C658" s="3" t="s">
        <v>1009</v>
      </c>
      <c r="D658" s="3"/>
      <c r="E658" s="11"/>
      <c r="F658" s="3"/>
      <c r="G658" s="3"/>
      <c r="H658" s="3"/>
      <c r="I658" s="7"/>
    </row>
    <row r="659" spans="1:9" x14ac:dyDescent="0.3">
      <c r="A659" s="7"/>
      <c r="B659" s="3"/>
      <c r="C659" s="3" t="s">
        <v>1010</v>
      </c>
      <c r="D659" s="3"/>
      <c r="E659" s="11"/>
      <c r="F659" s="3"/>
      <c r="G659" s="3"/>
      <c r="H659" s="3"/>
      <c r="I659" s="7"/>
    </row>
    <row r="660" spans="1:9" x14ac:dyDescent="0.3">
      <c r="A660" s="7"/>
      <c r="B660" s="3"/>
      <c r="C660" s="3" t="s">
        <v>1011</v>
      </c>
      <c r="D660" s="3"/>
      <c r="E660" s="11"/>
      <c r="F660" s="3"/>
      <c r="G660" s="3"/>
      <c r="H660" s="3"/>
      <c r="I660" s="7"/>
    </row>
    <row r="661" spans="1:9" x14ac:dyDescent="0.3">
      <c r="A661" s="7"/>
      <c r="B661" s="3"/>
      <c r="C661" s="3" t="s">
        <v>1012</v>
      </c>
      <c r="D661" s="3"/>
      <c r="E661" s="11"/>
      <c r="F661" s="3"/>
      <c r="G661" s="3"/>
      <c r="H661" s="3"/>
      <c r="I661" s="7"/>
    </row>
    <row r="662" spans="1:9" x14ac:dyDescent="0.3">
      <c r="A662" s="7">
        <v>44612</v>
      </c>
      <c r="B662" s="3" t="s">
        <v>1476</v>
      </c>
      <c r="C662" s="16" t="s">
        <v>1013</v>
      </c>
      <c r="D662" s="3">
        <v>508</v>
      </c>
      <c r="E662" s="11" t="s">
        <v>1501</v>
      </c>
      <c r="F662" s="3" t="s">
        <v>9</v>
      </c>
      <c r="G662" s="3" t="s">
        <v>4</v>
      </c>
      <c r="H662" s="3" t="s">
        <v>10</v>
      </c>
      <c r="I662" s="7">
        <v>44612</v>
      </c>
    </row>
    <row r="663" spans="1:9" x14ac:dyDescent="0.3">
      <c r="A663" s="6">
        <v>44571</v>
      </c>
      <c r="B663" s="3" t="s">
        <v>1014</v>
      </c>
      <c r="C663" s="3" t="s">
        <v>1015</v>
      </c>
      <c r="D663" s="3">
        <v>404</v>
      </c>
      <c r="E663" s="11" t="s">
        <v>1016</v>
      </c>
      <c r="F663" s="3" t="s">
        <v>3</v>
      </c>
      <c r="G663" s="3" t="s">
        <v>1</v>
      </c>
      <c r="H663" s="3" t="s">
        <v>10</v>
      </c>
      <c r="I663" s="7">
        <v>44586</v>
      </c>
    </row>
    <row r="664" spans="1:9" ht="28.8" x14ac:dyDescent="0.3">
      <c r="A664" s="7">
        <v>44572</v>
      </c>
      <c r="B664" s="3" t="s">
        <v>1452</v>
      </c>
      <c r="C664" s="3" t="s">
        <v>1017</v>
      </c>
      <c r="D664" s="3">
        <v>408</v>
      </c>
      <c r="E664" s="14" t="s">
        <v>1451</v>
      </c>
      <c r="F664" s="3" t="s">
        <v>14</v>
      </c>
      <c r="G664" s="3" t="s">
        <v>7</v>
      </c>
      <c r="H664" s="3" t="s">
        <v>10</v>
      </c>
      <c r="I664" s="7">
        <v>44572</v>
      </c>
    </row>
    <row r="665" spans="1:9" ht="28.8" x14ac:dyDescent="0.3">
      <c r="A665" s="7">
        <v>44598</v>
      </c>
      <c r="B665" s="3" t="s">
        <v>1364</v>
      </c>
      <c r="C665" s="3" t="s">
        <v>1018</v>
      </c>
      <c r="D665" s="3">
        <v>614</v>
      </c>
      <c r="E665" s="14" t="s">
        <v>1365</v>
      </c>
      <c r="F665" s="3" t="s">
        <v>14</v>
      </c>
      <c r="G665" s="3" t="s">
        <v>7</v>
      </c>
      <c r="H665" s="3" t="s">
        <v>10</v>
      </c>
      <c r="I665" s="7">
        <v>44598</v>
      </c>
    </row>
    <row r="666" spans="1:9" x14ac:dyDescent="0.3">
      <c r="A666" s="7"/>
      <c r="B666" s="12" t="s">
        <v>1458</v>
      </c>
      <c r="C666" s="3" t="s">
        <v>1019</v>
      </c>
      <c r="D666" s="3">
        <v>414</v>
      </c>
      <c r="E666" s="11" t="s">
        <v>1457</v>
      </c>
      <c r="F666" s="3" t="s">
        <v>9</v>
      </c>
      <c r="G666" s="3" t="s">
        <v>7</v>
      </c>
      <c r="H666" s="3" t="s">
        <v>5</v>
      </c>
      <c r="I666" s="7"/>
    </row>
    <row r="667" spans="1:9" x14ac:dyDescent="0.3">
      <c r="A667" s="7"/>
      <c r="B667" s="3"/>
      <c r="C667" s="3" t="s">
        <v>1020</v>
      </c>
      <c r="D667" s="3"/>
      <c r="E667" s="11"/>
      <c r="F667" s="3"/>
      <c r="G667" s="3"/>
      <c r="H667" s="3"/>
      <c r="I667" s="7"/>
    </row>
    <row r="668" spans="1:9" x14ac:dyDescent="0.3">
      <c r="A668" s="7">
        <v>44574</v>
      </c>
      <c r="B668" s="3" t="s">
        <v>1367</v>
      </c>
      <c r="C668" s="3" t="s">
        <v>1021</v>
      </c>
      <c r="D668" s="3">
        <v>414</v>
      </c>
      <c r="E668" s="11" t="s">
        <v>1366</v>
      </c>
      <c r="F668" s="3" t="s">
        <v>14</v>
      </c>
      <c r="G668" s="3" t="s">
        <v>7</v>
      </c>
      <c r="H668" s="3" t="s">
        <v>10</v>
      </c>
      <c r="I668" s="7">
        <v>44574</v>
      </c>
    </row>
    <row r="669" spans="1:9" x14ac:dyDescent="0.3">
      <c r="A669" s="7"/>
      <c r="B669" s="3"/>
      <c r="C669" s="3" t="s">
        <v>1022</v>
      </c>
      <c r="D669" s="3"/>
      <c r="E669" s="11"/>
      <c r="F669" s="3"/>
      <c r="G669" s="3"/>
      <c r="H669" s="3"/>
      <c r="I669" s="7"/>
    </row>
    <row r="670" spans="1:9" x14ac:dyDescent="0.3">
      <c r="A670" s="7"/>
      <c r="B670" s="3"/>
      <c r="C670" s="3" t="s">
        <v>1023</v>
      </c>
      <c r="D670" s="3"/>
      <c r="E670" s="11"/>
      <c r="F670" s="3"/>
      <c r="G670" s="3"/>
      <c r="H670" s="3"/>
      <c r="I670" s="7"/>
    </row>
    <row r="671" spans="1:9" x14ac:dyDescent="0.3">
      <c r="A671" s="7">
        <v>44580</v>
      </c>
      <c r="B671" s="1" t="s">
        <v>1440</v>
      </c>
      <c r="C671" s="3" t="s">
        <v>1024</v>
      </c>
      <c r="D671" s="3">
        <v>423</v>
      </c>
      <c r="E671" s="11" t="s">
        <v>1439</v>
      </c>
      <c r="F671" s="3" t="s">
        <v>14</v>
      </c>
      <c r="G671" s="3" t="s">
        <v>7</v>
      </c>
      <c r="H671" s="3" t="s">
        <v>10</v>
      </c>
      <c r="I671" s="7">
        <v>44580</v>
      </c>
    </row>
    <row r="672" spans="1:9" x14ac:dyDescent="0.3">
      <c r="A672" s="6">
        <v>44563</v>
      </c>
      <c r="B672" s="3" t="s">
        <v>1025</v>
      </c>
      <c r="C672" s="3" t="s">
        <v>1026</v>
      </c>
      <c r="D672" s="3">
        <v>412</v>
      </c>
      <c r="E672" s="11" t="s">
        <v>953</v>
      </c>
      <c r="F672" s="3" t="s">
        <v>9</v>
      </c>
      <c r="G672" s="3"/>
      <c r="H672" s="3" t="s">
        <v>41</v>
      </c>
      <c r="I672" s="7">
        <v>44574</v>
      </c>
    </row>
    <row r="673" spans="1:9" x14ac:dyDescent="0.3">
      <c r="A673" s="6"/>
      <c r="B673" s="3"/>
      <c r="C673" s="3" t="s">
        <v>1027</v>
      </c>
      <c r="D673" s="3"/>
      <c r="E673" s="11"/>
      <c r="F673" s="3"/>
      <c r="G673" s="3"/>
      <c r="H673" s="3"/>
      <c r="I673" s="7"/>
    </row>
    <row r="674" spans="1:9" x14ac:dyDescent="0.3">
      <c r="A674" s="6">
        <v>44611</v>
      </c>
      <c r="B674" s="3" t="s">
        <v>1509</v>
      </c>
      <c r="C674" s="15" t="s">
        <v>1028</v>
      </c>
      <c r="D674" s="3">
        <v>422</v>
      </c>
      <c r="E674" s="11" t="s">
        <v>1510</v>
      </c>
      <c r="F674" s="3" t="s">
        <v>14</v>
      </c>
      <c r="G674" s="3" t="s">
        <v>7</v>
      </c>
      <c r="H674" s="3" t="s">
        <v>10</v>
      </c>
      <c r="I674" s="7">
        <v>44615</v>
      </c>
    </row>
    <row r="675" spans="1:9" x14ac:dyDescent="0.3">
      <c r="A675" s="6"/>
      <c r="B675" s="3"/>
      <c r="C675" s="3" t="s">
        <v>1029</v>
      </c>
      <c r="D675" s="3"/>
      <c r="E675" s="11"/>
      <c r="F675" s="3"/>
      <c r="G675" s="3"/>
      <c r="H675" s="3"/>
      <c r="I675" s="7"/>
    </row>
    <row r="676" spans="1:9" x14ac:dyDescent="0.3">
      <c r="A676" s="6"/>
      <c r="B676" s="3"/>
      <c r="C676" s="3" t="s">
        <v>1030</v>
      </c>
      <c r="D676" s="3"/>
      <c r="E676" s="11"/>
      <c r="F676" s="3"/>
      <c r="G676" s="3"/>
      <c r="H676" s="3"/>
      <c r="I676" s="7"/>
    </row>
    <row r="677" spans="1:9" x14ac:dyDescent="0.3">
      <c r="A677" s="6"/>
      <c r="B677" s="3"/>
      <c r="C677" s="3" t="s">
        <v>1031</v>
      </c>
      <c r="D677" s="3"/>
      <c r="E677" s="11"/>
      <c r="F677" s="3"/>
      <c r="G677" s="3"/>
      <c r="H677" s="3"/>
      <c r="I677" s="7"/>
    </row>
    <row r="678" spans="1:9" x14ac:dyDescent="0.3">
      <c r="A678" s="6">
        <v>44605</v>
      </c>
      <c r="B678" s="3" t="s">
        <v>1477</v>
      </c>
      <c r="C678" s="15" t="s">
        <v>1032</v>
      </c>
      <c r="D678" s="3">
        <v>603</v>
      </c>
      <c r="E678" s="11" t="s">
        <v>1478</v>
      </c>
      <c r="F678" s="3" t="s">
        <v>6</v>
      </c>
      <c r="G678" s="3" t="s">
        <v>4</v>
      </c>
      <c r="H678" s="3" t="s">
        <v>10</v>
      </c>
      <c r="I678" s="13">
        <v>44605</v>
      </c>
    </row>
    <row r="679" spans="1:9" x14ac:dyDescent="0.3">
      <c r="A679" s="6"/>
      <c r="B679" s="3"/>
      <c r="C679" s="3" t="s">
        <v>1033</v>
      </c>
      <c r="D679" s="3"/>
      <c r="E679" s="11"/>
      <c r="F679" s="3"/>
      <c r="G679" s="3"/>
      <c r="H679" s="3"/>
      <c r="I679" s="7"/>
    </row>
    <row r="680" spans="1:9" x14ac:dyDescent="0.3">
      <c r="A680" s="6">
        <v>44579</v>
      </c>
      <c r="B680" s="3" t="s">
        <v>1034</v>
      </c>
      <c r="C680" s="3" t="s">
        <v>1035</v>
      </c>
      <c r="D680" s="3">
        <v>603</v>
      </c>
      <c r="E680" s="11" t="s">
        <v>1036</v>
      </c>
      <c r="F680" s="3" t="s">
        <v>9</v>
      </c>
      <c r="G680" s="3" t="s">
        <v>7</v>
      </c>
      <c r="H680" s="3" t="s">
        <v>5</v>
      </c>
      <c r="I680" s="7"/>
    </row>
    <row r="681" spans="1:9" x14ac:dyDescent="0.3">
      <c r="A681" s="6">
        <v>44601</v>
      </c>
      <c r="B681" s="3" t="s">
        <v>1357</v>
      </c>
      <c r="C681" s="15" t="s">
        <v>1037</v>
      </c>
      <c r="D681" s="3">
        <v>609</v>
      </c>
      <c r="E681" s="11" t="s">
        <v>1356</v>
      </c>
      <c r="F681" s="3" t="s">
        <v>15</v>
      </c>
      <c r="G681" s="3" t="s">
        <v>1</v>
      </c>
      <c r="H681" s="3" t="s">
        <v>10</v>
      </c>
      <c r="I681" s="13">
        <v>44605</v>
      </c>
    </row>
    <row r="682" spans="1:9" x14ac:dyDescent="0.3">
      <c r="A682" s="6"/>
      <c r="B682" s="3" t="s">
        <v>1459</v>
      </c>
      <c r="C682" s="3" t="s">
        <v>1038</v>
      </c>
      <c r="D682" s="3">
        <v>609</v>
      </c>
      <c r="E682" s="11" t="s">
        <v>1490</v>
      </c>
      <c r="F682" s="3" t="s">
        <v>14</v>
      </c>
      <c r="G682" s="3" t="s">
        <v>7</v>
      </c>
      <c r="H682" s="3" t="s">
        <v>5</v>
      </c>
      <c r="I682" s="7"/>
    </row>
    <row r="683" spans="1:9" ht="28.8" x14ac:dyDescent="0.3">
      <c r="A683" s="7">
        <v>44585</v>
      </c>
      <c r="B683" s="3" t="s">
        <v>1330</v>
      </c>
      <c r="C683" s="3" t="s">
        <v>1039</v>
      </c>
      <c r="D683" s="3">
        <v>609</v>
      </c>
      <c r="E683" s="14" t="s">
        <v>1328</v>
      </c>
      <c r="F683" s="3" t="s">
        <v>9</v>
      </c>
      <c r="G683" s="3" t="s">
        <v>7</v>
      </c>
      <c r="H683" s="3" t="s">
        <v>5</v>
      </c>
      <c r="I683" s="7"/>
    </row>
    <row r="684" spans="1:9" x14ac:dyDescent="0.3">
      <c r="A684" s="6"/>
      <c r="B684" s="3"/>
      <c r="C684" s="3" t="s">
        <v>1040</v>
      </c>
      <c r="D684" s="3"/>
      <c r="E684" s="11"/>
      <c r="F684" s="3"/>
      <c r="G684" s="3"/>
      <c r="H684" s="3"/>
      <c r="I684" s="7"/>
    </row>
    <row r="685" spans="1:9" x14ac:dyDescent="0.3">
      <c r="A685" s="6"/>
      <c r="B685" s="3"/>
      <c r="C685" s="3" t="s">
        <v>1041</v>
      </c>
      <c r="D685" s="3"/>
      <c r="E685" s="11"/>
      <c r="F685" s="3"/>
      <c r="G685" s="3"/>
      <c r="H685" s="3"/>
      <c r="I685" s="7"/>
    </row>
    <row r="686" spans="1:9" x14ac:dyDescent="0.3">
      <c r="A686" s="6">
        <v>44551</v>
      </c>
      <c r="B686" s="3" t="s">
        <v>1461</v>
      </c>
      <c r="C686" s="15" t="s">
        <v>1042</v>
      </c>
      <c r="D686" s="3">
        <v>403</v>
      </c>
      <c r="E686" s="11" t="s">
        <v>1460</v>
      </c>
      <c r="F686" s="3" t="s">
        <v>13</v>
      </c>
      <c r="G686" s="3" t="s">
        <v>7</v>
      </c>
      <c r="H686" s="3" t="s">
        <v>10</v>
      </c>
      <c r="I686" s="13">
        <v>44615</v>
      </c>
    </row>
    <row r="687" spans="1:9" x14ac:dyDescent="0.3">
      <c r="A687" s="6"/>
      <c r="B687" s="3"/>
      <c r="C687" s="3" t="s">
        <v>1043</v>
      </c>
      <c r="D687" s="3"/>
      <c r="E687" s="11"/>
      <c r="F687" s="3"/>
      <c r="G687" s="3"/>
      <c r="H687" s="3"/>
      <c r="I687" s="7"/>
    </row>
    <row r="688" spans="1:9" x14ac:dyDescent="0.3">
      <c r="C688" s="3" t="s">
        <v>1044</v>
      </c>
      <c r="D688" s="3"/>
      <c r="E688" s="11"/>
      <c r="F688" s="3"/>
      <c r="G688" s="3"/>
      <c r="H688" s="3"/>
      <c r="I688" s="7"/>
    </row>
    <row r="689" spans="1:9" x14ac:dyDescent="0.3">
      <c r="A689" s="6">
        <v>44564</v>
      </c>
      <c r="B689" s="3" t="s">
        <v>1045</v>
      </c>
      <c r="C689" s="3" t="s">
        <v>1046</v>
      </c>
      <c r="D689" s="3">
        <v>610</v>
      </c>
      <c r="E689" s="11" t="s">
        <v>1047</v>
      </c>
      <c r="F689" s="3" t="s">
        <v>9</v>
      </c>
      <c r="G689" s="3"/>
      <c r="H689" s="3" t="s">
        <v>41</v>
      </c>
      <c r="I689" s="7">
        <v>44574</v>
      </c>
    </row>
    <row r="690" spans="1:9" x14ac:dyDescent="0.3">
      <c r="A690" s="6">
        <v>44564</v>
      </c>
      <c r="B690" s="3" t="s">
        <v>1048</v>
      </c>
      <c r="C690" s="3" t="s">
        <v>1049</v>
      </c>
      <c r="D690" s="3">
        <v>610</v>
      </c>
      <c r="E690" s="11" t="s">
        <v>1050</v>
      </c>
      <c r="F690" s="3" t="s">
        <v>9</v>
      </c>
      <c r="G690" s="3"/>
      <c r="H690" s="3" t="s">
        <v>41</v>
      </c>
      <c r="I690" s="7">
        <v>44574</v>
      </c>
    </row>
    <row r="691" spans="1:9" x14ac:dyDescent="0.3">
      <c r="A691" s="6"/>
      <c r="B691" s="3"/>
      <c r="C691" s="3" t="s">
        <v>1051</v>
      </c>
      <c r="D691" s="3"/>
      <c r="E691" s="11"/>
      <c r="F691" s="3"/>
      <c r="G691" s="3"/>
      <c r="H691" s="3"/>
      <c r="I691" s="7"/>
    </row>
    <row r="692" spans="1:9" x14ac:dyDescent="0.3">
      <c r="A692" s="6"/>
      <c r="B692" s="3"/>
      <c r="C692" s="3" t="s">
        <v>1052</v>
      </c>
      <c r="D692" s="3"/>
      <c r="E692" s="11"/>
      <c r="F692" s="3"/>
      <c r="G692" s="3"/>
      <c r="H692" s="3"/>
      <c r="I692" s="7"/>
    </row>
    <row r="693" spans="1:9" x14ac:dyDescent="0.3">
      <c r="A693" s="6"/>
      <c r="B693" s="3"/>
      <c r="C693" s="3" t="s">
        <v>1053</v>
      </c>
      <c r="D693" s="3"/>
      <c r="E693" s="11"/>
      <c r="F693" s="3"/>
      <c r="G693" s="3"/>
      <c r="H693" s="3"/>
      <c r="I693" s="7"/>
    </row>
    <row r="694" spans="1:9" x14ac:dyDescent="0.3">
      <c r="A694" s="6">
        <v>44580</v>
      </c>
      <c r="B694" s="3" t="s">
        <v>1054</v>
      </c>
      <c r="C694" s="3" t="s">
        <v>1055</v>
      </c>
      <c r="D694" s="3">
        <v>502</v>
      </c>
      <c r="E694" s="11" t="s">
        <v>512</v>
      </c>
      <c r="F694" s="3" t="s">
        <v>9</v>
      </c>
      <c r="G694" s="3" t="s">
        <v>7</v>
      </c>
      <c r="H694" s="3" t="s">
        <v>5</v>
      </c>
      <c r="I694" s="7"/>
    </row>
    <row r="695" spans="1:9" x14ac:dyDescent="0.3">
      <c r="A695" s="6">
        <v>44580</v>
      </c>
      <c r="B695" s="3" t="s">
        <v>1056</v>
      </c>
      <c r="C695" s="3" t="s">
        <v>1057</v>
      </c>
      <c r="D695" s="3">
        <v>512</v>
      </c>
      <c r="E695" s="11" t="s">
        <v>512</v>
      </c>
      <c r="F695" s="3" t="s">
        <v>9</v>
      </c>
      <c r="G695" s="3" t="s">
        <v>7</v>
      </c>
      <c r="H695" s="3" t="s">
        <v>5</v>
      </c>
      <c r="I695" s="7"/>
    </row>
    <row r="696" spans="1:9" x14ac:dyDescent="0.3">
      <c r="A696" s="6"/>
      <c r="B696" s="3"/>
      <c r="C696" s="3" t="s">
        <v>1058</v>
      </c>
      <c r="D696" s="3"/>
      <c r="E696" s="11"/>
      <c r="F696" s="3"/>
      <c r="G696" s="3"/>
      <c r="H696" s="3"/>
      <c r="I696" s="7"/>
    </row>
    <row r="697" spans="1:9" x14ac:dyDescent="0.3">
      <c r="A697" s="6"/>
      <c r="B697" s="3"/>
      <c r="C697" s="3" t="s">
        <v>1059</v>
      </c>
      <c r="D697" s="3"/>
      <c r="E697" s="11"/>
      <c r="F697" s="3"/>
      <c r="G697" s="3"/>
      <c r="H697" s="3"/>
      <c r="I697" s="7"/>
    </row>
    <row r="698" spans="1:9" x14ac:dyDescent="0.3">
      <c r="A698" s="6">
        <v>44612</v>
      </c>
      <c r="B698" s="3" t="s">
        <v>1499</v>
      </c>
      <c r="C698" s="15" t="s">
        <v>1060</v>
      </c>
      <c r="D698" s="3">
        <v>618</v>
      </c>
      <c r="E698" s="11" t="s">
        <v>1498</v>
      </c>
      <c r="F698" s="3" t="s">
        <v>13</v>
      </c>
      <c r="G698" s="3" t="s">
        <v>7</v>
      </c>
      <c r="H698" s="3" t="s">
        <v>10</v>
      </c>
      <c r="I698" s="7">
        <v>44619</v>
      </c>
    </row>
    <row r="699" spans="1:9" ht="28.8" x14ac:dyDescent="0.3">
      <c r="A699" s="6">
        <v>44579</v>
      </c>
      <c r="B699" s="3" t="s">
        <v>1061</v>
      </c>
      <c r="C699" s="3" t="s">
        <v>1062</v>
      </c>
      <c r="D699" s="3">
        <v>602</v>
      </c>
      <c r="E699" s="14" t="s">
        <v>1063</v>
      </c>
      <c r="F699" s="3" t="s">
        <v>18</v>
      </c>
      <c r="G699" s="3" t="s">
        <v>1</v>
      </c>
      <c r="H699" s="3" t="s">
        <v>8</v>
      </c>
      <c r="I699" s="7"/>
    </row>
    <row r="700" spans="1:9" x14ac:dyDescent="0.3">
      <c r="A700" s="6"/>
      <c r="B700" s="3"/>
      <c r="C700" s="3" t="s">
        <v>1064</v>
      </c>
      <c r="D700" s="3"/>
      <c r="E700" s="11"/>
      <c r="F700" s="3"/>
      <c r="G700" s="3"/>
      <c r="H700" s="3"/>
      <c r="I700" s="7"/>
    </row>
    <row r="701" spans="1:9" x14ac:dyDescent="0.3">
      <c r="A701" s="6"/>
      <c r="B701" s="3"/>
      <c r="C701" s="3" t="s">
        <v>1065</v>
      </c>
      <c r="D701" s="3"/>
      <c r="E701" s="11"/>
      <c r="F701" s="3"/>
      <c r="G701" s="3"/>
      <c r="H701" s="3"/>
      <c r="I701" s="7"/>
    </row>
    <row r="702" spans="1:9" x14ac:dyDescent="0.3">
      <c r="A702" s="6">
        <v>44587</v>
      </c>
      <c r="B702" s="3" t="s">
        <v>1442</v>
      </c>
      <c r="C702" s="15" t="s">
        <v>1066</v>
      </c>
      <c r="D702" s="3">
        <v>624</v>
      </c>
      <c r="E702" s="11" t="s">
        <v>1441</v>
      </c>
      <c r="F702" s="3" t="s">
        <v>14</v>
      </c>
      <c r="G702" s="3" t="s">
        <v>7</v>
      </c>
      <c r="H702" s="3" t="s">
        <v>10</v>
      </c>
      <c r="I702" s="7">
        <v>44587</v>
      </c>
    </row>
    <row r="703" spans="1:9" x14ac:dyDescent="0.3">
      <c r="A703" s="6"/>
      <c r="B703" s="3"/>
      <c r="C703" s="3" t="s">
        <v>1067</v>
      </c>
      <c r="D703" s="3"/>
      <c r="E703" s="11"/>
      <c r="F703" s="3"/>
      <c r="G703" s="3"/>
      <c r="H703" s="3"/>
      <c r="I703" s="7"/>
    </row>
    <row r="704" spans="1:9" x14ac:dyDescent="0.3">
      <c r="A704" s="6"/>
      <c r="B704" s="3" t="s">
        <v>1463</v>
      </c>
      <c r="C704" s="3" t="s">
        <v>1068</v>
      </c>
      <c r="D704" s="3">
        <v>617</v>
      </c>
      <c r="E704" s="11" t="s">
        <v>1462</v>
      </c>
      <c r="F704" s="3" t="s">
        <v>9</v>
      </c>
      <c r="G704" s="3" t="s">
        <v>7</v>
      </c>
      <c r="H704" s="3" t="s">
        <v>5</v>
      </c>
      <c r="I704" s="7"/>
    </row>
    <row r="705" spans="1:9" x14ac:dyDescent="0.3">
      <c r="A705" s="6">
        <v>44579</v>
      </c>
      <c r="B705" s="3" t="s">
        <v>1069</v>
      </c>
      <c r="C705" s="3" t="s">
        <v>1070</v>
      </c>
      <c r="D705" s="3">
        <v>408</v>
      </c>
      <c r="E705" s="11" t="s">
        <v>1036</v>
      </c>
      <c r="F705" s="3" t="s">
        <v>9</v>
      </c>
      <c r="G705" s="3" t="s">
        <v>7</v>
      </c>
      <c r="H705" s="3" t="s">
        <v>5</v>
      </c>
      <c r="I705" s="7"/>
    </row>
    <row r="706" spans="1:9" ht="28.8" x14ac:dyDescent="0.3">
      <c r="A706" s="6"/>
      <c r="B706" s="3" t="s">
        <v>1465</v>
      </c>
      <c r="C706" s="3" t="s">
        <v>1071</v>
      </c>
      <c r="D706" s="3">
        <v>611</v>
      </c>
      <c r="E706" s="14" t="s">
        <v>1464</v>
      </c>
      <c r="F706" s="3" t="s">
        <v>14</v>
      </c>
      <c r="G706" s="3" t="s">
        <v>7</v>
      </c>
      <c r="H706" s="3" t="s">
        <v>5</v>
      </c>
      <c r="I706" s="7"/>
    </row>
    <row r="707" spans="1:9" x14ac:dyDescent="0.3">
      <c r="A707" s="6"/>
      <c r="B707" s="3"/>
      <c r="C707" s="3" t="s">
        <v>1072</v>
      </c>
      <c r="D707" s="3"/>
      <c r="E707" s="11"/>
      <c r="F707" s="3"/>
      <c r="G707" s="3"/>
      <c r="H707" s="3"/>
      <c r="I707" s="7"/>
    </row>
    <row r="708" spans="1:9" x14ac:dyDescent="0.3">
      <c r="A708" s="6">
        <v>44612</v>
      </c>
      <c r="B708" s="3" t="s">
        <v>1480</v>
      </c>
      <c r="C708" s="15" t="s">
        <v>1073</v>
      </c>
      <c r="D708" s="3">
        <v>602</v>
      </c>
      <c r="E708" s="11" t="s">
        <v>1508</v>
      </c>
      <c r="F708" s="3" t="s">
        <v>6</v>
      </c>
      <c r="G708" s="3" t="s">
        <v>7</v>
      </c>
      <c r="H708" s="3" t="s">
        <v>10</v>
      </c>
      <c r="I708" s="7">
        <v>44615</v>
      </c>
    </row>
    <row r="709" spans="1:9" x14ac:dyDescent="0.3">
      <c r="A709" s="6"/>
      <c r="B709" s="3"/>
      <c r="C709" s="3" t="s">
        <v>1074</v>
      </c>
      <c r="D709" s="3"/>
      <c r="E709" s="11"/>
      <c r="F709" s="3"/>
      <c r="G709" s="3"/>
      <c r="H709" s="3"/>
      <c r="I709" s="7"/>
    </row>
    <row r="710" spans="1:9" x14ac:dyDescent="0.3">
      <c r="A710" s="6"/>
      <c r="B710" s="3"/>
      <c r="C710" s="3" t="s">
        <v>1075</v>
      </c>
      <c r="D710" s="3"/>
      <c r="E710" s="11"/>
      <c r="F710" s="3"/>
      <c r="G710" s="3"/>
      <c r="H710" s="3"/>
      <c r="I710" s="7"/>
    </row>
    <row r="711" spans="1:9" x14ac:dyDescent="0.3">
      <c r="A711" s="6"/>
      <c r="B711" s="3"/>
      <c r="C711" s="3" t="s">
        <v>1076</v>
      </c>
      <c r="D711" s="3"/>
      <c r="E711" s="11"/>
      <c r="F711" s="3"/>
      <c r="G711" s="3"/>
      <c r="H711" s="3"/>
      <c r="I711" s="7"/>
    </row>
    <row r="712" spans="1:9" x14ac:dyDescent="0.3">
      <c r="A712" s="6"/>
      <c r="B712" s="3"/>
      <c r="C712" s="3" t="s">
        <v>1077</v>
      </c>
      <c r="D712" s="3"/>
      <c r="E712" s="11"/>
      <c r="F712" s="3"/>
      <c r="G712" s="3"/>
      <c r="H712" s="3"/>
      <c r="I712" s="7"/>
    </row>
    <row r="713" spans="1:9" x14ac:dyDescent="0.3">
      <c r="A713" s="6">
        <v>44598</v>
      </c>
      <c r="B713" s="3" t="s">
        <v>1444</v>
      </c>
      <c r="C713" s="3" t="s">
        <v>1078</v>
      </c>
      <c r="D713" s="3">
        <v>402</v>
      </c>
      <c r="E713" s="11" t="s">
        <v>1443</v>
      </c>
      <c r="F713" s="3" t="s">
        <v>14</v>
      </c>
      <c r="G713" s="3" t="s">
        <v>7</v>
      </c>
      <c r="H713" s="3" t="s">
        <v>10</v>
      </c>
      <c r="I713" s="7">
        <v>44598</v>
      </c>
    </row>
    <row r="714" spans="1:9" x14ac:dyDescent="0.3">
      <c r="A714" s="6"/>
      <c r="B714" s="3"/>
      <c r="C714" s="3" t="s">
        <v>1079</v>
      </c>
      <c r="D714" s="3"/>
      <c r="E714" s="11"/>
      <c r="F714" s="3"/>
      <c r="G714" s="3"/>
      <c r="H714" s="3"/>
      <c r="I714" s="7"/>
    </row>
    <row r="715" spans="1:9" x14ac:dyDescent="0.3">
      <c r="A715" s="6"/>
      <c r="B715" s="3"/>
      <c r="C715" s="3" t="s">
        <v>1080</v>
      </c>
      <c r="D715" s="3"/>
      <c r="E715" s="11"/>
      <c r="F715" s="3"/>
      <c r="G715" s="3"/>
      <c r="H715" s="3"/>
      <c r="I715" s="7"/>
    </row>
    <row r="716" spans="1:9" x14ac:dyDescent="0.3">
      <c r="A716" s="6">
        <v>44579</v>
      </c>
      <c r="B716" s="3" t="s">
        <v>1081</v>
      </c>
      <c r="C716" s="3" t="s">
        <v>1082</v>
      </c>
      <c r="D716" s="3">
        <v>402</v>
      </c>
      <c r="E716" s="11" t="s">
        <v>512</v>
      </c>
      <c r="F716" s="3" t="s">
        <v>9</v>
      </c>
      <c r="G716" s="3" t="s">
        <v>7</v>
      </c>
      <c r="H716" s="3" t="s">
        <v>5</v>
      </c>
      <c r="I716" s="7"/>
    </row>
    <row r="717" spans="1:9" x14ac:dyDescent="0.3">
      <c r="A717" s="6"/>
      <c r="B717" s="3"/>
      <c r="C717" s="3" t="s">
        <v>1083</v>
      </c>
      <c r="D717" s="3"/>
      <c r="E717" s="11"/>
      <c r="F717" s="3"/>
      <c r="G717" s="3"/>
      <c r="H717" s="3"/>
      <c r="I717" s="7"/>
    </row>
    <row r="718" spans="1:9" x14ac:dyDescent="0.3">
      <c r="A718" s="6">
        <v>44578</v>
      </c>
      <c r="B718" s="3" t="s">
        <v>1308</v>
      </c>
      <c r="C718" s="16" t="s">
        <v>1084</v>
      </c>
      <c r="D718" s="3">
        <v>415</v>
      </c>
      <c r="E718" s="11" t="s">
        <v>1085</v>
      </c>
      <c r="F718" s="3" t="s">
        <v>12</v>
      </c>
      <c r="G718" s="3" t="s">
        <v>1</v>
      </c>
      <c r="H718" s="3" t="s">
        <v>10</v>
      </c>
      <c r="I718" s="7">
        <v>44581</v>
      </c>
    </row>
    <row r="719" spans="1:9" x14ac:dyDescent="0.3">
      <c r="A719" s="6">
        <v>44608</v>
      </c>
      <c r="B719" s="3" t="s">
        <v>1474</v>
      </c>
      <c r="C719" s="16" t="s">
        <v>1086</v>
      </c>
      <c r="D719" s="3">
        <v>507</v>
      </c>
      <c r="E719" s="11" t="s">
        <v>1475</v>
      </c>
      <c r="F719" s="3" t="s">
        <v>6</v>
      </c>
      <c r="G719" s="3" t="s">
        <v>4</v>
      </c>
      <c r="H719" s="3" t="s">
        <v>10</v>
      </c>
      <c r="I719" s="13">
        <v>44609</v>
      </c>
    </row>
    <row r="720" spans="1:9" x14ac:dyDescent="0.3">
      <c r="A720" s="6"/>
      <c r="B720" s="3"/>
      <c r="C720" s="3" t="s">
        <v>1087</v>
      </c>
      <c r="D720" s="3"/>
      <c r="E720" s="11"/>
      <c r="F720" s="3"/>
      <c r="G720" s="3"/>
      <c r="H720" s="3"/>
      <c r="I720" s="7"/>
    </row>
    <row r="721" spans="1:9" x14ac:dyDescent="0.3">
      <c r="A721" s="6"/>
      <c r="B721" s="3"/>
      <c r="C721" s="3" t="s">
        <v>1088</v>
      </c>
      <c r="D721" s="3"/>
      <c r="E721" s="11"/>
      <c r="F721" s="3"/>
      <c r="G721" s="3"/>
      <c r="H721" s="3"/>
      <c r="I721" s="7"/>
    </row>
    <row r="722" spans="1:9" x14ac:dyDescent="0.3">
      <c r="A722" s="6"/>
      <c r="B722" s="3"/>
      <c r="C722" s="3" t="s">
        <v>1089</v>
      </c>
      <c r="D722" s="3"/>
      <c r="E722" s="11"/>
      <c r="F722" s="3"/>
      <c r="G722" s="3"/>
      <c r="H722" s="3"/>
      <c r="I722" s="7"/>
    </row>
    <row r="723" spans="1:9" x14ac:dyDescent="0.3">
      <c r="A723" s="6"/>
      <c r="B723" s="3"/>
      <c r="C723" s="3" t="s">
        <v>1090</v>
      </c>
      <c r="D723" s="3"/>
      <c r="E723" s="11"/>
      <c r="F723" s="3"/>
      <c r="G723" s="3"/>
      <c r="H723" s="3"/>
      <c r="I723" s="7"/>
    </row>
    <row r="724" spans="1:9" x14ac:dyDescent="0.3">
      <c r="A724" s="6">
        <v>44605</v>
      </c>
      <c r="B724" s="3" t="s">
        <v>1467</v>
      </c>
      <c r="C724" s="16" t="s">
        <v>1091</v>
      </c>
      <c r="D724" s="3">
        <v>612</v>
      </c>
      <c r="E724" s="11" t="s">
        <v>1466</v>
      </c>
      <c r="F724" s="3" t="s">
        <v>9</v>
      </c>
      <c r="G724" s="3" t="s">
        <v>7</v>
      </c>
      <c r="H724" s="12" t="s">
        <v>10</v>
      </c>
      <c r="I724" s="6">
        <v>44605</v>
      </c>
    </row>
    <row r="725" spans="1:9" x14ac:dyDescent="0.3">
      <c r="A725" s="6">
        <v>44580</v>
      </c>
      <c r="B725" s="3" t="s">
        <v>1450</v>
      </c>
      <c r="C725" s="3" t="s">
        <v>1092</v>
      </c>
      <c r="D725" s="3">
        <v>618</v>
      </c>
      <c r="E725" s="11" t="s">
        <v>1449</v>
      </c>
      <c r="F725" s="3" t="s">
        <v>14</v>
      </c>
      <c r="G725" s="3" t="s">
        <v>7</v>
      </c>
      <c r="H725" s="3" t="s">
        <v>10</v>
      </c>
      <c r="I725" s="7">
        <v>44580</v>
      </c>
    </row>
    <row r="726" spans="1:9" x14ac:dyDescent="0.3">
      <c r="A726" s="6"/>
      <c r="B726" s="3"/>
      <c r="C726" s="3" t="s">
        <v>1093</v>
      </c>
      <c r="D726" s="3"/>
      <c r="E726" s="11"/>
      <c r="F726" s="3"/>
      <c r="G726" s="3"/>
      <c r="H726" s="3"/>
      <c r="I726" s="7"/>
    </row>
    <row r="727" spans="1:9" x14ac:dyDescent="0.3">
      <c r="A727" s="6"/>
      <c r="B727" s="3"/>
      <c r="C727" s="3" t="s">
        <v>1094</v>
      </c>
      <c r="D727" s="3"/>
      <c r="E727" s="11"/>
      <c r="F727" s="3"/>
      <c r="G727" s="3"/>
      <c r="H727" s="3"/>
      <c r="I727" s="7"/>
    </row>
    <row r="728" spans="1:9" x14ac:dyDescent="0.3">
      <c r="A728" s="6">
        <v>44598</v>
      </c>
      <c r="B728" s="3" t="s">
        <v>1454</v>
      </c>
      <c r="C728" s="3" t="s">
        <v>1095</v>
      </c>
      <c r="D728" s="3">
        <v>402</v>
      </c>
      <c r="E728" s="11" t="s">
        <v>1453</v>
      </c>
      <c r="F728" s="3" t="s">
        <v>14</v>
      </c>
      <c r="G728" s="3" t="s">
        <v>7</v>
      </c>
      <c r="H728" s="3" t="s">
        <v>10</v>
      </c>
      <c r="I728" s="7">
        <v>44598</v>
      </c>
    </row>
    <row r="729" spans="1:9" x14ac:dyDescent="0.3">
      <c r="A729" s="6"/>
      <c r="B729" s="3"/>
      <c r="C729" s="3" t="s">
        <v>1096</v>
      </c>
      <c r="D729" s="3"/>
      <c r="E729" s="11"/>
      <c r="F729" s="3"/>
      <c r="G729" s="3"/>
      <c r="H729" s="3"/>
      <c r="I729" s="7"/>
    </row>
    <row r="730" spans="1:9" x14ac:dyDescent="0.3">
      <c r="A730" s="6">
        <v>44612</v>
      </c>
      <c r="B730" s="3" t="s">
        <v>1503</v>
      </c>
      <c r="C730" s="3" t="s">
        <v>1097</v>
      </c>
      <c r="D730" s="3">
        <v>501</v>
      </c>
      <c r="E730" s="11" t="s">
        <v>1502</v>
      </c>
      <c r="F730" s="3" t="s">
        <v>11</v>
      </c>
      <c r="G730" s="3" t="s">
        <v>7</v>
      </c>
      <c r="H730" s="3" t="s">
        <v>10</v>
      </c>
      <c r="I730" s="7">
        <v>44612</v>
      </c>
    </row>
    <row r="731" spans="1:9" x14ac:dyDescent="0.3">
      <c r="A731" s="6"/>
      <c r="B731" s="3" t="s">
        <v>1524</v>
      </c>
      <c r="C731" s="3" t="s">
        <v>1098</v>
      </c>
      <c r="D731" s="3">
        <v>515</v>
      </c>
      <c r="E731" s="11" t="s">
        <v>1525</v>
      </c>
      <c r="F731" s="3"/>
      <c r="G731" s="3" t="s">
        <v>7</v>
      </c>
      <c r="H731" s="3" t="s">
        <v>5</v>
      </c>
      <c r="I731" s="7"/>
    </row>
    <row r="732" spans="1:9" x14ac:dyDescent="0.3">
      <c r="A732" s="6"/>
      <c r="B732" s="3"/>
      <c r="C732" s="3" t="s">
        <v>1099</v>
      </c>
      <c r="D732" s="3"/>
      <c r="E732" s="11"/>
      <c r="F732" s="3"/>
      <c r="G732" s="3"/>
      <c r="H732" s="3"/>
      <c r="I732" s="7"/>
    </row>
    <row r="733" spans="1:9" x14ac:dyDescent="0.3">
      <c r="A733" s="6"/>
      <c r="B733" s="3"/>
      <c r="C733" s="3" t="s">
        <v>1100</v>
      </c>
      <c r="D733" s="3"/>
      <c r="E733" s="11"/>
      <c r="F733" s="3"/>
      <c r="G733" s="3"/>
      <c r="H733" s="3"/>
      <c r="I733" s="7"/>
    </row>
    <row r="734" spans="1:9" x14ac:dyDescent="0.3">
      <c r="A734" s="6"/>
      <c r="B734" s="3"/>
      <c r="C734" s="3" t="s">
        <v>1101</v>
      </c>
      <c r="D734" s="3"/>
      <c r="E734" s="11"/>
      <c r="F734" s="3"/>
      <c r="G734" s="3"/>
      <c r="H734" s="3"/>
      <c r="I734" s="7"/>
    </row>
    <row r="735" spans="1:9" x14ac:dyDescent="0.3">
      <c r="A735" s="6"/>
      <c r="B735" s="3"/>
      <c r="C735" s="3" t="s">
        <v>1102</v>
      </c>
      <c r="D735" s="3"/>
      <c r="E735" s="11"/>
      <c r="F735" s="3"/>
      <c r="G735" s="3"/>
      <c r="H735" s="3"/>
      <c r="I735" s="7"/>
    </row>
    <row r="736" spans="1:9" x14ac:dyDescent="0.3">
      <c r="A736" s="6"/>
      <c r="B736" s="3"/>
      <c r="C736" s="3" t="s">
        <v>1103</v>
      </c>
      <c r="D736" s="3"/>
      <c r="E736" s="11"/>
      <c r="F736" s="3"/>
      <c r="G736" s="3"/>
      <c r="H736" s="3"/>
      <c r="I736" s="7"/>
    </row>
    <row r="737" spans="1:9" x14ac:dyDescent="0.3">
      <c r="A737" s="7">
        <v>44580</v>
      </c>
      <c r="B737" s="3" t="s">
        <v>1104</v>
      </c>
      <c r="C737" s="3" t="s">
        <v>1105</v>
      </c>
      <c r="D737" s="3">
        <v>615</v>
      </c>
      <c r="E737" s="11" t="s">
        <v>1106</v>
      </c>
      <c r="F737" s="3" t="s">
        <v>9</v>
      </c>
      <c r="G737" s="3" t="s">
        <v>7</v>
      </c>
      <c r="H737" s="3" t="s">
        <v>5</v>
      </c>
      <c r="I737" s="7"/>
    </row>
    <row r="738" spans="1:9" x14ac:dyDescent="0.3">
      <c r="A738" s="6"/>
      <c r="B738" s="3"/>
      <c r="C738" s="3" t="s">
        <v>1107</v>
      </c>
      <c r="D738" s="3"/>
      <c r="E738" s="11"/>
      <c r="F738" s="3"/>
      <c r="G738" s="3"/>
      <c r="H738" s="3"/>
      <c r="I738" s="7"/>
    </row>
    <row r="739" spans="1:9" x14ac:dyDescent="0.3">
      <c r="A739" s="6"/>
      <c r="B739" s="3"/>
      <c r="C739" s="3" t="s">
        <v>1108</v>
      </c>
      <c r="D739" s="3"/>
      <c r="E739" s="11"/>
      <c r="F739" s="3"/>
      <c r="G739" s="3"/>
      <c r="H739" s="3"/>
      <c r="I739" s="7"/>
    </row>
    <row r="740" spans="1:9" x14ac:dyDescent="0.3">
      <c r="A740" s="6"/>
      <c r="B740" s="3"/>
      <c r="C740" s="3" t="s">
        <v>1109</v>
      </c>
      <c r="D740" s="3"/>
      <c r="E740" s="11"/>
      <c r="F740" s="3"/>
      <c r="G740" s="3"/>
      <c r="H740" s="3"/>
      <c r="I740" s="7"/>
    </row>
    <row r="741" spans="1:9" x14ac:dyDescent="0.3">
      <c r="A741" s="7">
        <v>44571</v>
      </c>
      <c r="B741" s="3" t="s">
        <v>1110</v>
      </c>
      <c r="C741" s="3" t="s">
        <v>1111</v>
      </c>
      <c r="D741" s="3">
        <v>415</v>
      </c>
      <c r="E741" s="11" t="s">
        <v>1112</v>
      </c>
      <c r="F741" s="3" t="s">
        <v>9</v>
      </c>
      <c r="G741" s="3" t="s">
        <v>7</v>
      </c>
      <c r="H741" s="3" t="s">
        <v>41</v>
      </c>
      <c r="I741" s="7">
        <v>44577</v>
      </c>
    </row>
    <row r="742" spans="1:9" x14ac:dyDescent="0.3">
      <c r="A742" s="7"/>
      <c r="B742" s="3"/>
      <c r="C742" s="3" t="s">
        <v>1113</v>
      </c>
      <c r="D742" s="3"/>
      <c r="E742" s="14"/>
      <c r="F742" s="3"/>
      <c r="G742" s="3"/>
      <c r="H742" s="3"/>
      <c r="I742" s="7"/>
    </row>
    <row r="743" spans="1:9" x14ac:dyDescent="0.3">
      <c r="A743" s="7"/>
      <c r="B743" s="3"/>
      <c r="C743" s="3" t="s">
        <v>1114</v>
      </c>
      <c r="D743" s="3"/>
      <c r="E743" s="14"/>
      <c r="F743" s="3"/>
      <c r="G743" s="3"/>
      <c r="H743" s="3"/>
      <c r="I743" s="7"/>
    </row>
    <row r="744" spans="1:9" x14ac:dyDescent="0.3">
      <c r="A744" s="7"/>
      <c r="B744" s="3" t="s">
        <v>1526</v>
      </c>
      <c r="C744" s="3" t="s">
        <v>1115</v>
      </c>
      <c r="D744" s="3">
        <v>505</v>
      </c>
      <c r="E744" s="14" t="s">
        <v>1527</v>
      </c>
      <c r="F744" s="3"/>
      <c r="G744" s="3" t="s">
        <v>7</v>
      </c>
      <c r="H744" s="3" t="s">
        <v>2</v>
      </c>
      <c r="I744" s="7"/>
    </row>
    <row r="745" spans="1:9" x14ac:dyDescent="0.3">
      <c r="A745" s="7">
        <v>44580</v>
      </c>
      <c r="B745" s="3" t="s">
        <v>1446</v>
      </c>
      <c r="C745" s="3" t="s">
        <v>1116</v>
      </c>
      <c r="D745" s="3">
        <v>403</v>
      </c>
      <c r="E745" s="14" t="s">
        <v>1445</v>
      </c>
      <c r="F745" s="3" t="s">
        <v>14</v>
      </c>
      <c r="G745" s="3" t="s">
        <v>7</v>
      </c>
      <c r="H745" s="3" t="s">
        <v>10</v>
      </c>
      <c r="I745" s="7">
        <v>44580</v>
      </c>
    </row>
    <row r="746" spans="1:9" x14ac:dyDescent="0.3">
      <c r="A746" s="7"/>
      <c r="B746" s="3"/>
      <c r="C746" s="3" t="s">
        <v>1117</v>
      </c>
      <c r="D746" s="3"/>
      <c r="E746" s="14"/>
      <c r="F746" s="3"/>
      <c r="G746" s="3"/>
      <c r="H746" s="3"/>
      <c r="I746" s="7"/>
    </row>
    <row r="747" spans="1:9" x14ac:dyDescent="0.3">
      <c r="A747" s="7"/>
      <c r="B747" s="3"/>
      <c r="C747" s="3" t="s">
        <v>1118</v>
      </c>
      <c r="D747" s="3"/>
      <c r="E747" s="14"/>
      <c r="F747" s="3"/>
      <c r="G747" s="3"/>
      <c r="H747" s="3"/>
      <c r="I747" s="7"/>
    </row>
    <row r="748" spans="1:9" x14ac:dyDescent="0.3">
      <c r="A748" s="7"/>
      <c r="B748" s="3"/>
      <c r="C748" s="3" t="s">
        <v>1119</v>
      </c>
      <c r="D748" s="3"/>
      <c r="E748" s="14"/>
      <c r="F748" s="3"/>
      <c r="G748" s="3"/>
      <c r="H748" s="3"/>
      <c r="I748" s="7"/>
    </row>
    <row r="749" spans="1:9" x14ac:dyDescent="0.3">
      <c r="A749" s="7"/>
      <c r="B749" s="3"/>
      <c r="C749" s="3" t="s">
        <v>1120</v>
      </c>
      <c r="D749" s="3"/>
      <c r="E749" s="14"/>
      <c r="F749" s="3"/>
      <c r="G749" s="3"/>
      <c r="H749" s="3"/>
      <c r="I749" s="7"/>
    </row>
    <row r="750" spans="1:9" x14ac:dyDescent="0.3">
      <c r="A750" s="7"/>
      <c r="B750" s="3"/>
      <c r="C750" s="3" t="s">
        <v>1121</v>
      </c>
      <c r="D750" s="3"/>
      <c r="E750" s="14"/>
      <c r="F750" s="3"/>
      <c r="G750" s="3"/>
      <c r="H750" s="3"/>
      <c r="I750" s="7"/>
    </row>
    <row r="751" spans="1:9" x14ac:dyDescent="0.3">
      <c r="A751" s="7"/>
      <c r="B751" s="3"/>
      <c r="C751" s="3" t="s">
        <v>1122</v>
      </c>
      <c r="D751" s="3"/>
      <c r="E751" s="14"/>
      <c r="F751" s="3"/>
      <c r="G751" s="3"/>
      <c r="H751" s="3"/>
      <c r="I751" s="7"/>
    </row>
    <row r="752" spans="1:9" x14ac:dyDescent="0.3">
      <c r="A752" s="7"/>
      <c r="B752" s="3"/>
      <c r="C752" s="3" t="s">
        <v>1123</v>
      </c>
      <c r="D752" s="3"/>
      <c r="E752" s="14"/>
      <c r="F752" s="3"/>
      <c r="G752" s="3"/>
      <c r="H752" s="3"/>
      <c r="I752" s="7"/>
    </row>
    <row r="753" spans="1:9" x14ac:dyDescent="0.3">
      <c r="A753" s="7"/>
      <c r="B753" s="3"/>
      <c r="C753" s="3" t="s">
        <v>1124</v>
      </c>
      <c r="D753" s="3"/>
      <c r="E753" s="14"/>
      <c r="F753" s="3"/>
      <c r="G753" s="3"/>
      <c r="H753" s="3"/>
      <c r="I753" s="7"/>
    </row>
    <row r="754" spans="1:9" x14ac:dyDescent="0.3">
      <c r="A754" s="7"/>
      <c r="B754" s="3"/>
      <c r="C754" s="3" t="s">
        <v>1125</v>
      </c>
      <c r="D754" s="3"/>
      <c r="E754" s="14"/>
      <c r="F754" s="3"/>
      <c r="G754" s="3"/>
      <c r="H754" s="3"/>
      <c r="I754" s="7"/>
    </row>
    <row r="755" spans="1:9" x14ac:dyDescent="0.3">
      <c r="A755" s="7">
        <v>44573</v>
      </c>
      <c r="B755" s="3" t="s">
        <v>1344</v>
      </c>
      <c r="C755" s="3" t="s">
        <v>1126</v>
      </c>
      <c r="D755" s="3">
        <v>514</v>
      </c>
      <c r="E755" s="14" t="s">
        <v>1345</v>
      </c>
      <c r="F755" s="3" t="s">
        <v>9</v>
      </c>
      <c r="G755" s="3" t="s">
        <v>1</v>
      </c>
      <c r="H755" s="3" t="s">
        <v>10</v>
      </c>
      <c r="I755" s="7">
        <v>44600</v>
      </c>
    </row>
    <row r="756" spans="1:9" x14ac:dyDescent="0.3">
      <c r="A756" s="7"/>
      <c r="B756" s="3"/>
      <c r="C756" s="3" t="s">
        <v>1127</v>
      </c>
      <c r="D756" s="3"/>
      <c r="E756" s="14"/>
      <c r="F756" s="3"/>
      <c r="G756" s="3"/>
      <c r="H756" s="3"/>
      <c r="I756" s="7"/>
    </row>
    <row r="757" spans="1:9" x14ac:dyDescent="0.3">
      <c r="A757" s="7">
        <v>44574</v>
      </c>
      <c r="B757" s="3" t="s">
        <v>1331</v>
      </c>
      <c r="C757" s="3" t="s">
        <v>1128</v>
      </c>
      <c r="D757" s="3">
        <v>414</v>
      </c>
      <c r="E757" s="14" t="s">
        <v>1333</v>
      </c>
      <c r="F757" s="3" t="s">
        <v>9</v>
      </c>
      <c r="G757" s="3" t="s">
        <v>7</v>
      </c>
      <c r="H757" s="3" t="s">
        <v>5</v>
      </c>
      <c r="I757" s="7"/>
    </row>
    <row r="758" spans="1:9" x14ac:dyDescent="0.3">
      <c r="A758" s="7"/>
      <c r="B758" s="3"/>
      <c r="C758" s="3" t="s">
        <v>1129</v>
      </c>
      <c r="D758" s="3"/>
      <c r="E758" s="14"/>
      <c r="F758" s="3"/>
      <c r="G758" s="3"/>
      <c r="H758" s="3"/>
      <c r="I758" s="7"/>
    </row>
    <row r="759" spans="1:9" ht="28.8" x14ac:dyDescent="0.3">
      <c r="A759" s="7">
        <v>44585</v>
      </c>
      <c r="B759" s="3" t="s">
        <v>1332</v>
      </c>
      <c r="C759" s="3" t="s">
        <v>1130</v>
      </c>
      <c r="D759" s="3">
        <v>404</v>
      </c>
      <c r="E759" s="14" t="s">
        <v>1328</v>
      </c>
      <c r="F759" s="3" t="s">
        <v>9</v>
      </c>
      <c r="G759" s="3" t="s">
        <v>7</v>
      </c>
      <c r="H759" s="3" t="s">
        <v>5</v>
      </c>
      <c r="I759" s="7"/>
    </row>
    <row r="760" spans="1:9" x14ac:dyDescent="0.3">
      <c r="A760" s="7"/>
      <c r="B760" s="3"/>
      <c r="C760" s="3" t="s">
        <v>1131</v>
      </c>
      <c r="D760" s="3"/>
      <c r="E760" s="14"/>
      <c r="F760" s="3"/>
      <c r="G760" s="3"/>
      <c r="H760" s="3"/>
      <c r="I760" s="7"/>
    </row>
    <row r="761" spans="1:9" x14ac:dyDescent="0.3">
      <c r="A761" s="7">
        <v>44580</v>
      </c>
      <c r="B761" s="3" t="s">
        <v>1132</v>
      </c>
      <c r="C761" s="16" t="s">
        <v>1133</v>
      </c>
      <c r="D761" s="3">
        <v>403</v>
      </c>
      <c r="E761" s="14" t="s">
        <v>1134</v>
      </c>
      <c r="F761" s="3" t="s">
        <v>15</v>
      </c>
      <c r="G761" s="3" t="s">
        <v>7</v>
      </c>
      <c r="H761" s="3" t="s">
        <v>10</v>
      </c>
      <c r="I761" s="7">
        <v>44598</v>
      </c>
    </row>
    <row r="762" spans="1:9" x14ac:dyDescent="0.3">
      <c r="A762" s="7"/>
      <c r="B762" s="3"/>
      <c r="C762" s="3" t="s">
        <v>1135</v>
      </c>
      <c r="D762" s="3"/>
      <c r="E762" s="14"/>
      <c r="F762" s="3"/>
      <c r="G762" s="3"/>
      <c r="H762" s="3"/>
      <c r="I762" s="7"/>
    </row>
    <row r="763" spans="1:9" x14ac:dyDescent="0.3">
      <c r="A763" s="7"/>
      <c r="B763" s="3"/>
      <c r="C763" s="3" t="s">
        <v>1136</v>
      </c>
      <c r="D763" s="3"/>
      <c r="E763" s="14"/>
      <c r="F763" s="3"/>
      <c r="G763" s="3"/>
      <c r="H763" s="3"/>
      <c r="I763" s="7"/>
    </row>
    <row r="764" spans="1:9" x14ac:dyDescent="0.3">
      <c r="A764" s="7"/>
      <c r="B764" s="3"/>
      <c r="C764" s="3" t="s">
        <v>1137</v>
      </c>
      <c r="D764" s="3"/>
      <c r="E764" s="14"/>
      <c r="F764" s="3"/>
      <c r="G764" s="3"/>
      <c r="H764" s="3"/>
      <c r="I764" s="7"/>
    </row>
    <row r="765" spans="1:9" x14ac:dyDescent="0.3">
      <c r="A765" s="7"/>
      <c r="B765" s="3"/>
      <c r="C765" s="3" t="s">
        <v>1138</v>
      </c>
      <c r="D765" s="3"/>
      <c r="E765" s="14"/>
      <c r="F765" s="3"/>
      <c r="G765" s="3"/>
      <c r="H765" s="3"/>
      <c r="I765" s="7"/>
    </row>
    <row r="766" spans="1:9" x14ac:dyDescent="0.3">
      <c r="A766" s="7"/>
      <c r="B766" s="3"/>
      <c r="C766" s="3" t="s">
        <v>1139</v>
      </c>
      <c r="D766" s="3"/>
      <c r="E766" s="14"/>
      <c r="F766" s="3"/>
      <c r="G766" s="3"/>
      <c r="H766" s="3"/>
      <c r="I766" s="7"/>
    </row>
    <row r="767" spans="1:9" x14ac:dyDescent="0.3">
      <c r="A767" s="7"/>
      <c r="B767" s="3"/>
      <c r="C767" s="3" t="s">
        <v>1140</v>
      </c>
      <c r="D767" s="3"/>
      <c r="E767" s="14"/>
      <c r="F767" s="3"/>
      <c r="G767" s="3"/>
      <c r="H767" s="3"/>
      <c r="I767" s="7"/>
    </row>
    <row r="768" spans="1:9" x14ac:dyDescent="0.3">
      <c r="A768" s="13">
        <v>44591</v>
      </c>
      <c r="B768" s="12" t="s">
        <v>1349</v>
      </c>
      <c r="C768" s="3" t="s">
        <v>1141</v>
      </c>
      <c r="D768" s="12">
        <v>604</v>
      </c>
      <c r="E768" s="14" t="s">
        <v>1348</v>
      </c>
      <c r="F768" s="12" t="s">
        <v>19</v>
      </c>
      <c r="G768" s="12" t="s">
        <v>4</v>
      </c>
      <c r="H768" s="12" t="s">
        <v>10</v>
      </c>
      <c r="I768" s="13">
        <v>44591</v>
      </c>
    </row>
    <row r="769" spans="1:9" x14ac:dyDescent="0.3">
      <c r="A769" s="7"/>
      <c r="B769" s="3"/>
      <c r="C769" s="3" t="s">
        <v>1142</v>
      </c>
      <c r="D769" s="3"/>
      <c r="E769" s="14"/>
      <c r="F769" s="3"/>
      <c r="G769" s="3"/>
      <c r="H769" s="3"/>
      <c r="I769" s="7"/>
    </row>
    <row r="770" spans="1:9" x14ac:dyDescent="0.3">
      <c r="A770" s="7"/>
      <c r="B770" s="3"/>
      <c r="C770" s="3" t="s">
        <v>1143</v>
      </c>
      <c r="D770" s="3"/>
      <c r="E770" s="14"/>
      <c r="F770" s="3"/>
      <c r="G770" s="3"/>
      <c r="H770" s="3"/>
      <c r="I770" s="7"/>
    </row>
    <row r="771" spans="1:9" ht="28.8" x14ac:dyDescent="0.3">
      <c r="A771" s="7">
        <v>44621</v>
      </c>
      <c r="B771" s="3" t="s">
        <v>1518</v>
      </c>
      <c r="C771" s="16" t="s">
        <v>1144</v>
      </c>
      <c r="D771" s="3">
        <v>513</v>
      </c>
      <c r="E771" s="14" t="s">
        <v>1517</v>
      </c>
      <c r="F771" s="3" t="s">
        <v>11</v>
      </c>
      <c r="G771" s="3" t="s">
        <v>1</v>
      </c>
      <c r="H771" s="3" t="s">
        <v>10</v>
      </c>
      <c r="I771" s="7">
        <v>44621</v>
      </c>
    </row>
    <row r="772" spans="1:9" x14ac:dyDescent="0.3">
      <c r="A772" s="7"/>
      <c r="B772" s="3"/>
      <c r="C772" s="3" t="s">
        <v>1145</v>
      </c>
      <c r="D772" s="3"/>
      <c r="E772" s="14"/>
      <c r="F772" s="3"/>
      <c r="G772" s="3"/>
      <c r="H772" s="3"/>
      <c r="I772" s="7"/>
    </row>
    <row r="773" spans="1:9" x14ac:dyDescent="0.3">
      <c r="A773" s="7">
        <v>44588</v>
      </c>
      <c r="B773" s="3" t="s">
        <v>1323</v>
      </c>
      <c r="C773" s="16" t="s">
        <v>1146</v>
      </c>
      <c r="D773" s="3">
        <v>606</v>
      </c>
      <c r="E773" s="14" t="s">
        <v>1325</v>
      </c>
      <c r="F773" s="3" t="s">
        <v>15</v>
      </c>
      <c r="G773" s="3" t="s">
        <v>4</v>
      </c>
      <c r="H773" s="3" t="s">
        <v>10</v>
      </c>
      <c r="I773" s="7">
        <v>44600</v>
      </c>
    </row>
    <row r="774" spans="1:9" x14ac:dyDescent="0.3">
      <c r="A774" s="7"/>
      <c r="B774" s="3"/>
      <c r="C774" s="3" t="s">
        <v>1147</v>
      </c>
      <c r="D774" s="3"/>
      <c r="E774" s="14"/>
      <c r="F774" s="3"/>
      <c r="G774" s="3"/>
      <c r="H774" s="3"/>
      <c r="I774" s="13"/>
    </row>
    <row r="775" spans="1:9" x14ac:dyDescent="0.3">
      <c r="A775" s="7">
        <v>44580</v>
      </c>
      <c r="B775" s="3" t="s">
        <v>1148</v>
      </c>
      <c r="C775" s="3" t="s">
        <v>1149</v>
      </c>
      <c r="D775" s="3">
        <v>615</v>
      </c>
      <c r="E775" s="14" t="s">
        <v>1304</v>
      </c>
      <c r="F775" s="3" t="s">
        <v>9</v>
      </c>
      <c r="G775" s="3" t="s">
        <v>7</v>
      </c>
      <c r="H775" s="3" t="s">
        <v>2</v>
      </c>
      <c r="I775" s="7"/>
    </row>
    <row r="776" spans="1:9" x14ac:dyDescent="0.3">
      <c r="A776" s="7">
        <v>44592</v>
      </c>
      <c r="B776" s="3" t="s">
        <v>1324</v>
      </c>
      <c r="C776" s="16" t="s">
        <v>1150</v>
      </c>
      <c r="D776" s="3">
        <v>603</v>
      </c>
      <c r="E776" s="14" t="s">
        <v>1341</v>
      </c>
      <c r="F776" s="3" t="s">
        <v>9</v>
      </c>
      <c r="G776" s="3" t="s">
        <v>7</v>
      </c>
      <c r="H776" s="3" t="s">
        <v>10</v>
      </c>
      <c r="I776" s="7">
        <v>44605</v>
      </c>
    </row>
    <row r="777" spans="1:9" ht="28.8" x14ac:dyDescent="0.3">
      <c r="A777" s="7">
        <v>44592</v>
      </c>
      <c r="B777" s="3" t="s">
        <v>1320</v>
      </c>
      <c r="C777" s="3" t="s">
        <v>1151</v>
      </c>
      <c r="D777" s="3">
        <v>506</v>
      </c>
      <c r="E777" s="14" t="s">
        <v>1319</v>
      </c>
      <c r="F777" s="3" t="s">
        <v>22</v>
      </c>
      <c r="G777" s="3" t="s">
        <v>1</v>
      </c>
      <c r="H777" s="3" t="s">
        <v>10</v>
      </c>
      <c r="I777" s="7">
        <v>44616</v>
      </c>
    </row>
    <row r="778" spans="1:9" x14ac:dyDescent="0.3">
      <c r="A778" s="7"/>
      <c r="B778" s="3"/>
      <c r="C778" s="3" t="s">
        <v>1152</v>
      </c>
      <c r="D778" s="3"/>
      <c r="E778" s="14"/>
      <c r="F778" s="3"/>
      <c r="G778" s="3"/>
      <c r="H778" s="3"/>
      <c r="I778" s="7"/>
    </row>
    <row r="779" spans="1:9" x14ac:dyDescent="0.3">
      <c r="A779" s="7"/>
      <c r="B779" s="3"/>
      <c r="C779" s="3" t="s">
        <v>1153</v>
      </c>
      <c r="D779" s="3"/>
      <c r="E779" s="14"/>
      <c r="F779" s="3"/>
      <c r="G779" s="3"/>
      <c r="H779" s="3"/>
      <c r="I779" s="7"/>
    </row>
    <row r="780" spans="1:9" x14ac:dyDescent="0.3">
      <c r="A780" s="7"/>
      <c r="B780" s="3"/>
      <c r="C780" s="3" t="s">
        <v>1154</v>
      </c>
      <c r="D780" s="3"/>
      <c r="E780" s="14"/>
      <c r="F780" s="3"/>
      <c r="G780" s="3"/>
      <c r="H780" s="3"/>
      <c r="I780" s="7"/>
    </row>
    <row r="781" spans="1:9" x14ac:dyDescent="0.3">
      <c r="A781" s="7"/>
      <c r="B781" s="3"/>
      <c r="C781" s="3" t="s">
        <v>1155</v>
      </c>
      <c r="D781" s="3"/>
      <c r="E781" s="14"/>
      <c r="F781" s="3"/>
      <c r="G781" s="3"/>
      <c r="H781" s="3"/>
      <c r="I781" s="7"/>
    </row>
    <row r="782" spans="1:9" x14ac:dyDescent="0.3">
      <c r="A782" s="7"/>
      <c r="B782" s="3"/>
      <c r="C782" s="3" t="s">
        <v>1156</v>
      </c>
      <c r="D782" s="3"/>
      <c r="E782" s="14"/>
      <c r="F782" s="3"/>
      <c r="G782" s="3"/>
      <c r="H782" s="3"/>
      <c r="I782" s="7"/>
    </row>
    <row r="783" spans="1:9" x14ac:dyDescent="0.3">
      <c r="A783" s="7"/>
      <c r="B783" s="3"/>
      <c r="C783" s="3" t="s">
        <v>1157</v>
      </c>
      <c r="D783" s="3"/>
      <c r="E783" s="14"/>
      <c r="F783" s="3"/>
      <c r="G783" s="3"/>
      <c r="H783" s="3"/>
      <c r="I783" s="7"/>
    </row>
    <row r="784" spans="1:9" x14ac:dyDescent="0.3">
      <c r="A784" s="7"/>
      <c r="B784" s="3"/>
      <c r="C784" s="3" t="s">
        <v>1158</v>
      </c>
      <c r="D784" s="3"/>
      <c r="E784" s="14"/>
      <c r="F784" s="3"/>
      <c r="G784" s="3"/>
      <c r="H784" s="3"/>
      <c r="I784" s="7"/>
    </row>
    <row r="785" spans="1:9" x14ac:dyDescent="0.3">
      <c r="A785" s="7"/>
      <c r="B785" s="3"/>
      <c r="C785" s="3" t="s">
        <v>1159</v>
      </c>
      <c r="D785" s="3"/>
      <c r="E785" s="14"/>
      <c r="F785" s="3"/>
      <c r="G785" s="3"/>
      <c r="H785" s="3"/>
      <c r="I785" s="7"/>
    </row>
    <row r="786" spans="1:9" x14ac:dyDescent="0.3">
      <c r="A786" s="7"/>
      <c r="B786" s="3"/>
      <c r="C786" s="3" t="s">
        <v>1160</v>
      </c>
      <c r="D786" s="3"/>
      <c r="E786" s="14"/>
      <c r="F786" s="3"/>
      <c r="G786" s="3"/>
      <c r="H786" s="3"/>
      <c r="I786" s="7"/>
    </row>
    <row r="787" spans="1:9" x14ac:dyDescent="0.3">
      <c r="A787" s="7"/>
      <c r="B787" s="3"/>
      <c r="C787" s="3" t="s">
        <v>1161</v>
      </c>
      <c r="D787" s="3"/>
      <c r="E787" s="14"/>
      <c r="F787" s="3"/>
      <c r="G787" s="3"/>
      <c r="H787" s="3"/>
      <c r="I787" s="7"/>
    </row>
    <row r="788" spans="1:9" x14ac:dyDescent="0.3">
      <c r="A788" s="6">
        <v>44585</v>
      </c>
      <c r="B788" s="3" t="s">
        <v>1305</v>
      </c>
      <c r="C788" s="3" t="s">
        <v>1162</v>
      </c>
      <c r="D788" s="3">
        <v>419</v>
      </c>
      <c r="E788" s="14" t="s">
        <v>1306</v>
      </c>
      <c r="F788" s="3" t="s">
        <v>19</v>
      </c>
      <c r="G788" s="3" t="s">
        <v>7</v>
      </c>
      <c r="H788" s="3" t="s">
        <v>10</v>
      </c>
      <c r="I788" s="7">
        <v>44585</v>
      </c>
    </row>
    <row r="789" spans="1:9" x14ac:dyDescent="0.3">
      <c r="A789" s="7">
        <v>44586</v>
      </c>
      <c r="B789" s="12" t="s">
        <v>1458</v>
      </c>
      <c r="C789" s="16" t="s">
        <v>1163</v>
      </c>
      <c r="D789" s="3">
        <v>419</v>
      </c>
      <c r="E789" s="14" t="s">
        <v>1334</v>
      </c>
      <c r="F789" s="3" t="s">
        <v>19</v>
      </c>
      <c r="G789" s="3" t="s">
        <v>1</v>
      </c>
      <c r="H789" s="3" t="s">
        <v>10</v>
      </c>
      <c r="I789" s="7">
        <v>44586</v>
      </c>
    </row>
    <row r="790" spans="1:9" x14ac:dyDescent="0.3">
      <c r="A790" s="7"/>
      <c r="B790" s="3"/>
      <c r="C790" s="3" t="s">
        <v>1164</v>
      </c>
      <c r="D790" s="3"/>
      <c r="E790" s="14"/>
      <c r="F790" s="3"/>
      <c r="G790" s="3"/>
      <c r="H790" s="3"/>
      <c r="I790" s="7"/>
    </row>
    <row r="791" spans="1:9" x14ac:dyDescent="0.3">
      <c r="A791" s="7">
        <v>44599</v>
      </c>
      <c r="B791" s="3" t="s">
        <v>1351</v>
      </c>
      <c r="C791" s="3" t="s">
        <v>1165</v>
      </c>
      <c r="D791" s="3">
        <v>510</v>
      </c>
      <c r="E791" s="14" t="s">
        <v>1350</v>
      </c>
      <c r="F791" s="3" t="s">
        <v>19</v>
      </c>
      <c r="G791" s="3" t="s">
        <v>1</v>
      </c>
      <c r="H791" s="3" t="s">
        <v>10</v>
      </c>
      <c r="I791" s="13">
        <v>44599</v>
      </c>
    </row>
    <row r="792" spans="1:9" x14ac:dyDescent="0.3">
      <c r="A792" s="7">
        <v>44600</v>
      </c>
      <c r="B792" s="3" t="s">
        <v>1353</v>
      </c>
      <c r="C792" s="3" t="s">
        <v>1166</v>
      </c>
      <c r="D792" s="3">
        <v>501</v>
      </c>
      <c r="E792" s="14" t="s">
        <v>1352</v>
      </c>
      <c r="F792" s="3" t="s">
        <v>19</v>
      </c>
      <c r="G792" s="3" t="s">
        <v>1</v>
      </c>
      <c r="H792" s="3" t="s">
        <v>10</v>
      </c>
      <c r="I792" s="13">
        <v>44600</v>
      </c>
    </row>
    <row r="793" spans="1:9" x14ac:dyDescent="0.3">
      <c r="A793" s="7"/>
      <c r="B793" s="3"/>
      <c r="C793" s="3" t="s">
        <v>1167</v>
      </c>
      <c r="D793" s="3"/>
      <c r="E793" s="14"/>
      <c r="F793" s="3"/>
      <c r="G793" s="3"/>
      <c r="H793" s="3"/>
      <c r="I793" s="7"/>
    </row>
    <row r="794" spans="1:9" x14ac:dyDescent="0.3">
      <c r="A794" s="7"/>
      <c r="B794" s="3"/>
      <c r="C794" s="3" t="s">
        <v>1168</v>
      </c>
      <c r="D794" s="3"/>
      <c r="E794" s="14"/>
      <c r="F794" s="3"/>
      <c r="G794" s="3"/>
      <c r="H794" s="3"/>
      <c r="I794" s="7"/>
    </row>
    <row r="795" spans="1:9" x14ac:dyDescent="0.3">
      <c r="A795" s="7"/>
      <c r="B795" s="3"/>
      <c r="C795" s="3" t="s">
        <v>1169</v>
      </c>
      <c r="D795" s="3"/>
      <c r="E795" s="14"/>
      <c r="F795" s="3"/>
      <c r="G795" s="3"/>
      <c r="H795" s="3"/>
      <c r="I795" s="7"/>
    </row>
    <row r="796" spans="1:9" x14ac:dyDescent="0.3">
      <c r="A796" s="7"/>
      <c r="B796" s="3"/>
      <c r="C796" s="3" t="s">
        <v>1170</v>
      </c>
      <c r="D796" s="3"/>
      <c r="E796" s="14"/>
      <c r="F796" s="3"/>
      <c r="G796" s="3"/>
      <c r="H796" s="3"/>
      <c r="I796" s="7"/>
    </row>
    <row r="797" spans="1:9" x14ac:dyDescent="0.3">
      <c r="A797" s="7"/>
      <c r="B797" s="3"/>
      <c r="C797" s="3" t="s">
        <v>1171</v>
      </c>
      <c r="D797" s="3"/>
      <c r="E797" s="14"/>
      <c r="F797" s="3"/>
      <c r="G797" s="3"/>
      <c r="H797" s="3"/>
      <c r="I797" s="7"/>
    </row>
    <row r="798" spans="1:9" x14ac:dyDescent="0.3">
      <c r="A798" s="7"/>
      <c r="B798" s="3"/>
      <c r="C798" s="3" t="s">
        <v>1172</v>
      </c>
      <c r="D798" s="3"/>
      <c r="E798" s="14"/>
      <c r="F798" s="3"/>
      <c r="G798" s="3"/>
      <c r="H798" s="3"/>
      <c r="I798" s="7"/>
    </row>
    <row r="799" spans="1:9" x14ac:dyDescent="0.3">
      <c r="A799" s="7"/>
      <c r="B799" s="3"/>
      <c r="C799" s="3" t="s">
        <v>1173</v>
      </c>
      <c r="D799" s="3"/>
      <c r="E799" s="14"/>
      <c r="F799" s="3"/>
      <c r="G799" s="3"/>
      <c r="H799" s="3"/>
      <c r="I799" s="7"/>
    </row>
    <row r="800" spans="1:9" x14ac:dyDescent="0.3">
      <c r="A800" s="7"/>
      <c r="B800" s="3"/>
      <c r="C800" s="3" t="s">
        <v>1174</v>
      </c>
      <c r="D800" s="3"/>
      <c r="E800" s="14"/>
      <c r="F800" s="3"/>
      <c r="G800" s="3"/>
      <c r="H800" s="3"/>
      <c r="I800" s="7"/>
    </row>
    <row r="801" spans="1:9" x14ac:dyDescent="0.3">
      <c r="A801" s="6">
        <v>44585</v>
      </c>
      <c r="B801" s="3" t="s">
        <v>1335</v>
      </c>
      <c r="C801" s="3" t="s">
        <v>1175</v>
      </c>
      <c r="D801" s="3">
        <v>626</v>
      </c>
      <c r="E801" s="14" t="s">
        <v>1338</v>
      </c>
      <c r="F801" s="3" t="s">
        <v>9</v>
      </c>
      <c r="G801" s="3" t="s">
        <v>1</v>
      </c>
      <c r="H801" s="3" t="s">
        <v>10</v>
      </c>
      <c r="I801" s="7">
        <v>44584</v>
      </c>
    </row>
    <row r="802" spans="1:9" x14ac:dyDescent="0.3">
      <c r="A802" s="7"/>
      <c r="B802" s="3"/>
      <c r="C802" s="3" t="s">
        <v>1176</v>
      </c>
      <c r="D802" s="3"/>
      <c r="E802" s="14"/>
      <c r="F802" s="3"/>
      <c r="G802" s="3"/>
      <c r="H802" s="3"/>
      <c r="I802" s="7"/>
    </row>
    <row r="803" spans="1:9" x14ac:dyDescent="0.3">
      <c r="A803" s="7"/>
      <c r="B803" s="3"/>
      <c r="C803" s="3" t="s">
        <v>1177</v>
      </c>
      <c r="D803" s="3"/>
      <c r="E803" s="14"/>
      <c r="F803" s="3"/>
      <c r="G803" s="3"/>
      <c r="H803" s="3"/>
      <c r="I803" s="7"/>
    </row>
    <row r="804" spans="1:9" x14ac:dyDescent="0.3">
      <c r="A804" s="7">
        <v>44591</v>
      </c>
      <c r="B804" s="3" t="s">
        <v>1321</v>
      </c>
      <c r="C804" s="3" t="s">
        <v>1178</v>
      </c>
      <c r="D804" s="3">
        <v>511</v>
      </c>
      <c r="E804" s="14" t="s">
        <v>1322</v>
      </c>
      <c r="F804" s="3" t="s">
        <v>16</v>
      </c>
      <c r="G804" s="3" t="s">
        <v>1</v>
      </c>
      <c r="H804" s="3" t="s">
        <v>5</v>
      </c>
      <c r="I804" s="7"/>
    </row>
    <row r="805" spans="1:9" x14ac:dyDescent="0.3">
      <c r="A805" s="7">
        <v>44592</v>
      </c>
      <c r="B805" s="3" t="s">
        <v>1336</v>
      </c>
      <c r="C805" s="3" t="s">
        <v>1179</v>
      </c>
      <c r="D805" s="3">
        <v>611</v>
      </c>
      <c r="E805" s="14" t="s">
        <v>1339</v>
      </c>
      <c r="F805" s="3" t="s">
        <v>16</v>
      </c>
      <c r="G805" s="3" t="s">
        <v>7</v>
      </c>
      <c r="H805" s="3" t="s">
        <v>10</v>
      </c>
      <c r="I805" s="7">
        <v>44607</v>
      </c>
    </row>
    <row r="806" spans="1:9" x14ac:dyDescent="0.3">
      <c r="A806" s="7">
        <v>44592</v>
      </c>
      <c r="B806" s="3" t="s">
        <v>1337</v>
      </c>
      <c r="C806" s="3" t="s">
        <v>1180</v>
      </c>
      <c r="D806" s="3">
        <v>625</v>
      </c>
      <c r="E806" s="14" t="s">
        <v>1340</v>
      </c>
      <c r="F806" s="3" t="s">
        <v>16</v>
      </c>
      <c r="G806" s="3" t="s">
        <v>7</v>
      </c>
      <c r="H806" s="3" t="s">
        <v>10</v>
      </c>
      <c r="I806" s="7">
        <v>44609</v>
      </c>
    </row>
    <row r="807" spans="1:9" x14ac:dyDescent="0.3">
      <c r="A807" s="7"/>
      <c r="B807" s="3"/>
      <c r="C807" s="3" t="s">
        <v>1181</v>
      </c>
      <c r="D807" s="3"/>
      <c r="E807" s="14"/>
      <c r="F807" s="3"/>
      <c r="G807" s="3"/>
      <c r="H807" s="3"/>
      <c r="I807" s="7"/>
    </row>
    <row r="808" spans="1:9" x14ac:dyDescent="0.3">
      <c r="A808" s="7"/>
      <c r="B808" s="3"/>
      <c r="C808" s="3" t="s">
        <v>1182</v>
      </c>
      <c r="D808" s="3"/>
      <c r="E808" s="14"/>
      <c r="F808" s="3"/>
      <c r="G808" s="3"/>
      <c r="H808" s="3"/>
      <c r="I808" s="7"/>
    </row>
    <row r="809" spans="1:9" x14ac:dyDescent="0.3">
      <c r="A809" s="7"/>
      <c r="B809" s="3"/>
      <c r="C809" s="3" t="s">
        <v>1183</v>
      </c>
      <c r="D809" s="3"/>
      <c r="E809" s="14"/>
      <c r="F809" s="3"/>
      <c r="G809" s="3"/>
      <c r="H809" s="3"/>
      <c r="I809" s="7"/>
    </row>
    <row r="810" spans="1:9" x14ac:dyDescent="0.3">
      <c r="A810" s="7"/>
      <c r="B810" s="3"/>
      <c r="C810" s="3" t="s">
        <v>1184</v>
      </c>
      <c r="D810" s="3"/>
      <c r="E810" s="14"/>
      <c r="F810" s="3"/>
      <c r="G810" s="3"/>
      <c r="H810" s="3"/>
      <c r="I810" s="7"/>
    </row>
    <row r="811" spans="1:9" x14ac:dyDescent="0.3">
      <c r="A811" s="7"/>
      <c r="B811" s="3"/>
      <c r="C811" s="3" t="s">
        <v>1185</v>
      </c>
      <c r="D811" s="3"/>
      <c r="E811" s="14"/>
      <c r="F811" s="3"/>
      <c r="G811" s="3"/>
      <c r="H811" s="3"/>
      <c r="I811" s="7"/>
    </row>
    <row r="812" spans="1:9" x14ac:dyDescent="0.3">
      <c r="A812" s="13">
        <v>44598</v>
      </c>
      <c r="B812" s="12" t="s">
        <v>1346</v>
      </c>
      <c r="C812" s="15" t="s">
        <v>1186</v>
      </c>
      <c r="D812" s="12">
        <v>626</v>
      </c>
      <c r="E812" s="14" t="s">
        <v>1347</v>
      </c>
      <c r="F812" s="12" t="s">
        <v>14</v>
      </c>
      <c r="G812" s="12" t="s">
        <v>1</v>
      </c>
      <c r="H812" s="12" t="s">
        <v>10</v>
      </c>
      <c r="I812" s="13">
        <v>44598</v>
      </c>
    </row>
    <row r="813" spans="1:9" x14ac:dyDescent="0.3">
      <c r="A813" s="7"/>
      <c r="B813" s="3"/>
      <c r="C813" s="3" t="s">
        <v>1187</v>
      </c>
      <c r="D813" s="3"/>
      <c r="E813" s="14"/>
      <c r="F813" s="3"/>
      <c r="G813" s="3"/>
      <c r="H813" s="3"/>
      <c r="I813" s="7"/>
    </row>
    <row r="814" spans="1:9" x14ac:dyDescent="0.3">
      <c r="A814" s="7"/>
      <c r="B814" s="3" t="s">
        <v>1469</v>
      </c>
      <c r="C814" s="3" t="s">
        <v>1188</v>
      </c>
      <c r="D814" s="3">
        <v>514</v>
      </c>
      <c r="E814" s="14" t="s">
        <v>1468</v>
      </c>
      <c r="F814" s="3" t="s">
        <v>9</v>
      </c>
      <c r="G814" s="3" t="s">
        <v>7</v>
      </c>
      <c r="H814" s="3" t="s">
        <v>2</v>
      </c>
      <c r="I814" s="7"/>
    </row>
    <row r="815" spans="1:9" x14ac:dyDescent="0.3">
      <c r="A815" s="7"/>
      <c r="B815" s="3"/>
      <c r="C815" s="3" t="s">
        <v>1189</v>
      </c>
      <c r="D815" s="3"/>
      <c r="E815" s="14"/>
      <c r="F815" s="3"/>
      <c r="G815" s="3"/>
      <c r="H815" s="3"/>
      <c r="I815" s="7"/>
    </row>
    <row r="816" spans="1:9" x14ac:dyDescent="0.3">
      <c r="A816" s="7"/>
      <c r="B816" s="3"/>
      <c r="C816" s="3" t="s">
        <v>1190</v>
      </c>
      <c r="D816" s="3"/>
      <c r="E816" s="14"/>
      <c r="F816" s="3"/>
      <c r="G816" s="3"/>
      <c r="H816" s="3"/>
      <c r="I816" s="7"/>
    </row>
    <row r="817" spans="1:9" x14ac:dyDescent="0.3">
      <c r="A817" s="7"/>
      <c r="B817" s="3"/>
      <c r="C817" s="3" t="s">
        <v>1191</v>
      </c>
      <c r="D817" s="3"/>
      <c r="E817" s="14"/>
      <c r="F817" s="3"/>
      <c r="G817" s="3"/>
      <c r="H817" s="3"/>
      <c r="I817" s="7"/>
    </row>
    <row r="818" spans="1:9" x14ac:dyDescent="0.3">
      <c r="A818" s="7"/>
      <c r="B818" s="3"/>
      <c r="C818" s="3" t="s">
        <v>1192</v>
      </c>
      <c r="D818" s="3"/>
      <c r="E818" s="14"/>
      <c r="F818" s="3"/>
      <c r="G818" s="3"/>
      <c r="H818" s="3"/>
      <c r="I818" s="7"/>
    </row>
    <row r="819" spans="1:9" x14ac:dyDescent="0.3">
      <c r="A819" s="7"/>
      <c r="B819" s="3"/>
      <c r="C819" s="3" t="s">
        <v>1193</v>
      </c>
      <c r="D819" s="3"/>
      <c r="E819" s="14"/>
      <c r="F819" s="3"/>
      <c r="G819" s="3"/>
      <c r="H819" s="3"/>
      <c r="I819" s="7"/>
    </row>
    <row r="820" spans="1:9" x14ac:dyDescent="0.3">
      <c r="A820" s="7"/>
      <c r="B820" s="3"/>
      <c r="C820" s="3" t="s">
        <v>1194</v>
      </c>
      <c r="D820" s="3"/>
      <c r="E820" s="14"/>
      <c r="F820" s="3"/>
      <c r="G820" s="3"/>
      <c r="H820" s="3"/>
      <c r="I820" s="7"/>
    </row>
    <row r="821" spans="1:9" x14ac:dyDescent="0.3">
      <c r="A821" s="7"/>
      <c r="B821" s="3"/>
      <c r="C821" s="3" t="s">
        <v>1195</v>
      </c>
      <c r="D821" s="3"/>
      <c r="E821" s="14"/>
      <c r="F821" s="3"/>
      <c r="G821" s="3"/>
      <c r="H821" s="3"/>
      <c r="I821" s="7"/>
    </row>
    <row r="822" spans="1:9" x14ac:dyDescent="0.3">
      <c r="A822" s="7"/>
      <c r="B822" s="3"/>
      <c r="C822" s="3" t="s">
        <v>1196</v>
      </c>
      <c r="D822" s="3"/>
      <c r="E822" s="14"/>
      <c r="F822" s="3"/>
      <c r="G822" s="3"/>
      <c r="H822" s="3"/>
      <c r="I822" s="7"/>
    </row>
    <row r="823" spans="1:9" x14ac:dyDescent="0.3">
      <c r="A823" s="7"/>
      <c r="B823" s="3"/>
      <c r="C823" s="3" t="s">
        <v>1197</v>
      </c>
      <c r="D823" s="3"/>
      <c r="E823" s="14"/>
      <c r="F823" s="3"/>
      <c r="G823" s="3"/>
      <c r="H823" s="3"/>
      <c r="I823" s="7"/>
    </row>
    <row r="824" spans="1:9" x14ac:dyDescent="0.3">
      <c r="A824" s="7"/>
      <c r="B824" s="3"/>
      <c r="C824" s="3" t="s">
        <v>1198</v>
      </c>
      <c r="D824" s="3"/>
      <c r="E824" s="14"/>
      <c r="F824" s="3"/>
      <c r="G824" s="3"/>
      <c r="H824" s="3"/>
      <c r="I824" s="7"/>
    </row>
    <row r="825" spans="1:9" x14ac:dyDescent="0.3">
      <c r="A825" s="7"/>
      <c r="B825" s="3"/>
      <c r="C825" s="3" t="s">
        <v>1199</v>
      </c>
      <c r="D825" s="3"/>
      <c r="E825" s="14"/>
      <c r="F825" s="3"/>
      <c r="G825" s="3"/>
      <c r="H825" s="3"/>
      <c r="I825" s="7"/>
    </row>
    <row r="826" spans="1:9" x14ac:dyDescent="0.3">
      <c r="A826" s="7"/>
      <c r="B826" s="3" t="s">
        <v>1511</v>
      </c>
      <c r="C826" s="15" t="s">
        <v>1200</v>
      </c>
      <c r="D826" s="3">
        <v>503</v>
      </c>
      <c r="E826" s="14" t="s">
        <v>1502</v>
      </c>
      <c r="F826" s="3" t="s">
        <v>19</v>
      </c>
      <c r="G826" s="3" t="s">
        <v>4</v>
      </c>
      <c r="H826" s="3" t="s">
        <v>10</v>
      </c>
      <c r="I826" s="7">
        <v>44615</v>
      </c>
    </row>
    <row r="827" spans="1:9" x14ac:dyDescent="0.3">
      <c r="A827" s="7"/>
      <c r="B827" s="3"/>
      <c r="C827" s="3" t="s">
        <v>1201</v>
      </c>
      <c r="D827" s="3"/>
      <c r="E827" s="14"/>
      <c r="F827" s="3"/>
      <c r="G827" s="3"/>
      <c r="H827" s="3"/>
      <c r="I827" s="7"/>
    </row>
    <row r="828" spans="1:9" x14ac:dyDescent="0.3">
      <c r="A828" s="7"/>
      <c r="B828" s="3"/>
      <c r="C828" s="3" t="s">
        <v>1202</v>
      </c>
      <c r="D828" s="3"/>
      <c r="E828" s="14"/>
      <c r="F828" s="3"/>
      <c r="G828" s="3"/>
      <c r="H828" s="3"/>
      <c r="I828" s="7"/>
    </row>
    <row r="829" spans="1:9" x14ac:dyDescent="0.3">
      <c r="A829" s="7"/>
      <c r="B829" s="3"/>
      <c r="C829" s="3" t="s">
        <v>1203</v>
      </c>
      <c r="D829" s="3"/>
      <c r="E829" s="14"/>
      <c r="F829" s="3"/>
      <c r="G829" s="3"/>
      <c r="H829" s="3"/>
      <c r="I829" s="7"/>
    </row>
    <row r="830" spans="1:9" x14ac:dyDescent="0.3">
      <c r="A830" s="7"/>
      <c r="B830" s="3"/>
      <c r="C830" s="3" t="s">
        <v>1204</v>
      </c>
      <c r="D830" s="3"/>
      <c r="E830" s="14"/>
      <c r="F830" s="3"/>
      <c r="G830" s="3"/>
      <c r="H830" s="3"/>
      <c r="I830" s="7"/>
    </row>
    <row r="831" spans="1:9" x14ac:dyDescent="0.3">
      <c r="A831" s="7"/>
      <c r="B831" s="3"/>
      <c r="C831" s="3" t="s">
        <v>1205</v>
      </c>
      <c r="D831" s="3"/>
      <c r="E831" s="14"/>
      <c r="F831" s="3"/>
      <c r="G831" s="3"/>
      <c r="H831" s="3"/>
      <c r="I831" s="7"/>
    </row>
    <row r="832" spans="1:9" x14ac:dyDescent="0.3">
      <c r="A832" s="7"/>
      <c r="B832" s="3"/>
      <c r="C832" s="3" t="s">
        <v>1206</v>
      </c>
      <c r="D832" s="3"/>
      <c r="E832" s="14"/>
      <c r="F832" s="3"/>
      <c r="G832" s="3"/>
      <c r="H832" s="3"/>
      <c r="I832" s="7"/>
    </row>
    <row r="833" spans="1:9" x14ac:dyDescent="0.3">
      <c r="A833" s="7"/>
      <c r="B833" s="3"/>
      <c r="C833" s="3" t="s">
        <v>1207</v>
      </c>
      <c r="D833" s="3"/>
      <c r="E833" s="14"/>
      <c r="F833" s="3"/>
      <c r="G833" s="3"/>
      <c r="H833" s="3"/>
      <c r="I833" s="7"/>
    </row>
    <row r="834" spans="1:9" x14ac:dyDescent="0.3">
      <c r="A834" s="7"/>
      <c r="B834" s="3"/>
      <c r="C834" s="3" t="s">
        <v>1208</v>
      </c>
      <c r="D834" s="3"/>
      <c r="E834" s="14"/>
      <c r="F834" s="3"/>
      <c r="G834" s="3"/>
      <c r="H834" s="3"/>
      <c r="I834" s="7"/>
    </row>
    <row r="835" spans="1:9" x14ac:dyDescent="0.3">
      <c r="A835" s="7"/>
      <c r="B835" s="3"/>
      <c r="C835" s="3" t="s">
        <v>1209</v>
      </c>
      <c r="D835" s="3"/>
      <c r="E835" s="14"/>
      <c r="F835" s="3"/>
      <c r="G835" s="3"/>
      <c r="H835" s="3"/>
      <c r="I835" s="7"/>
    </row>
    <row r="836" spans="1:9" x14ac:dyDescent="0.3">
      <c r="A836" s="7"/>
      <c r="B836" s="3"/>
      <c r="C836" s="3" t="s">
        <v>1210</v>
      </c>
      <c r="D836" s="3"/>
      <c r="E836" s="14"/>
      <c r="F836" s="3"/>
      <c r="G836" s="3"/>
      <c r="H836" s="3"/>
      <c r="I836" s="7"/>
    </row>
    <row r="837" spans="1:9" x14ac:dyDescent="0.3">
      <c r="A837" s="7"/>
      <c r="B837" s="3"/>
      <c r="C837" s="3" t="s">
        <v>1211</v>
      </c>
      <c r="D837" s="3"/>
      <c r="E837" s="14"/>
      <c r="F837" s="3"/>
      <c r="G837" s="3"/>
      <c r="H837" s="3"/>
      <c r="I837" s="7"/>
    </row>
    <row r="838" spans="1:9" x14ac:dyDescent="0.3">
      <c r="A838" s="7"/>
      <c r="B838" s="3"/>
      <c r="C838" s="3" t="s">
        <v>1212</v>
      </c>
      <c r="D838" s="3"/>
      <c r="E838" s="14"/>
      <c r="F838" s="3"/>
      <c r="G838" s="3"/>
      <c r="H838" s="3"/>
      <c r="I838" s="7"/>
    </row>
    <row r="839" spans="1:9" x14ac:dyDescent="0.3">
      <c r="A839" s="7"/>
      <c r="B839" s="3"/>
      <c r="C839" s="3" t="s">
        <v>1213</v>
      </c>
      <c r="D839" s="3"/>
      <c r="E839" s="14"/>
      <c r="F839" s="3"/>
      <c r="G839" s="3"/>
      <c r="H839" s="3"/>
      <c r="I839" s="7"/>
    </row>
    <row r="840" spans="1:9" x14ac:dyDescent="0.3">
      <c r="A840" s="7"/>
      <c r="B840" s="3"/>
      <c r="C840" s="3" t="s">
        <v>1214</v>
      </c>
      <c r="D840" s="3"/>
      <c r="E840" s="14"/>
      <c r="F840" s="3"/>
      <c r="G840" s="3"/>
      <c r="H840" s="3"/>
      <c r="I840" s="7"/>
    </row>
    <row r="841" spans="1:9" x14ac:dyDescent="0.3">
      <c r="A841" s="7"/>
      <c r="B841" s="3"/>
      <c r="C841" s="3" t="s">
        <v>1215</v>
      </c>
      <c r="D841" s="3"/>
      <c r="E841" s="14"/>
      <c r="F841" s="3"/>
      <c r="G841" s="3"/>
      <c r="H841" s="3"/>
      <c r="I841" s="7"/>
    </row>
    <row r="842" spans="1:9" x14ac:dyDescent="0.3">
      <c r="A842" s="7"/>
      <c r="B842" s="3"/>
      <c r="C842" s="3" t="s">
        <v>1216</v>
      </c>
      <c r="D842" s="3"/>
      <c r="E842" s="14"/>
      <c r="F842" s="3"/>
      <c r="G842" s="3"/>
      <c r="H842" s="3"/>
      <c r="I842" s="7"/>
    </row>
    <row r="843" spans="1:9" x14ac:dyDescent="0.3">
      <c r="A843" s="7"/>
      <c r="B843" s="3"/>
      <c r="C843" s="3" t="s">
        <v>1217</v>
      </c>
      <c r="D843" s="3"/>
      <c r="E843" s="14"/>
      <c r="F843" s="3"/>
      <c r="G843" s="3"/>
      <c r="H843" s="3"/>
      <c r="I843" s="7"/>
    </row>
    <row r="844" spans="1:9" x14ac:dyDescent="0.3">
      <c r="A844" s="7"/>
      <c r="B844" s="3"/>
      <c r="C844" s="3" t="s">
        <v>1218</v>
      </c>
      <c r="D844" s="3"/>
      <c r="E844" s="14"/>
      <c r="F844" s="3"/>
      <c r="G844" s="3"/>
      <c r="H844" s="3"/>
      <c r="I844" s="7"/>
    </row>
    <row r="845" spans="1:9" x14ac:dyDescent="0.3">
      <c r="A845" s="7"/>
      <c r="B845" s="3"/>
      <c r="C845" s="3" t="s">
        <v>1219</v>
      </c>
      <c r="D845" s="3"/>
      <c r="E845" s="14"/>
      <c r="F845" s="3"/>
      <c r="G845" s="3"/>
      <c r="H845" s="3"/>
      <c r="I845" s="7"/>
    </row>
    <row r="846" spans="1:9" x14ac:dyDescent="0.3">
      <c r="A846" s="7">
        <v>44601</v>
      </c>
      <c r="B846" s="3" t="s">
        <v>1358</v>
      </c>
      <c r="C846" s="3" t="s">
        <v>1220</v>
      </c>
      <c r="D846" s="3">
        <v>626</v>
      </c>
      <c r="E846" s="14" t="s">
        <v>1359</v>
      </c>
      <c r="F846" s="3" t="s">
        <v>14</v>
      </c>
      <c r="G846" s="3" t="s">
        <v>1</v>
      </c>
      <c r="H846" s="3" t="s">
        <v>10</v>
      </c>
      <c r="I846" s="13">
        <v>44601</v>
      </c>
    </row>
    <row r="847" spans="1:9" x14ac:dyDescent="0.3">
      <c r="A847" s="7"/>
      <c r="B847" s="3" t="s">
        <v>1484</v>
      </c>
      <c r="C847" s="3" t="s">
        <v>1221</v>
      </c>
      <c r="D847" s="3">
        <v>617</v>
      </c>
      <c r="E847" s="14" t="s">
        <v>1485</v>
      </c>
      <c r="F847" s="3" t="s">
        <v>0</v>
      </c>
      <c r="G847" s="3" t="s">
        <v>1</v>
      </c>
      <c r="H847" s="3" t="s">
        <v>5</v>
      </c>
      <c r="I847" s="7"/>
    </row>
    <row r="848" spans="1:9" x14ac:dyDescent="0.3">
      <c r="A848" s="7"/>
      <c r="B848" s="3"/>
      <c r="C848" s="3" t="s">
        <v>1222</v>
      </c>
      <c r="D848" s="3"/>
      <c r="E848" s="14"/>
      <c r="F848" s="3"/>
      <c r="G848" s="3"/>
      <c r="H848" s="3"/>
      <c r="I848" s="7"/>
    </row>
    <row r="849" spans="1:9" x14ac:dyDescent="0.3">
      <c r="A849" s="7"/>
      <c r="B849" s="3"/>
      <c r="C849" s="3" t="s">
        <v>1223</v>
      </c>
      <c r="D849" s="3"/>
      <c r="E849" s="14"/>
      <c r="F849" s="3"/>
      <c r="G849" s="3"/>
      <c r="H849" s="3"/>
      <c r="I849" s="7"/>
    </row>
    <row r="850" spans="1:9" x14ac:dyDescent="0.3">
      <c r="A850" s="7">
        <v>44607</v>
      </c>
      <c r="B850" s="3" t="s">
        <v>1497</v>
      </c>
      <c r="C850" s="3" t="s">
        <v>1224</v>
      </c>
      <c r="D850" s="3">
        <v>420</v>
      </c>
      <c r="E850" s="14" t="s">
        <v>1489</v>
      </c>
      <c r="F850" s="3" t="s">
        <v>9</v>
      </c>
      <c r="G850" s="3" t="s">
        <v>4</v>
      </c>
      <c r="H850" s="3" t="s">
        <v>10</v>
      </c>
      <c r="I850" s="7">
        <v>44607</v>
      </c>
    </row>
    <row r="851" spans="1:9" x14ac:dyDescent="0.3">
      <c r="A851" s="7"/>
      <c r="B851" s="3" t="s">
        <v>1495</v>
      </c>
      <c r="C851" s="3" t="s">
        <v>1225</v>
      </c>
      <c r="D851" s="3">
        <v>611</v>
      </c>
      <c r="E851" s="14" t="s">
        <v>1496</v>
      </c>
      <c r="F851" s="3" t="s">
        <v>9</v>
      </c>
      <c r="G851" s="3" t="s">
        <v>7</v>
      </c>
      <c r="H851" s="3" t="s">
        <v>5</v>
      </c>
      <c r="I851" s="7"/>
    </row>
    <row r="852" spans="1:9" x14ac:dyDescent="0.3">
      <c r="A852" s="7"/>
      <c r="B852" s="3"/>
      <c r="C852" s="3" t="s">
        <v>1226</v>
      </c>
      <c r="D852" s="3"/>
      <c r="E852" s="14"/>
      <c r="F852" s="3"/>
      <c r="G852" s="3"/>
      <c r="H852" s="3"/>
      <c r="I852" s="7"/>
    </row>
    <row r="853" spans="1:9" x14ac:dyDescent="0.3">
      <c r="A853" s="7"/>
      <c r="B853" s="3" t="s">
        <v>1516</v>
      </c>
      <c r="C853" s="3" t="s">
        <v>1227</v>
      </c>
      <c r="D853" s="3">
        <v>515</v>
      </c>
      <c r="E853" s="14" t="s">
        <v>1515</v>
      </c>
      <c r="F853" s="3" t="s">
        <v>11</v>
      </c>
      <c r="G853" s="3" t="s">
        <v>7</v>
      </c>
      <c r="H853" s="3" t="s">
        <v>5</v>
      </c>
      <c r="I853" s="7"/>
    </row>
    <row r="854" spans="1:9" x14ac:dyDescent="0.3">
      <c r="A854" s="7"/>
      <c r="B854" s="3" t="s">
        <v>1514</v>
      </c>
      <c r="C854" s="3" t="s">
        <v>1228</v>
      </c>
      <c r="D854" s="3">
        <v>515</v>
      </c>
      <c r="E854" s="14" t="s">
        <v>1519</v>
      </c>
      <c r="F854" s="3" t="s">
        <v>16</v>
      </c>
      <c r="G854" s="3" t="s">
        <v>7</v>
      </c>
      <c r="H854" s="3" t="s">
        <v>2</v>
      </c>
      <c r="I854" s="7"/>
    </row>
    <row r="855" spans="1:9" x14ac:dyDescent="0.3">
      <c r="A855" s="7"/>
      <c r="B855" s="3"/>
      <c r="C855" s="3" t="s">
        <v>1229</v>
      </c>
      <c r="D855" s="3"/>
      <c r="E855" s="14"/>
      <c r="F855" s="3"/>
      <c r="G855" s="3"/>
      <c r="H855" s="3"/>
      <c r="I855" s="7"/>
    </row>
    <row r="856" spans="1:9" x14ac:dyDescent="0.3">
      <c r="A856" s="7">
        <v>44607</v>
      </c>
      <c r="B856" s="3" t="s">
        <v>1488</v>
      </c>
      <c r="C856" s="3" t="s">
        <v>1230</v>
      </c>
      <c r="D856" s="3">
        <v>508</v>
      </c>
      <c r="E856" s="14" t="s">
        <v>1487</v>
      </c>
      <c r="F856" s="3" t="s">
        <v>11</v>
      </c>
      <c r="G856" s="3" t="s">
        <v>4</v>
      </c>
      <c r="H856" s="3" t="s">
        <v>10</v>
      </c>
      <c r="I856" s="7">
        <v>44607</v>
      </c>
    </row>
    <row r="857" spans="1:9" x14ac:dyDescent="0.3">
      <c r="A857" s="7"/>
      <c r="B857" s="3"/>
      <c r="C857" s="3" t="s">
        <v>1231</v>
      </c>
      <c r="D857" s="3"/>
      <c r="E857" s="14"/>
      <c r="F857" s="3"/>
      <c r="G857" s="3"/>
      <c r="H857" s="3"/>
      <c r="I857" s="7"/>
    </row>
    <row r="858" spans="1:9" x14ac:dyDescent="0.3">
      <c r="A858" s="7"/>
      <c r="B858" s="3"/>
      <c r="C858" s="3" t="s">
        <v>1232</v>
      </c>
      <c r="D858" s="3"/>
      <c r="E858" s="14"/>
      <c r="F858" s="3"/>
      <c r="G858" s="3"/>
      <c r="H858" s="3"/>
      <c r="I858" s="7"/>
    </row>
    <row r="859" spans="1:9" x14ac:dyDescent="0.3">
      <c r="A859" s="7"/>
      <c r="B859" s="3"/>
      <c r="C859" s="3" t="s">
        <v>1233</v>
      </c>
      <c r="D859" s="3"/>
      <c r="E859" s="14"/>
      <c r="F859" s="3"/>
      <c r="G859" s="3"/>
      <c r="H859" s="3"/>
      <c r="I859" s="7"/>
    </row>
    <row r="860" spans="1:9" x14ac:dyDescent="0.3">
      <c r="A860" s="7"/>
      <c r="B860" s="3"/>
      <c r="C860" s="3" t="s">
        <v>1234</v>
      </c>
      <c r="D860" s="3"/>
      <c r="E860" s="14"/>
      <c r="F860" s="3"/>
      <c r="G860" s="3"/>
      <c r="H860" s="3"/>
      <c r="I860" s="7"/>
    </row>
    <row r="861" spans="1:9" x14ac:dyDescent="0.3">
      <c r="A861" s="7">
        <v>44601</v>
      </c>
      <c r="B861" s="3" t="s">
        <v>1354</v>
      </c>
      <c r="C861" s="3" t="s">
        <v>1235</v>
      </c>
      <c r="D861" s="3">
        <v>609</v>
      </c>
      <c r="E861" s="14" t="s">
        <v>1355</v>
      </c>
      <c r="F861" s="3" t="s">
        <v>15</v>
      </c>
      <c r="G861" s="3" t="s">
        <v>1</v>
      </c>
      <c r="H861" s="3" t="s">
        <v>10</v>
      </c>
      <c r="I861" s="7">
        <v>44601</v>
      </c>
    </row>
    <row r="862" spans="1:9" x14ac:dyDescent="0.3">
      <c r="A862" s="7"/>
      <c r="B862" s="3"/>
      <c r="C862" s="3" t="s">
        <v>1236</v>
      </c>
      <c r="D862" s="3"/>
      <c r="E862" s="14"/>
      <c r="F862" s="3"/>
      <c r="G862" s="3"/>
      <c r="H862" s="3"/>
      <c r="I862" s="7"/>
    </row>
    <row r="863" spans="1:9" x14ac:dyDescent="0.3">
      <c r="A863" s="7"/>
      <c r="B863" s="3"/>
      <c r="C863" s="3" t="s">
        <v>1237</v>
      </c>
      <c r="D863" s="3"/>
      <c r="E863" s="14"/>
      <c r="F863" s="3"/>
      <c r="G863" s="3"/>
      <c r="H863" s="3"/>
      <c r="I863" s="7"/>
    </row>
    <row r="864" spans="1:9" x14ac:dyDescent="0.3">
      <c r="A864" s="13">
        <v>44601</v>
      </c>
      <c r="B864" s="3" t="s">
        <v>1470</v>
      </c>
      <c r="C864" s="15" t="s">
        <v>1238</v>
      </c>
      <c r="D864" s="3">
        <v>404</v>
      </c>
      <c r="E864" s="14" t="s">
        <v>1479</v>
      </c>
      <c r="F864" s="3" t="s">
        <v>14</v>
      </c>
      <c r="G864" s="3" t="s">
        <v>7</v>
      </c>
      <c r="H864" s="3" t="s">
        <v>10</v>
      </c>
      <c r="I864" s="7">
        <v>44605</v>
      </c>
    </row>
    <row r="865" spans="1:9" x14ac:dyDescent="0.3">
      <c r="A865" s="7"/>
      <c r="B865" s="3"/>
      <c r="C865" s="3" t="s">
        <v>1239</v>
      </c>
      <c r="D865" s="3"/>
      <c r="E865" s="14"/>
      <c r="F865" s="3"/>
      <c r="G865" s="3"/>
      <c r="H865" s="3"/>
      <c r="I865" s="7"/>
    </row>
    <row r="866" spans="1:9" x14ac:dyDescent="0.3">
      <c r="A866" s="7"/>
      <c r="B866" s="3"/>
      <c r="C866" s="3" t="s">
        <v>1240</v>
      </c>
      <c r="D866" s="3"/>
      <c r="E866" s="14"/>
      <c r="F866" s="3"/>
      <c r="G866" s="3"/>
      <c r="H866" s="3"/>
      <c r="I866" s="7"/>
    </row>
    <row r="867" spans="1:9" x14ac:dyDescent="0.3">
      <c r="A867" s="7"/>
      <c r="B867" s="3"/>
      <c r="C867" s="3" t="s">
        <v>1241</v>
      </c>
      <c r="D867" s="3"/>
      <c r="E867" s="14"/>
      <c r="F867" s="3"/>
      <c r="G867" s="3"/>
      <c r="H867" s="3"/>
      <c r="I867" s="7"/>
    </row>
    <row r="868" spans="1:9" x14ac:dyDescent="0.3">
      <c r="A868" s="7"/>
      <c r="B868" s="3"/>
      <c r="C868" s="3" t="s">
        <v>1242</v>
      </c>
      <c r="D868" s="3"/>
      <c r="E868" s="14"/>
      <c r="F868" s="3"/>
      <c r="G868" s="3"/>
      <c r="H868" s="3"/>
      <c r="I868" s="7"/>
    </row>
    <row r="869" spans="1:9" x14ac:dyDescent="0.3">
      <c r="A869" s="7"/>
      <c r="B869" s="3"/>
      <c r="C869" s="3" t="s">
        <v>1243</v>
      </c>
      <c r="D869" s="3"/>
      <c r="E869" s="14"/>
      <c r="F869" s="3"/>
      <c r="G869" s="3"/>
      <c r="H869" s="3"/>
      <c r="I869" s="7"/>
    </row>
    <row r="870" spans="1:9" x14ac:dyDescent="0.3">
      <c r="A870" s="7"/>
      <c r="B870" s="3"/>
      <c r="C870" s="3" t="s">
        <v>1244</v>
      </c>
      <c r="D870" s="3"/>
      <c r="E870" s="14"/>
      <c r="F870" s="3"/>
      <c r="G870" s="3"/>
      <c r="H870" s="3"/>
      <c r="I870" s="7"/>
    </row>
    <row r="871" spans="1:9" x14ac:dyDescent="0.3">
      <c r="A871" s="7"/>
      <c r="B871" s="3"/>
      <c r="C871" s="3" t="s">
        <v>1245</v>
      </c>
      <c r="D871" s="3"/>
      <c r="E871" s="14"/>
      <c r="F871" s="3"/>
      <c r="G871" s="3"/>
      <c r="H871" s="3"/>
      <c r="I871" s="7"/>
    </row>
    <row r="872" spans="1:9" x14ac:dyDescent="0.3">
      <c r="A872" s="7"/>
      <c r="B872" s="3"/>
      <c r="C872" s="3" t="s">
        <v>1246</v>
      </c>
      <c r="D872" s="3"/>
      <c r="E872" s="14"/>
      <c r="F872" s="3"/>
      <c r="G872" s="3"/>
      <c r="H872" s="3"/>
      <c r="I872" s="7"/>
    </row>
    <row r="873" spans="1:9" x14ac:dyDescent="0.3">
      <c r="A873" s="7"/>
      <c r="B873" s="3"/>
      <c r="C873" s="3" t="s">
        <v>1247</v>
      </c>
      <c r="D873" s="3"/>
      <c r="E873" s="14"/>
      <c r="F873" s="3"/>
      <c r="G873" s="3"/>
      <c r="H873" s="3"/>
      <c r="I873" s="7"/>
    </row>
    <row r="874" spans="1:9" x14ac:dyDescent="0.3">
      <c r="A874" s="7"/>
      <c r="B874" s="3"/>
      <c r="C874" s="3" t="s">
        <v>1248</v>
      </c>
      <c r="D874" s="3"/>
      <c r="E874" s="14"/>
      <c r="F874" s="3"/>
      <c r="G874" s="3"/>
      <c r="H874" s="3"/>
      <c r="I874" s="7"/>
    </row>
    <row r="875" spans="1:9" x14ac:dyDescent="0.3">
      <c r="A875" s="7"/>
      <c r="B875" s="3"/>
      <c r="C875" s="3" t="s">
        <v>1249</v>
      </c>
      <c r="D875" s="3"/>
      <c r="E875" s="14"/>
      <c r="F875" s="3"/>
      <c r="G875" s="3"/>
      <c r="H875" s="3"/>
      <c r="I875" s="7"/>
    </row>
    <row r="876" spans="1:9" x14ac:dyDescent="0.3">
      <c r="A876" s="7"/>
      <c r="B876" s="3"/>
      <c r="C876" s="3" t="s">
        <v>1250</v>
      </c>
      <c r="D876" s="3"/>
      <c r="E876" s="14"/>
      <c r="F876" s="3"/>
      <c r="G876" s="3"/>
      <c r="H876" s="3"/>
      <c r="I876" s="7"/>
    </row>
    <row r="877" spans="1:9" x14ac:dyDescent="0.3">
      <c r="A877" s="7"/>
      <c r="B877" s="3"/>
      <c r="C877" s="3" t="s">
        <v>1251</v>
      </c>
      <c r="D877" s="3"/>
      <c r="E877" s="14"/>
      <c r="F877" s="3"/>
      <c r="G877" s="3"/>
      <c r="H877" s="3"/>
      <c r="I877" s="7"/>
    </row>
    <row r="878" spans="1:9" x14ac:dyDescent="0.3">
      <c r="A878" s="7"/>
      <c r="B878" s="3"/>
      <c r="C878" s="3" t="s">
        <v>1252</v>
      </c>
      <c r="D878" s="3"/>
      <c r="E878" s="14"/>
      <c r="F878" s="3"/>
      <c r="G878" s="3"/>
      <c r="H878" s="3"/>
      <c r="I878" s="7"/>
    </row>
    <row r="879" spans="1:9" x14ac:dyDescent="0.3">
      <c r="A879" s="7"/>
      <c r="B879" s="3" t="s">
        <v>1528</v>
      </c>
      <c r="C879" s="3" t="s">
        <v>1253</v>
      </c>
      <c r="D879" s="3">
        <v>409</v>
      </c>
      <c r="E879" s="14" t="s">
        <v>1529</v>
      </c>
      <c r="F879" s="3"/>
      <c r="G879" s="3" t="s">
        <v>7</v>
      </c>
      <c r="H879" s="3" t="s">
        <v>2</v>
      </c>
      <c r="I879" s="7"/>
    </row>
    <row r="880" spans="1:9" x14ac:dyDescent="0.3">
      <c r="A880" s="7"/>
      <c r="B880" s="3"/>
      <c r="C880" s="3" t="s">
        <v>1254</v>
      </c>
      <c r="D880" s="3"/>
      <c r="E880" s="14"/>
      <c r="F880" s="3"/>
      <c r="G880" s="3"/>
      <c r="H880" s="3"/>
      <c r="I880" s="7"/>
    </row>
    <row r="881" spans="1:9" x14ac:dyDescent="0.3">
      <c r="A881" s="7"/>
      <c r="B881" s="3"/>
      <c r="C881" s="3" t="s">
        <v>1255</v>
      </c>
      <c r="D881" s="3"/>
      <c r="E881" s="14"/>
      <c r="F881" s="3"/>
      <c r="G881" s="3"/>
      <c r="H881" s="3"/>
      <c r="I881" s="7"/>
    </row>
    <row r="882" spans="1:9" x14ac:dyDescent="0.3">
      <c r="A882" s="7"/>
      <c r="B882" s="3"/>
      <c r="C882" s="3" t="s">
        <v>1256</v>
      </c>
      <c r="D882" s="3"/>
      <c r="E882" s="14"/>
      <c r="F882" s="3"/>
      <c r="G882" s="3"/>
      <c r="H882" s="3"/>
      <c r="I882" s="7"/>
    </row>
    <row r="883" spans="1:9" x14ac:dyDescent="0.3">
      <c r="A883" s="7"/>
      <c r="B883" s="3"/>
      <c r="C883" s="3" t="s">
        <v>1257</v>
      </c>
      <c r="D883" s="3"/>
      <c r="E883" s="14"/>
      <c r="F883" s="3"/>
      <c r="G883" s="3"/>
      <c r="H883" s="3"/>
      <c r="I883" s="7"/>
    </row>
    <row r="884" spans="1:9" x14ac:dyDescent="0.3">
      <c r="A884" s="7"/>
      <c r="B884" s="3"/>
      <c r="C884" s="3" t="s">
        <v>1258</v>
      </c>
      <c r="D884" s="3"/>
      <c r="E884" s="14"/>
      <c r="F884" s="3"/>
      <c r="G884" s="3"/>
      <c r="H884" s="3"/>
      <c r="I884" s="7"/>
    </row>
    <row r="885" spans="1:9" x14ac:dyDescent="0.3">
      <c r="A885" s="13">
        <v>44607</v>
      </c>
      <c r="B885" s="3" t="s">
        <v>1512</v>
      </c>
      <c r="C885" s="15" t="s">
        <v>1259</v>
      </c>
      <c r="D885" s="3">
        <v>501</v>
      </c>
      <c r="E885" s="14" t="s">
        <v>1513</v>
      </c>
      <c r="F885" s="3" t="s">
        <v>11</v>
      </c>
      <c r="G885" s="3" t="s">
        <v>7</v>
      </c>
      <c r="H885" s="3" t="s">
        <v>10</v>
      </c>
      <c r="I885" s="7">
        <v>44609</v>
      </c>
    </row>
    <row r="886" spans="1:9" x14ac:dyDescent="0.3">
      <c r="A886" s="7"/>
      <c r="B886" s="3" t="s">
        <v>1481</v>
      </c>
      <c r="C886" s="3" t="s">
        <v>1260</v>
      </c>
      <c r="D886" s="3">
        <v>626</v>
      </c>
      <c r="E886" s="14" t="s">
        <v>1483</v>
      </c>
      <c r="F886" s="3" t="s">
        <v>9</v>
      </c>
      <c r="G886" s="3" t="s">
        <v>7</v>
      </c>
      <c r="H886" s="3" t="s">
        <v>2</v>
      </c>
      <c r="I886" s="7"/>
    </row>
    <row r="887" spans="1:9" x14ac:dyDescent="0.3">
      <c r="A887" s="7"/>
      <c r="B887" s="3" t="s">
        <v>1482</v>
      </c>
      <c r="C887" s="3" t="s">
        <v>1261</v>
      </c>
      <c r="D887" s="3">
        <v>514</v>
      </c>
      <c r="E887" s="14" t="s">
        <v>1483</v>
      </c>
      <c r="F887" s="3" t="s">
        <v>9</v>
      </c>
      <c r="G887" s="3" t="s">
        <v>7</v>
      </c>
      <c r="H887" s="3" t="s">
        <v>2</v>
      </c>
      <c r="I887" s="7"/>
    </row>
    <row r="888" spans="1:9" x14ac:dyDescent="0.3">
      <c r="A888" s="7"/>
      <c r="B888" s="3"/>
      <c r="C888" s="3" t="s">
        <v>1262</v>
      </c>
      <c r="D888" s="3"/>
      <c r="E888" s="14"/>
      <c r="F888" s="3"/>
      <c r="G888" s="3"/>
      <c r="H888" s="3"/>
      <c r="I888" s="7"/>
    </row>
    <row r="889" spans="1:9" ht="28.8" x14ac:dyDescent="0.3">
      <c r="A889" s="7"/>
      <c r="B889" s="3" t="s">
        <v>1531</v>
      </c>
      <c r="C889" s="3" t="s">
        <v>1263</v>
      </c>
      <c r="D889" s="3">
        <v>411</v>
      </c>
      <c r="E889" s="14" t="s">
        <v>1530</v>
      </c>
      <c r="F889" s="3"/>
      <c r="G889" s="3" t="s">
        <v>7</v>
      </c>
      <c r="H889" s="3" t="s">
        <v>2</v>
      </c>
      <c r="I889" s="7"/>
    </row>
    <row r="890" spans="1:9" x14ac:dyDescent="0.3">
      <c r="A890" s="7"/>
      <c r="B890" s="3"/>
      <c r="C890" s="3" t="s">
        <v>1264</v>
      </c>
      <c r="D890" s="3"/>
      <c r="E890" s="14"/>
      <c r="F890" s="3"/>
      <c r="G890" s="3"/>
      <c r="H890" s="3"/>
      <c r="I890" s="7"/>
    </row>
    <row r="891" spans="1:9" x14ac:dyDescent="0.3">
      <c r="A891" s="7"/>
      <c r="B891" s="3"/>
      <c r="C891" s="3" t="s">
        <v>1265</v>
      </c>
      <c r="D891" s="3"/>
      <c r="E891" s="14"/>
      <c r="F891" s="3"/>
      <c r="G891" s="3"/>
      <c r="H891" s="3"/>
      <c r="I891" s="7"/>
    </row>
    <row r="892" spans="1:9" x14ac:dyDescent="0.3">
      <c r="A892" s="7"/>
      <c r="B892" s="3"/>
      <c r="C892" s="3" t="s">
        <v>1266</v>
      </c>
      <c r="D892" s="3"/>
      <c r="E892" s="14"/>
      <c r="F892" s="3"/>
      <c r="G892" s="3"/>
      <c r="H892" s="3"/>
      <c r="I892" s="7"/>
    </row>
    <row r="893" spans="1:9" x14ac:dyDescent="0.3">
      <c r="A893" s="7"/>
      <c r="B893" s="3"/>
      <c r="C893" s="3" t="s">
        <v>1267</v>
      </c>
      <c r="D893" s="3"/>
      <c r="E893" s="14"/>
      <c r="F893" s="3"/>
      <c r="G893" s="3"/>
      <c r="H893" s="3"/>
      <c r="I893" s="7"/>
    </row>
    <row r="894" spans="1:9" x14ac:dyDescent="0.3">
      <c r="A894" s="7"/>
      <c r="B894" s="3"/>
      <c r="C894" s="3" t="s">
        <v>1268</v>
      </c>
      <c r="D894" s="3"/>
      <c r="E894" s="14"/>
      <c r="F894" s="3"/>
      <c r="G894" s="3"/>
      <c r="H894" s="3"/>
      <c r="I894" s="7"/>
    </row>
    <row r="895" spans="1:9" x14ac:dyDescent="0.3">
      <c r="A895" s="7"/>
      <c r="B895" s="3"/>
      <c r="C895" s="3" t="s">
        <v>1269</v>
      </c>
      <c r="D895" s="3"/>
      <c r="E895" s="14"/>
      <c r="F895" s="3"/>
      <c r="G895" s="3"/>
      <c r="H895" s="3"/>
      <c r="I895" s="7"/>
    </row>
    <row r="896" spans="1:9" x14ac:dyDescent="0.3">
      <c r="A896" s="7"/>
      <c r="B896" s="3"/>
      <c r="C896" s="3" t="s">
        <v>1270</v>
      </c>
      <c r="D896" s="3"/>
      <c r="E896" s="14"/>
      <c r="F896" s="3"/>
      <c r="G896" s="3"/>
      <c r="H896" s="3"/>
      <c r="I896" s="7"/>
    </row>
    <row r="897" spans="1:9" x14ac:dyDescent="0.3">
      <c r="A897" s="7"/>
      <c r="B897" s="3"/>
      <c r="C897" s="3" t="s">
        <v>1271</v>
      </c>
      <c r="D897" s="3"/>
      <c r="E897" s="14"/>
      <c r="F897" s="3"/>
      <c r="G897" s="3"/>
      <c r="H897" s="3"/>
      <c r="I897" s="7"/>
    </row>
    <row r="898" spans="1:9" x14ac:dyDescent="0.3">
      <c r="A898" s="7"/>
      <c r="B898" s="3" t="s">
        <v>1521</v>
      </c>
      <c r="C898" s="3" t="s">
        <v>1272</v>
      </c>
      <c r="D898" s="3">
        <v>605</v>
      </c>
      <c r="E898" s="14" t="s">
        <v>1522</v>
      </c>
      <c r="F898" s="3" t="s">
        <v>6</v>
      </c>
      <c r="G898" s="3" t="s">
        <v>1</v>
      </c>
      <c r="H898" s="3" t="s">
        <v>8</v>
      </c>
      <c r="I898" s="7"/>
    </row>
    <row r="899" spans="1:9" x14ac:dyDescent="0.3">
      <c r="A899" s="7"/>
      <c r="B899" s="3"/>
      <c r="C899" s="3" t="s">
        <v>1273</v>
      </c>
      <c r="D899" s="3"/>
      <c r="E899" s="14"/>
      <c r="F899" s="3"/>
      <c r="G899" s="3"/>
      <c r="H899" s="3"/>
      <c r="I899" s="7"/>
    </row>
    <row r="900" spans="1:9" x14ac:dyDescent="0.3">
      <c r="A900" s="7"/>
      <c r="B900" s="3"/>
      <c r="C900" s="3" t="s">
        <v>1274</v>
      </c>
      <c r="D900" s="3"/>
      <c r="E900" s="14"/>
      <c r="F900" s="3"/>
      <c r="G900" s="3"/>
      <c r="H900" s="3"/>
      <c r="I900" s="7"/>
    </row>
    <row r="901" spans="1:9" x14ac:dyDescent="0.3">
      <c r="A901" s="7"/>
      <c r="B901" s="3"/>
      <c r="C901" s="3" t="s">
        <v>1275</v>
      </c>
      <c r="D901" s="3"/>
      <c r="E901" s="14"/>
      <c r="F901" s="3"/>
      <c r="G901" s="3"/>
      <c r="H901" s="3"/>
      <c r="I901" s="7"/>
    </row>
    <row r="902" spans="1:9" x14ac:dyDescent="0.3">
      <c r="A902" s="7">
        <v>44612</v>
      </c>
      <c r="B902" s="3" t="s">
        <v>1507</v>
      </c>
      <c r="C902" s="3" t="s">
        <v>1276</v>
      </c>
      <c r="D902" s="3">
        <v>501</v>
      </c>
      <c r="E902" s="14" t="s">
        <v>1506</v>
      </c>
      <c r="F902" s="3" t="s">
        <v>11</v>
      </c>
      <c r="G902" s="3" t="s">
        <v>1</v>
      </c>
      <c r="H902" s="3" t="s">
        <v>10</v>
      </c>
      <c r="I902" s="7">
        <v>44614</v>
      </c>
    </row>
    <row r="903" spans="1:9" x14ac:dyDescent="0.3">
      <c r="A903" s="7">
        <v>44608</v>
      </c>
      <c r="B903" s="3" t="s">
        <v>1491</v>
      </c>
      <c r="C903" s="3" t="s">
        <v>1277</v>
      </c>
      <c r="D903" s="3">
        <v>409</v>
      </c>
      <c r="E903" s="14" t="s">
        <v>1493</v>
      </c>
      <c r="F903" s="3" t="s">
        <v>16</v>
      </c>
      <c r="G903" s="3" t="s">
        <v>7</v>
      </c>
      <c r="H903" s="3" t="s">
        <v>10</v>
      </c>
      <c r="I903" s="7">
        <v>44609</v>
      </c>
    </row>
    <row r="904" spans="1:9" x14ac:dyDescent="0.3">
      <c r="A904" s="7"/>
      <c r="B904" s="3" t="s">
        <v>1492</v>
      </c>
      <c r="C904" s="3" t="s">
        <v>1278</v>
      </c>
      <c r="D904" s="3">
        <v>612</v>
      </c>
      <c r="E904" s="14" t="s">
        <v>1494</v>
      </c>
      <c r="F904" s="3" t="s">
        <v>18</v>
      </c>
      <c r="G904" s="3" t="s">
        <v>7</v>
      </c>
      <c r="H904" s="3" t="s">
        <v>2</v>
      </c>
      <c r="I904" s="7"/>
    </row>
    <row r="905" spans="1:9" x14ac:dyDescent="0.3">
      <c r="A905" s="7"/>
      <c r="B905" s="3"/>
      <c r="C905" s="3" t="s">
        <v>1279</v>
      </c>
      <c r="D905" s="3"/>
      <c r="E905" s="14"/>
      <c r="F905" s="3"/>
      <c r="G905" s="3"/>
      <c r="H905" s="3"/>
      <c r="I905" s="7"/>
    </row>
    <row r="906" spans="1:9" x14ac:dyDescent="0.3">
      <c r="A906" s="7"/>
      <c r="B906" s="3"/>
      <c r="C906" s="3" t="s">
        <v>1280</v>
      </c>
      <c r="D906" s="3"/>
      <c r="E906" s="14"/>
      <c r="F906" s="3"/>
      <c r="G906" s="3"/>
      <c r="H906" s="3"/>
      <c r="I906" s="7"/>
    </row>
    <row r="907" spans="1:9" x14ac:dyDescent="0.3">
      <c r="A907" s="7"/>
      <c r="B907" s="3"/>
      <c r="C907" s="3" t="s">
        <v>1281</v>
      </c>
      <c r="D907" s="3"/>
      <c r="E907" s="14"/>
      <c r="F907" s="3"/>
      <c r="G907" s="3"/>
      <c r="H907" s="3"/>
      <c r="I907" s="7"/>
    </row>
    <row r="908" spans="1:9" x14ac:dyDescent="0.3">
      <c r="A908" s="7"/>
      <c r="B908" s="3"/>
      <c r="C908" s="3" t="s">
        <v>1282</v>
      </c>
      <c r="D908" s="3"/>
      <c r="E908" s="14"/>
      <c r="F908" s="3"/>
      <c r="G908" s="3"/>
      <c r="H908" s="3"/>
      <c r="I908" s="7"/>
    </row>
    <row r="909" spans="1:9" x14ac:dyDescent="0.3">
      <c r="A909" s="7"/>
      <c r="B909" s="3"/>
      <c r="C909" s="3" t="s">
        <v>1283</v>
      </c>
      <c r="D909" s="3"/>
      <c r="E909" s="14"/>
      <c r="F909" s="3"/>
      <c r="G909" s="3"/>
      <c r="H909" s="3"/>
      <c r="I909" s="7"/>
    </row>
    <row r="910" spans="1:9" x14ac:dyDescent="0.3">
      <c r="A910" s="7"/>
      <c r="B910" s="3"/>
      <c r="C910" s="3" t="s">
        <v>1284</v>
      </c>
      <c r="D910" s="3"/>
      <c r="E910" s="14"/>
      <c r="F910" s="3"/>
      <c r="G910" s="3"/>
      <c r="H910" s="3"/>
      <c r="I910" s="7"/>
    </row>
    <row r="911" spans="1:9" x14ac:dyDescent="0.3">
      <c r="A911" s="7"/>
      <c r="B911" s="3"/>
      <c r="C911" s="3" t="s">
        <v>1285</v>
      </c>
      <c r="D911" s="3"/>
      <c r="E911" s="14"/>
      <c r="F911" s="3"/>
      <c r="G911" s="3"/>
      <c r="H911" s="3"/>
      <c r="I911" s="7"/>
    </row>
    <row r="912" spans="1:9" x14ac:dyDescent="0.3">
      <c r="A912" s="7"/>
      <c r="B912" s="3"/>
      <c r="C912" s="3" t="s">
        <v>1286</v>
      </c>
      <c r="D912" s="3"/>
      <c r="E912" s="14"/>
      <c r="F912" s="3"/>
      <c r="G912" s="3"/>
      <c r="H912" s="3"/>
      <c r="I912" s="7"/>
    </row>
    <row r="913" spans="1:9" x14ac:dyDescent="0.3">
      <c r="A913" s="7"/>
      <c r="B913" s="3"/>
      <c r="C913" s="3" t="s">
        <v>1287</v>
      </c>
      <c r="D913" s="3"/>
      <c r="E913" s="14"/>
      <c r="F913" s="3"/>
      <c r="G913" s="3"/>
      <c r="H913" s="3"/>
      <c r="I913" s="7"/>
    </row>
    <row r="914" spans="1:9" x14ac:dyDescent="0.3">
      <c r="A914" s="7"/>
      <c r="B914" s="3"/>
      <c r="C914" s="3" t="s">
        <v>1288</v>
      </c>
      <c r="D914" s="3"/>
      <c r="E914" s="14"/>
      <c r="F914" s="3"/>
      <c r="G914" s="3"/>
      <c r="H914" s="3"/>
      <c r="I914" s="7"/>
    </row>
    <row r="915" spans="1:9" x14ac:dyDescent="0.3">
      <c r="A915" s="7"/>
      <c r="B915" s="3"/>
      <c r="C915" s="3" t="s">
        <v>1289</v>
      </c>
      <c r="D915" s="3"/>
      <c r="E915" s="14"/>
      <c r="F915" s="3"/>
      <c r="G915" s="3"/>
      <c r="H915" s="3"/>
      <c r="I915" s="7"/>
    </row>
    <row r="916" spans="1:9" x14ac:dyDescent="0.3">
      <c r="A916" s="7"/>
      <c r="B916" s="3"/>
      <c r="C916" s="3" t="s">
        <v>1290</v>
      </c>
      <c r="D916" s="3"/>
      <c r="E916" s="14"/>
      <c r="F916" s="3"/>
      <c r="G916" s="3"/>
      <c r="H916" s="3"/>
      <c r="I916" s="7"/>
    </row>
    <row r="917" spans="1:9" x14ac:dyDescent="0.3">
      <c r="A917" s="7"/>
      <c r="B917" s="3"/>
      <c r="C917" s="3" t="s">
        <v>1291</v>
      </c>
      <c r="D917" s="3"/>
      <c r="E917" s="14"/>
      <c r="F917" s="3"/>
      <c r="G917" s="3"/>
      <c r="H917" s="3"/>
      <c r="I917" s="7"/>
    </row>
    <row r="918" spans="1:9" x14ac:dyDescent="0.3">
      <c r="A918" s="7"/>
      <c r="B918" s="3" t="s">
        <v>1520</v>
      </c>
      <c r="C918" s="3" t="s">
        <v>1292</v>
      </c>
      <c r="D918" s="3">
        <v>420</v>
      </c>
      <c r="E918" s="14" t="s">
        <v>1523</v>
      </c>
      <c r="F918" s="3" t="s">
        <v>6</v>
      </c>
      <c r="G918" s="3" t="s">
        <v>1</v>
      </c>
      <c r="H918" s="3" t="s">
        <v>5</v>
      </c>
      <c r="I918" s="7"/>
    </row>
    <row r="919" spans="1:9" x14ac:dyDescent="0.3">
      <c r="A919" s="7"/>
      <c r="B919" s="3"/>
      <c r="C919" s="3" t="s">
        <v>1293</v>
      </c>
      <c r="D919" s="3"/>
      <c r="E919" s="14"/>
      <c r="F919" s="3"/>
      <c r="G919" s="3"/>
      <c r="H919" s="3"/>
      <c r="I919" s="7"/>
    </row>
    <row r="920" spans="1:9" x14ac:dyDescent="0.3">
      <c r="A920" s="7"/>
      <c r="B920" s="3"/>
      <c r="C920" s="3" t="s">
        <v>1294</v>
      </c>
      <c r="D920" s="3"/>
      <c r="E920" s="14"/>
      <c r="F920" s="3"/>
      <c r="G920" s="3"/>
      <c r="H920" s="3"/>
      <c r="I920" s="7"/>
    </row>
    <row r="921" spans="1:9" x14ac:dyDescent="0.3">
      <c r="A921" s="7"/>
      <c r="B921" s="3"/>
      <c r="C921" s="3" t="s">
        <v>1295</v>
      </c>
      <c r="D921" s="3"/>
      <c r="E921" s="14"/>
      <c r="F921" s="3"/>
      <c r="G921" s="3"/>
      <c r="H921" s="3"/>
      <c r="I921" s="7"/>
    </row>
    <row r="922" spans="1:9" x14ac:dyDescent="0.3">
      <c r="A922" s="7"/>
      <c r="B922" s="3"/>
      <c r="C922" s="3" t="s">
        <v>1296</v>
      </c>
      <c r="D922" s="3"/>
      <c r="E922" s="14"/>
      <c r="F922" s="3"/>
      <c r="G922" s="3"/>
      <c r="H922" s="3"/>
      <c r="I922" s="7"/>
    </row>
    <row r="923" spans="1:9" x14ac:dyDescent="0.3">
      <c r="A923" s="7"/>
      <c r="B923" s="3"/>
      <c r="C923" s="3" t="s">
        <v>1297</v>
      </c>
      <c r="D923" s="3"/>
      <c r="E923" s="14"/>
      <c r="F923" s="3"/>
      <c r="G923" s="3"/>
      <c r="H923" s="3"/>
      <c r="I923" s="7"/>
    </row>
    <row r="924" spans="1:9" x14ac:dyDescent="0.3">
      <c r="A924" s="7"/>
      <c r="B924" s="3"/>
      <c r="C924" s="3" t="s">
        <v>1298</v>
      </c>
      <c r="D924" s="3"/>
      <c r="E924" s="14"/>
      <c r="F924" s="3"/>
      <c r="G924" s="3"/>
      <c r="H924" s="3"/>
      <c r="I924" s="7"/>
    </row>
    <row r="925" spans="1:9" x14ac:dyDescent="0.3">
      <c r="A925" s="7"/>
      <c r="B925" s="3"/>
      <c r="C925" s="3" t="s">
        <v>1299</v>
      </c>
      <c r="D925" s="3"/>
      <c r="E925" s="14"/>
      <c r="F925" s="3"/>
      <c r="G925" s="3"/>
      <c r="H925" s="3"/>
      <c r="I925" s="7"/>
    </row>
    <row r="926" spans="1:9" x14ac:dyDescent="0.3">
      <c r="A926" s="7">
        <v>44612</v>
      </c>
      <c r="B926" s="3" t="s">
        <v>1505</v>
      </c>
      <c r="C926" s="3" t="s">
        <v>1300</v>
      </c>
      <c r="D926" s="3">
        <v>501</v>
      </c>
      <c r="E926" s="14" t="s">
        <v>1504</v>
      </c>
      <c r="F926" s="3" t="s">
        <v>19</v>
      </c>
      <c r="G926" s="3" t="s">
        <v>7</v>
      </c>
      <c r="H926" s="3" t="s">
        <v>10</v>
      </c>
      <c r="I926" s="7">
        <v>44612</v>
      </c>
    </row>
    <row r="927" spans="1:9" x14ac:dyDescent="0.3">
      <c r="A927" s="7"/>
      <c r="B927" s="3"/>
      <c r="C927" s="3" t="s">
        <v>1301</v>
      </c>
      <c r="D927" s="3"/>
      <c r="E927" s="14"/>
      <c r="F927" s="3"/>
      <c r="G927" s="3"/>
      <c r="H927" s="3"/>
      <c r="I927" s="7"/>
    </row>
    <row r="928" spans="1:9" x14ac:dyDescent="0.3">
      <c r="A928" s="7"/>
      <c r="B928" s="3"/>
      <c r="C928" s="3" t="s">
        <v>1302</v>
      </c>
      <c r="D928" s="3"/>
      <c r="E928" s="14"/>
      <c r="F928" s="3"/>
      <c r="G928" s="3"/>
      <c r="H928" s="3"/>
      <c r="I928" s="7"/>
    </row>
    <row r="929" spans="1:9" x14ac:dyDescent="0.3">
      <c r="A929" s="7"/>
      <c r="B929" s="3"/>
      <c r="C929" s="3" t="s">
        <v>1303</v>
      </c>
      <c r="D929" s="3"/>
      <c r="E929" s="14"/>
      <c r="F929" s="3"/>
      <c r="G929" s="3"/>
      <c r="H929" s="3"/>
      <c r="I929" s="7"/>
    </row>
    <row r="930" spans="1:9" x14ac:dyDescent="0.3">
      <c r="A930" s="13"/>
      <c r="B930" s="12"/>
      <c r="C930" s="12" t="s">
        <v>1368</v>
      </c>
      <c r="D930" s="12"/>
      <c r="E930" s="14"/>
      <c r="F930" s="12"/>
      <c r="G930" s="12"/>
      <c r="H930" s="12"/>
      <c r="I930" s="13"/>
    </row>
    <row r="931" spans="1:9" x14ac:dyDescent="0.3">
      <c r="A931" s="13"/>
      <c r="B931" s="12"/>
      <c r="C931" s="12" t="s">
        <v>1369</v>
      </c>
      <c r="D931" s="12"/>
      <c r="E931" s="14"/>
      <c r="F931" s="12"/>
      <c r="G931" s="12"/>
      <c r="H931" s="12"/>
      <c r="I931" s="13"/>
    </row>
    <row r="932" spans="1:9" x14ac:dyDescent="0.3">
      <c r="A932" s="13"/>
      <c r="B932" s="12"/>
      <c r="C932" s="12" t="s">
        <v>1370</v>
      </c>
      <c r="D932" s="12"/>
      <c r="E932" s="14"/>
      <c r="F932" s="12"/>
      <c r="G932" s="12"/>
      <c r="H932" s="12"/>
      <c r="I932" s="13"/>
    </row>
    <row r="933" spans="1:9" x14ac:dyDescent="0.3">
      <c r="A933" s="13"/>
      <c r="B933" s="12"/>
      <c r="C933" s="12" t="s">
        <v>1371</v>
      </c>
      <c r="D933" s="12"/>
      <c r="E933" s="14"/>
      <c r="F933" s="12"/>
      <c r="G933" s="12"/>
      <c r="H933" s="12"/>
      <c r="I933" s="13"/>
    </row>
    <row r="934" spans="1:9" x14ac:dyDescent="0.3">
      <c r="A934" s="13"/>
      <c r="B934" s="12"/>
      <c r="C934" s="12" t="s">
        <v>1372</v>
      </c>
      <c r="D934" s="12"/>
      <c r="E934" s="14"/>
      <c r="F934" s="12"/>
      <c r="G934" s="12"/>
      <c r="H934" s="12"/>
      <c r="I934" s="13"/>
    </row>
    <row r="935" spans="1:9" x14ac:dyDescent="0.3">
      <c r="A935" s="13"/>
      <c r="B935" s="12"/>
      <c r="C935" s="12" t="s">
        <v>1373</v>
      </c>
      <c r="D935" s="12"/>
      <c r="E935" s="14"/>
      <c r="F935" s="12"/>
      <c r="G935" s="12"/>
      <c r="H935" s="12"/>
      <c r="I935" s="13"/>
    </row>
    <row r="936" spans="1:9" x14ac:dyDescent="0.3">
      <c r="A936" s="13"/>
      <c r="B936" s="12"/>
      <c r="C936" s="12" t="s">
        <v>1374</v>
      </c>
      <c r="D936" s="12"/>
      <c r="E936" s="14"/>
      <c r="F936" s="12"/>
      <c r="G936" s="12"/>
      <c r="H936" s="12"/>
      <c r="I936" s="13"/>
    </row>
    <row r="937" spans="1:9" x14ac:dyDescent="0.3">
      <c r="A937" s="13"/>
      <c r="B937" s="12"/>
      <c r="C937" s="12" t="s">
        <v>1375</v>
      </c>
      <c r="D937" s="12"/>
      <c r="E937" s="14"/>
      <c r="F937" s="12"/>
      <c r="G937" s="12"/>
      <c r="H937" s="12"/>
      <c r="I937" s="13"/>
    </row>
    <row r="938" spans="1:9" x14ac:dyDescent="0.3">
      <c r="A938" s="13"/>
      <c r="B938" s="12"/>
      <c r="C938" s="12" t="s">
        <v>1376</v>
      </c>
      <c r="D938" s="12"/>
      <c r="E938" s="14"/>
      <c r="F938" s="12"/>
      <c r="G938" s="12"/>
      <c r="H938" s="12"/>
      <c r="I938" s="13"/>
    </row>
    <row r="939" spans="1:9" x14ac:dyDescent="0.3">
      <c r="A939" s="13"/>
      <c r="B939" s="12"/>
      <c r="C939" s="12" t="s">
        <v>1377</v>
      </c>
      <c r="D939" s="12"/>
      <c r="E939" s="14"/>
      <c r="F939" s="12"/>
      <c r="G939" s="12"/>
      <c r="H939" s="12"/>
      <c r="I939" s="13"/>
    </row>
    <row r="940" spans="1:9" x14ac:dyDescent="0.3">
      <c r="A940" s="13"/>
      <c r="B940" s="12"/>
      <c r="C940" s="12" t="s">
        <v>1378</v>
      </c>
      <c r="D940" s="12"/>
      <c r="E940" s="14"/>
      <c r="F940" s="12"/>
      <c r="G940" s="12"/>
      <c r="H940" s="12"/>
      <c r="I940" s="13"/>
    </row>
    <row r="941" spans="1:9" x14ac:dyDescent="0.3">
      <c r="A941" s="13"/>
      <c r="B941" s="12"/>
      <c r="C941" s="12" t="s">
        <v>1379</v>
      </c>
      <c r="D941" s="12"/>
      <c r="E941" s="14"/>
      <c r="F941" s="12"/>
      <c r="G941" s="12"/>
      <c r="H941" s="12"/>
      <c r="I941" s="13"/>
    </row>
    <row r="942" spans="1:9" x14ac:dyDescent="0.3">
      <c r="A942" s="13"/>
      <c r="B942" s="12"/>
      <c r="C942" s="12" t="s">
        <v>1380</v>
      </c>
      <c r="D942" s="12"/>
      <c r="E942" s="14"/>
      <c r="F942" s="12"/>
      <c r="G942" s="12"/>
      <c r="H942" s="12"/>
      <c r="I942" s="13"/>
    </row>
    <row r="943" spans="1:9" x14ac:dyDescent="0.3">
      <c r="A943" s="13"/>
      <c r="B943" s="12"/>
      <c r="C943" s="12" t="s">
        <v>1381</v>
      </c>
      <c r="D943" s="12"/>
      <c r="E943" s="14"/>
      <c r="F943" s="12"/>
      <c r="G943" s="12"/>
      <c r="H943" s="12"/>
      <c r="I943" s="13"/>
    </row>
    <row r="944" spans="1:9" x14ac:dyDescent="0.3">
      <c r="A944" s="13"/>
      <c r="B944" s="12"/>
      <c r="C944" s="12" t="s">
        <v>1382</v>
      </c>
      <c r="D944" s="12"/>
      <c r="E944" s="14"/>
      <c r="F944" s="12"/>
      <c r="G944" s="12"/>
      <c r="H944" s="12"/>
      <c r="I944" s="13"/>
    </row>
    <row r="945" spans="1:9" x14ac:dyDescent="0.3">
      <c r="A945" s="13"/>
      <c r="B945" s="12"/>
      <c r="C945" s="12" t="s">
        <v>1383</v>
      </c>
      <c r="D945" s="12"/>
      <c r="E945" s="14"/>
      <c r="F945" s="12"/>
      <c r="G945" s="12"/>
      <c r="H945" s="12"/>
      <c r="I945" s="13"/>
    </row>
    <row r="946" spans="1:9" x14ac:dyDescent="0.3">
      <c r="A946" s="13"/>
      <c r="B946" s="12"/>
      <c r="C946" s="12" t="s">
        <v>1384</v>
      </c>
      <c r="D946" s="12"/>
      <c r="E946" s="14"/>
      <c r="F946" s="12"/>
      <c r="G946" s="12"/>
      <c r="H946" s="12"/>
      <c r="I946" s="13"/>
    </row>
    <row r="947" spans="1:9" x14ac:dyDescent="0.3">
      <c r="A947" s="13"/>
      <c r="B947" s="12"/>
      <c r="C947" s="12" t="s">
        <v>1385</v>
      </c>
      <c r="D947" s="12"/>
      <c r="E947" s="14"/>
      <c r="F947" s="12"/>
      <c r="G947" s="12"/>
      <c r="H947" s="12"/>
      <c r="I947" s="13"/>
    </row>
    <row r="948" spans="1:9" x14ac:dyDescent="0.3">
      <c r="A948" s="13"/>
      <c r="B948" s="12"/>
      <c r="C948" s="12" t="s">
        <v>1386</v>
      </c>
      <c r="D948" s="12"/>
      <c r="E948" s="14"/>
      <c r="F948" s="12"/>
      <c r="G948" s="12"/>
      <c r="H948" s="12"/>
      <c r="I948" s="13"/>
    </row>
    <row r="949" spans="1:9" x14ac:dyDescent="0.3">
      <c r="A949" s="13"/>
      <c r="B949" s="12"/>
      <c r="C949" s="12" t="s">
        <v>1387</v>
      </c>
      <c r="D949" s="12"/>
      <c r="E949" s="14"/>
      <c r="F949" s="12"/>
      <c r="G949" s="12"/>
      <c r="H949" s="12"/>
      <c r="I949" s="13"/>
    </row>
    <row r="950" spans="1:9" x14ac:dyDescent="0.3">
      <c r="A950" s="13"/>
      <c r="B950" s="12"/>
      <c r="C950" s="12" t="s">
        <v>1388</v>
      </c>
      <c r="D950" s="12"/>
      <c r="E950" s="14"/>
      <c r="F950" s="12"/>
      <c r="G950" s="12"/>
      <c r="H950" s="12"/>
      <c r="I950" s="13"/>
    </row>
    <row r="951" spans="1:9" x14ac:dyDescent="0.3">
      <c r="A951" s="13"/>
      <c r="B951" s="12"/>
      <c r="C951" s="12" t="s">
        <v>1389</v>
      </c>
      <c r="D951" s="12"/>
      <c r="E951" s="14"/>
      <c r="F951" s="12"/>
      <c r="G951" s="12"/>
      <c r="H951" s="12"/>
      <c r="I951" s="13"/>
    </row>
    <row r="952" spans="1:9" x14ac:dyDescent="0.3">
      <c r="A952" s="13"/>
      <c r="B952" s="12"/>
      <c r="C952" s="12" t="s">
        <v>1390</v>
      </c>
      <c r="D952" s="12"/>
      <c r="E952" s="14"/>
      <c r="F952" s="12"/>
      <c r="G952" s="12"/>
      <c r="H952" s="12"/>
      <c r="I952" s="13"/>
    </row>
    <row r="953" spans="1:9" x14ac:dyDescent="0.3">
      <c r="A953" s="13"/>
      <c r="B953" s="12"/>
      <c r="C953" s="12" t="s">
        <v>1391</v>
      </c>
      <c r="D953" s="12"/>
      <c r="E953" s="14"/>
      <c r="F953" s="12"/>
      <c r="G953" s="12"/>
      <c r="H953" s="12"/>
      <c r="I953" s="13"/>
    </row>
    <row r="954" spans="1:9" x14ac:dyDescent="0.3">
      <c r="A954" s="13"/>
      <c r="B954" s="12"/>
      <c r="C954" s="12" t="s">
        <v>1392</v>
      </c>
      <c r="D954" s="12"/>
      <c r="E954" s="14"/>
      <c r="F954" s="12"/>
      <c r="G954" s="12"/>
      <c r="H954" s="12"/>
      <c r="I954" s="13"/>
    </row>
    <row r="955" spans="1:9" x14ac:dyDescent="0.3">
      <c r="A955" s="13"/>
      <c r="B955" s="12"/>
      <c r="C955" s="12" t="s">
        <v>1393</v>
      </c>
      <c r="D955" s="12"/>
      <c r="E955" s="14"/>
      <c r="F955" s="12"/>
      <c r="G955" s="12"/>
      <c r="H955" s="12"/>
      <c r="I955" s="13"/>
    </row>
    <row r="956" spans="1:9" x14ac:dyDescent="0.3">
      <c r="A956" s="13"/>
      <c r="B956" s="12"/>
      <c r="C956" s="12" t="s">
        <v>1394</v>
      </c>
      <c r="D956" s="12"/>
      <c r="E956" s="14"/>
      <c r="F956" s="12"/>
      <c r="G956" s="12"/>
      <c r="H956" s="12"/>
      <c r="I956" s="13"/>
    </row>
    <row r="957" spans="1:9" x14ac:dyDescent="0.3">
      <c r="A957" s="13"/>
      <c r="B957" s="12"/>
      <c r="C957" s="12" t="s">
        <v>1395</v>
      </c>
      <c r="D957" s="12"/>
      <c r="E957" s="14"/>
      <c r="F957" s="12"/>
      <c r="G957" s="12"/>
      <c r="H957" s="12"/>
      <c r="I957" s="13"/>
    </row>
    <row r="958" spans="1:9" x14ac:dyDescent="0.3">
      <c r="A958" s="13"/>
      <c r="B958" s="12"/>
      <c r="C958" s="12" t="s">
        <v>1396</v>
      </c>
      <c r="D958" s="12"/>
      <c r="E958" s="14"/>
      <c r="F958" s="12"/>
      <c r="G958" s="12"/>
      <c r="H958" s="12"/>
      <c r="I958" s="13"/>
    </row>
    <row r="959" spans="1:9" x14ac:dyDescent="0.3">
      <c r="A959" s="13"/>
      <c r="B959" s="12"/>
      <c r="C959" s="12" t="s">
        <v>1397</v>
      </c>
      <c r="D959" s="12"/>
      <c r="E959" s="14"/>
      <c r="F959" s="12"/>
      <c r="G959" s="12"/>
      <c r="H959" s="12"/>
      <c r="I959" s="13"/>
    </row>
    <row r="960" spans="1:9" x14ac:dyDescent="0.3">
      <c r="A960" s="13"/>
      <c r="B960" s="12"/>
      <c r="C960" s="12" t="s">
        <v>1398</v>
      </c>
      <c r="D960" s="12"/>
      <c r="E960" s="14"/>
      <c r="F960" s="12"/>
      <c r="G960" s="12"/>
      <c r="H960" s="12"/>
      <c r="I960" s="13"/>
    </row>
    <row r="961" spans="1:9" x14ac:dyDescent="0.3">
      <c r="A961" s="13"/>
      <c r="B961" s="12"/>
      <c r="C961" s="12" t="s">
        <v>1399</v>
      </c>
      <c r="D961" s="12"/>
      <c r="E961" s="14"/>
      <c r="F961" s="12"/>
      <c r="G961" s="12"/>
      <c r="H961" s="12"/>
      <c r="I961" s="13"/>
    </row>
    <row r="962" spans="1:9" x14ac:dyDescent="0.3">
      <c r="A962" s="13"/>
      <c r="B962" s="12"/>
      <c r="C962" s="12" t="s">
        <v>1400</v>
      </c>
      <c r="D962" s="12"/>
      <c r="E962" s="14"/>
      <c r="F962" s="12"/>
      <c r="G962" s="12"/>
      <c r="H962" s="12"/>
      <c r="I962" s="13"/>
    </row>
    <row r="963" spans="1:9" x14ac:dyDescent="0.3">
      <c r="A963" s="13"/>
      <c r="B963" s="12"/>
      <c r="C963" s="12" t="s">
        <v>1401</v>
      </c>
      <c r="D963" s="12"/>
      <c r="E963" s="14"/>
      <c r="F963" s="12"/>
      <c r="G963" s="12"/>
      <c r="H963" s="12"/>
      <c r="I963" s="13"/>
    </row>
    <row r="964" spans="1:9" x14ac:dyDescent="0.3">
      <c r="A964" s="13"/>
      <c r="B964" s="12"/>
      <c r="C964" s="12" t="s">
        <v>1402</v>
      </c>
      <c r="D964" s="12"/>
      <c r="E964" s="14"/>
      <c r="F964" s="12"/>
      <c r="G964" s="12"/>
      <c r="H964" s="12"/>
      <c r="I964" s="13"/>
    </row>
    <row r="965" spans="1:9" x14ac:dyDescent="0.3">
      <c r="A965" s="13"/>
      <c r="B965" s="12"/>
      <c r="C965" s="12" t="s">
        <v>1403</v>
      </c>
      <c r="D965" s="12"/>
      <c r="E965" s="14"/>
      <c r="F965" s="12"/>
      <c r="G965" s="12"/>
      <c r="H965" s="12"/>
      <c r="I965" s="13"/>
    </row>
    <row r="966" spans="1:9" x14ac:dyDescent="0.3">
      <c r="A966" s="13"/>
      <c r="B966" s="12"/>
      <c r="C966" s="12" t="s">
        <v>1404</v>
      </c>
      <c r="D966" s="12"/>
      <c r="E966" s="14"/>
      <c r="F966" s="12"/>
      <c r="G966" s="12"/>
      <c r="H966" s="12"/>
      <c r="I966" s="13"/>
    </row>
    <row r="967" spans="1:9" x14ac:dyDescent="0.3">
      <c r="A967" s="13"/>
      <c r="B967" s="12"/>
      <c r="C967" s="12" t="s">
        <v>1405</v>
      </c>
      <c r="D967" s="12"/>
      <c r="E967" s="14"/>
      <c r="F967" s="12"/>
      <c r="G967" s="12"/>
      <c r="H967" s="12"/>
      <c r="I967" s="13"/>
    </row>
    <row r="968" spans="1:9" x14ac:dyDescent="0.3">
      <c r="A968" s="13"/>
      <c r="B968" s="12"/>
      <c r="C968" s="12" t="s">
        <v>1406</v>
      </c>
      <c r="D968" s="12"/>
      <c r="E968" s="14"/>
      <c r="F968" s="12"/>
      <c r="G968" s="12"/>
      <c r="H968" s="12"/>
      <c r="I968" s="13"/>
    </row>
    <row r="969" spans="1:9" x14ac:dyDescent="0.3">
      <c r="A969" s="13"/>
      <c r="B969" s="12"/>
      <c r="C969" s="12" t="s">
        <v>1407</v>
      </c>
      <c r="D969" s="12"/>
      <c r="E969" s="14"/>
      <c r="F969" s="12"/>
      <c r="G969" s="12"/>
      <c r="H969" s="12"/>
      <c r="I969" s="13"/>
    </row>
    <row r="970" spans="1:9" x14ac:dyDescent="0.3">
      <c r="A970" s="13"/>
      <c r="B970" s="12"/>
      <c r="C970" s="12" t="s">
        <v>1408</v>
      </c>
      <c r="D970" s="12"/>
      <c r="E970" s="14"/>
      <c r="F970" s="12"/>
      <c r="G970" s="12"/>
      <c r="H970" s="12"/>
      <c r="I970" s="13"/>
    </row>
    <row r="971" spans="1:9" x14ac:dyDescent="0.3">
      <c r="A971" s="13"/>
      <c r="B971" s="12"/>
      <c r="C971" s="12" t="s">
        <v>1409</v>
      </c>
      <c r="D971" s="12"/>
      <c r="E971" s="14"/>
      <c r="F971" s="12"/>
      <c r="G971" s="12"/>
      <c r="H971" s="12"/>
      <c r="I971" s="13"/>
    </row>
    <row r="972" spans="1:9" x14ac:dyDescent="0.3">
      <c r="A972" s="13"/>
      <c r="B972" s="12"/>
      <c r="C972" s="12" t="s">
        <v>1410</v>
      </c>
      <c r="D972" s="12"/>
      <c r="E972" s="14"/>
      <c r="F972" s="12"/>
      <c r="G972" s="12"/>
      <c r="H972" s="12"/>
      <c r="I972" s="13"/>
    </row>
    <row r="973" spans="1:9" x14ac:dyDescent="0.3">
      <c r="A973" s="13"/>
      <c r="B973" s="12"/>
      <c r="C973" s="12" t="s">
        <v>1411</v>
      </c>
      <c r="D973" s="12"/>
      <c r="E973" s="14"/>
      <c r="F973" s="12"/>
      <c r="G973" s="12"/>
      <c r="H973" s="12"/>
      <c r="I973" s="13"/>
    </row>
    <row r="974" spans="1:9" x14ac:dyDescent="0.3">
      <c r="A974" s="13"/>
      <c r="B974" s="12"/>
      <c r="C974" s="12" t="s">
        <v>1412</v>
      </c>
      <c r="D974" s="12"/>
      <c r="E974" s="14"/>
      <c r="F974" s="12"/>
      <c r="G974" s="12"/>
      <c r="H974" s="12"/>
      <c r="I974" s="13"/>
    </row>
    <row r="975" spans="1:9" x14ac:dyDescent="0.3">
      <c r="A975" s="13"/>
      <c r="B975" s="12"/>
      <c r="C975" s="12" t="s">
        <v>1413</v>
      </c>
      <c r="D975" s="12"/>
      <c r="E975" s="14"/>
      <c r="F975" s="12"/>
      <c r="G975" s="12"/>
      <c r="H975" s="12"/>
      <c r="I975" s="13"/>
    </row>
    <row r="976" spans="1:9" x14ac:dyDescent="0.3">
      <c r="A976" s="13"/>
      <c r="B976" s="12"/>
      <c r="C976" s="12" t="s">
        <v>1414</v>
      </c>
      <c r="D976" s="12"/>
      <c r="E976" s="14"/>
      <c r="F976" s="12"/>
      <c r="G976" s="12"/>
      <c r="H976" s="12"/>
      <c r="I976" s="13"/>
    </row>
    <row r="977" spans="1:9" x14ac:dyDescent="0.3">
      <c r="A977" s="13"/>
      <c r="B977" s="12"/>
      <c r="C977" s="12" t="s">
        <v>1415</v>
      </c>
      <c r="D977" s="12"/>
      <c r="E977" s="14"/>
      <c r="F977" s="12"/>
      <c r="G977" s="12"/>
      <c r="H977" s="12"/>
      <c r="I977" s="13"/>
    </row>
    <row r="978" spans="1:9" x14ac:dyDescent="0.3">
      <c r="A978" s="13"/>
      <c r="B978" s="12"/>
      <c r="C978" s="12" t="s">
        <v>1416</v>
      </c>
      <c r="D978" s="12"/>
      <c r="E978" s="14"/>
      <c r="F978" s="12"/>
      <c r="G978" s="12"/>
      <c r="H978" s="12"/>
      <c r="I978" s="13"/>
    </row>
    <row r="979" spans="1:9" x14ac:dyDescent="0.3">
      <c r="A979" s="13"/>
      <c r="B979" s="12"/>
      <c r="C979" s="12" t="s">
        <v>1417</v>
      </c>
      <c r="D979" s="12"/>
      <c r="E979" s="14"/>
      <c r="F979" s="12"/>
      <c r="G979" s="12"/>
      <c r="H979" s="12"/>
      <c r="I979" s="13"/>
    </row>
    <row r="980" spans="1:9" x14ac:dyDescent="0.3">
      <c r="A980" s="13"/>
      <c r="B980" s="12"/>
      <c r="C980" s="12" t="s">
        <v>1418</v>
      </c>
      <c r="D980" s="12"/>
      <c r="E980" s="14"/>
      <c r="F980" s="12"/>
      <c r="G980" s="12"/>
      <c r="H980" s="12"/>
      <c r="I980" s="13"/>
    </row>
    <row r="981" spans="1:9" x14ac:dyDescent="0.3">
      <c r="A981" s="13"/>
      <c r="B981" s="12"/>
      <c r="C981" s="12" t="s">
        <v>1419</v>
      </c>
      <c r="D981" s="12"/>
      <c r="E981" s="14"/>
      <c r="F981" s="12"/>
      <c r="G981" s="12"/>
      <c r="H981" s="12"/>
      <c r="I981" s="13"/>
    </row>
    <row r="982" spans="1:9" x14ac:dyDescent="0.3">
      <c r="A982" s="13"/>
      <c r="B982" s="12"/>
      <c r="C982" s="12" t="s">
        <v>1420</v>
      </c>
      <c r="D982" s="12"/>
      <c r="E982" s="14"/>
      <c r="F982" s="12"/>
      <c r="G982" s="12"/>
      <c r="H982" s="12"/>
      <c r="I982" s="13"/>
    </row>
    <row r="983" spans="1:9" x14ac:dyDescent="0.3">
      <c r="A983" s="13"/>
      <c r="B983" s="12"/>
      <c r="C983" s="12" t="s">
        <v>1421</v>
      </c>
      <c r="D983" s="12"/>
      <c r="E983" s="14"/>
      <c r="F983" s="12"/>
      <c r="G983" s="12"/>
      <c r="H983" s="12"/>
      <c r="I983" s="13"/>
    </row>
    <row r="984" spans="1:9" x14ac:dyDescent="0.3">
      <c r="A984" s="13"/>
      <c r="B984" s="12"/>
      <c r="C984" s="12" t="s">
        <v>1422</v>
      </c>
      <c r="D984" s="12"/>
      <c r="E984" s="14"/>
      <c r="F984" s="12"/>
      <c r="G984" s="12"/>
      <c r="H984" s="12"/>
      <c r="I984" s="13"/>
    </row>
    <row r="985" spans="1:9" x14ac:dyDescent="0.3">
      <c r="A985" s="13"/>
      <c r="B985" s="12"/>
      <c r="C985" s="12" t="s">
        <v>1423</v>
      </c>
      <c r="D985" s="12"/>
      <c r="E985" s="14"/>
      <c r="F985" s="12"/>
      <c r="G985" s="12"/>
      <c r="H985" s="12"/>
      <c r="I985" s="13"/>
    </row>
    <row r="986" spans="1:9" x14ac:dyDescent="0.3">
      <c r="A986" s="13"/>
      <c r="B986" s="12"/>
      <c r="C986" s="12" t="s">
        <v>1424</v>
      </c>
      <c r="D986" s="12"/>
      <c r="E986" s="14"/>
      <c r="F986" s="12"/>
      <c r="G986" s="12"/>
      <c r="H986" s="12"/>
      <c r="I986" s="13"/>
    </row>
    <row r="987" spans="1:9" x14ac:dyDescent="0.3">
      <c r="A987" s="13"/>
      <c r="B987" s="12"/>
      <c r="C987" s="12" t="s">
        <v>1425</v>
      </c>
      <c r="D987" s="12"/>
      <c r="E987" s="14"/>
      <c r="F987" s="12"/>
      <c r="G987" s="12"/>
      <c r="H987" s="12"/>
      <c r="I987" s="13"/>
    </row>
    <row r="988" spans="1:9" x14ac:dyDescent="0.3">
      <c r="A988" s="13"/>
      <c r="B988" s="12"/>
      <c r="C988" s="12" t="s">
        <v>1426</v>
      </c>
      <c r="D988" s="12"/>
      <c r="E988" s="14"/>
      <c r="F988" s="12"/>
      <c r="G988" s="12"/>
      <c r="H988" s="12"/>
      <c r="I988" s="13"/>
    </row>
    <row r="989" spans="1:9" x14ac:dyDescent="0.3">
      <c r="A989" s="13"/>
      <c r="B989" s="12"/>
      <c r="C989" s="12" t="s">
        <v>1427</v>
      </c>
      <c r="D989" s="12"/>
      <c r="E989" s="14"/>
      <c r="F989" s="12"/>
      <c r="G989" s="12"/>
      <c r="H989" s="12"/>
      <c r="I989" s="13"/>
    </row>
    <row r="990" spans="1:9" x14ac:dyDescent="0.3">
      <c r="A990" s="13"/>
      <c r="B990" s="12"/>
      <c r="C990" s="12" t="s">
        <v>1428</v>
      </c>
      <c r="D990" s="12"/>
      <c r="E990" s="14"/>
      <c r="F990" s="12"/>
      <c r="G990" s="12"/>
      <c r="H990" s="12"/>
      <c r="I990" s="13"/>
    </row>
    <row r="991" spans="1:9" x14ac:dyDescent="0.3">
      <c r="A991" s="13"/>
      <c r="B991" s="12"/>
      <c r="C991" s="12" t="s">
        <v>1429</v>
      </c>
      <c r="D991" s="12"/>
      <c r="E991" s="14"/>
      <c r="F991" s="12"/>
      <c r="G991" s="12"/>
      <c r="H991" s="12"/>
      <c r="I991" s="13"/>
    </row>
    <row r="992" spans="1:9" x14ac:dyDescent="0.3">
      <c r="A992" s="13"/>
      <c r="B992" s="12"/>
      <c r="C992" s="12" t="s">
        <v>1430</v>
      </c>
      <c r="D992" s="12"/>
      <c r="E992" s="14"/>
      <c r="F992" s="12"/>
      <c r="G992" s="12"/>
      <c r="H992" s="12"/>
      <c r="I992" s="13"/>
    </row>
    <row r="993" spans="1:9" x14ac:dyDescent="0.3">
      <c r="A993" s="13"/>
      <c r="B993" s="12"/>
      <c r="C993" s="12" t="s">
        <v>1431</v>
      </c>
      <c r="D993" s="12"/>
      <c r="E993" s="14"/>
      <c r="F993" s="12"/>
      <c r="G993" s="12"/>
      <c r="H993" s="12"/>
      <c r="I993" s="13"/>
    </row>
    <row r="994" spans="1:9" x14ac:dyDescent="0.3">
      <c r="A994" s="13"/>
      <c r="B994" s="12"/>
      <c r="C994" s="12" t="s">
        <v>1432</v>
      </c>
      <c r="D994" s="12"/>
      <c r="E994" s="14"/>
      <c r="F994" s="12"/>
      <c r="G994" s="12"/>
      <c r="H994" s="12"/>
      <c r="I994" s="13"/>
    </row>
    <row r="995" spans="1:9" x14ac:dyDescent="0.3">
      <c r="A995" s="13"/>
      <c r="B995" s="12"/>
      <c r="C995" s="12" t="s">
        <v>1433</v>
      </c>
      <c r="D995" s="12"/>
      <c r="E995" s="14"/>
      <c r="F995" s="12"/>
      <c r="G995" s="12"/>
      <c r="H995" s="12"/>
      <c r="I995" s="13"/>
    </row>
    <row r="996" spans="1:9" x14ac:dyDescent="0.3">
      <c r="A996" s="13"/>
      <c r="B996" s="12"/>
      <c r="C996" s="12" t="s">
        <v>1434</v>
      </c>
      <c r="D996" s="12"/>
      <c r="E996" s="14"/>
      <c r="F996" s="12"/>
      <c r="G996" s="12"/>
      <c r="H996" s="12"/>
      <c r="I996" s="13"/>
    </row>
    <row r="997" spans="1:9" x14ac:dyDescent="0.3">
      <c r="A997" s="13"/>
      <c r="B997" s="12"/>
      <c r="C997" s="12" t="s">
        <v>1435</v>
      </c>
      <c r="D997" s="12"/>
      <c r="E997" s="14"/>
      <c r="F997" s="12"/>
      <c r="G997" s="12"/>
      <c r="H997" s="12"/>
      <c r="I997" s="13"/>
    </row>
    <row r="998" spans="1:9" x14ac:dyDescent="0.3">
      <c r="A998" s="13"/>
      <c r="B998" s="12"/>
      <c r="C998" s="12" t="s">
        <v>1436</v>
      </c>
      <c r="D998" s="12"/>
      <c r="E998" s="14"/>
      <c r="F998" s="12"/>
      <c r="G998" s="12"/>
      <c r="H998" s="12"/>
      <c r="I998" s="13"/>
    </row>
    <row r="999" spans="1:9" x14ac:dyDescent="0.3">
      <c r="A999" s="13"/>
      <c r="B999" s="12"/>
      <c r="C999" s="12" t="s">
        <v>1437</v>
      </c>
      <c r="D999" s="12"/>
      <c r="E999" s="14"/>
      <c r="F999" s="12"/>
      <c r="G999" s="12"/>
      <c r="H999" s="12"/>
      <c r="I999" s="13"/>
    </row>
    <row r="1000" spans="1:9" x14ac:dyDescent="0.3">
      <c r="A1000" s="13"/>
      <c r="B1000" s="12"/>
      <c r="C1000" s="12" t="s">
        <v>1438</v>
      </c>
      <c r="D1000" s="12"/>
      <c r="E1000" s="14"/>
      <c r="F1000" s="12"/>
      <c r="G1000" s="12"/>
      <c r="H1000" s="12"/>
      <c r="I1000" s="13"/>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A9B3D-0180-467A-A68D-884078DB9019}">
  <dimension ref="A2:B35"/>
  <sheetViews>
    <sheetView zoomScale="90" zoomScaleNormal="90" workbookViewId="0">
      <selection activeCell="A10" sqref="A10"/>
    </sheetView>
  </sheetViews>
  <sheetFormatPr defaultColWidth="8.5546875" defaultRowHeight="14.4" x14ac:dyDescent="0.3"/>
  <cols>
    <col min="1" max="1" width="21.77734375" bestFit="1" customWidth="1"/>
    <col min="2" max="2" width="6.109375" bestFit="1" customWidth="1"/>
    <col min="3" max="15" width="7.5546875" bestFit="1" customWidth="1"/>
    <col min="16" max="16" width="12.5546875" bestFit="1" customWidth="1"/>
    <col min="17" max="17" width="15.44140625" bestFit="1" customWidth="1"/>
    <col min="18" max="43" width="7.5546875" bestFit="1" customWidth="1"/>
    <col min="44" max="202" width="6.5546875" bestFit="1" customWidth="1"/>
    <col min="203" max="203" width="5.5546875" bestFit="1" customWidth="1"/>
    <col min="204" max="204" width="10.5546875" bestFit="1" customWidth="1"/>
  </cols>
  <sheetData>
    <row r="2" spans="1:2" x14ac:dyDescent="0.3">
      <c r="A2" s="30" t="s">
        <v>4129</v>
      </c>
      <c r="B2" s="31" t="s">
        <v>1316</v>
      </c>
    </row>
    <row r="3" spans="1:2" x14ac:dyDescent="0.3">
      <c r="A3" s="32" t="s">
        <v>1546</v>
      </c>
      <c r="B3" s="30">
        <v>488</v>
      </c>
    </row>
    <row r="4" spans="1:2" x14ac:dyDescent="0.3">
      <c r="A4" s="32" t="s">
        <v>2</v>
      </c>
      <c r="B4" s="30">
        <v>253</v>
      </c>
    </row>
    <row r="5" spans="1:2" x14ac:dyDescent="0.3">
      <c r="A5" s="32" t="s">
        <v>1315</v>
      </c>
      <c r="B5" s="30">
        <v>741</v>
      </c>
    </row>
    <row r="7" spans="1:2" x14ac:dyDescent="0.3">
      <c r="A7" s="30" t="s">
        <v>4130</v>
      </c>
      <c r="B7" s="31" t="s">
        <v>1316</v>
      </c>
    </row>
    <row r="8" spans="1:2" x14ac:dyDescent="0.3">
      <c r="A8" s="32" t="s">
        <v>1574</v>
      </c>
      <c r="B8" s="30">
        <v>180</v>
      </c>
    </row>
    <row r="9" spans="1:2" x14ac:dyDescent="0.3">
      <c r="A9" s="32" t="s">
        <v>1545</v>
      </c>
      <c r="B9" s="30">
        <v>308</v>
      </c>
    </row>
    <row r="10" spans="1:2" x14ac:dyDescent="0.3">
      <c r="A10" s="32" t="s">
        <v>1609</v>
      </c>
      <c r="B10" s="30">
        <v>103</v>
      </c>
    </row>
    <row r="11" spans="1:2" x14ac:dyDescent="0.3">
      <c r="A11" s="32" t="s">
        <v>1315</v>
      </c>
      <c r="B11" s="30">
        <v>591</v>
      </c>
    </row>
    <row r="15" spans="1:2" x14ac:dyDescent="0.3">
      <c r="A15" s="30" t="s">
        <v>4131</v>
      </c>
      <c r="B15" s="30" t="s">
        <v>1545</v>
      </c>
    </row>
    <row r="17" spans="1:2" x14ac:dyDescent="0.3">
      <c r="A17" s="30" t="s">
        <v>32</v>
      </c>
      <c r="B17" s="31" t="s">
        <v>1316</v>
      </c>
    </row>
    <row r="18" spans="1:2" x14ac:dyDescent="0.3">
      <c r="A18" s="32" t="s">
        <v>4132</v>
      </c>
      <c r="B18" s="30">
        <v>52</v>
      </c>
    </row>
    <row r="19" spans="1:2" x14ac:dyDescent="0.3">
      <c r="A19" s="32" t="s">
        <v>4133</v>
      </c>
      <c r="B19" s="30">
        <v>2</v>
      </c>
    </row>
    <row r="20" spans="1:2" x14ac:dyDescent="0.3">
      <c r="A20" s="32" t="s">
        <v>4134</v>
      </c>
      <c r="B20" s="30">
        <v>1</v>
      </c>
    </row>
    <row r="21" spans="1:2" x14ac:dyDescent="0.3">
      <c r="A21" s="32" t="s">
        <v>4135</v>
      </c>
      <c r="B21" s="30">
        <v>92</v>
      </c>
    </row>
    <row r="22" spans="1:2" x14ac:dyDescent="0.3">
      <c r="A22" s="32" t="s">
        <v>4136</v>
      </c>
      <c r="B22" s="30">
        <v>69</v>
      </c>
    </row>
    <row r="23" spans="1:2" x14ac:dyDescent="0.3">
      <c r="A23" s="32" t="s">
        <v>4137</v>
      </c>
      <c r="B23" s="30">
        <v>23</v>
      </c>
    </row>
    <row r="24" spans="1:2" x14ac:dyDescent="0.3">
      <c r="A24" s="32" t="s">
        <v>1315</v>
      </c>
      <c r="B24" s="30">
        <v>239</v>
      </c>
    </row>
    <row r="26" spans="1:2" x14ac:dyDescent="0.3">
      <c r="A26" s="30" t="s">
        <v>4138</v>
      </c>
      <c r="B26" s="31" t="s">
        <v>1316</v>
      </c>
    </row>
    <row r="27" spans="1:2" x14ac:dyDescent="0.3">
      <c r="A27" s="32" t="s">
        <v>1674</v>
      </c>
      <c r="B27" s="30">
        <v>5</v>
      </c>
    </row>
    <row r="28" spans="1:2" x14ac:dyDescent="0.3">
      <c r="A28" s="32" t="s">
        <v>1703</v>
      </c>
      <c r="B28" s="30">
        <v>20</v>
      </c>
    </row>
    <row r="29" spans="1:2" x14ac:dyDescent="0.3">
      <c r="A29" s="32" t="s">
        <v>1690</v>
      </c>
      <c r="B29" s="30">
        <v>166</v>
      </c>
    </row>
    <row r="30" spans="1:2" x14ac:dyDescent="0.3">
      <c r="A30" s="32" t="s">
        <v>1542</v>
      </c>
      <c r="B30" s="30">
        <v>429</v>
      </c>
    </row>
    <row r="31" spans="1:2" x14ac:dyDescent="0.3">
      <c r="A31" s="32" t="s">
        <v>1716</v>
      </c>
      <c r="B31" s="30">
        <v>14</v>
      </c>
    </row>
    <row r="32" spans="1:2" x14ac:dyDescent="0.3">
      <c r="A32" s="32" t="s">
        <v>1823</v>
      </c>
      <c r="B32" s="30">
        <v>22</v>
      </c>
    </row>
    <row r="33" spans="1:2" x14ac:dyDescent="0.3">
      <c r="A33" s="32" t="s">
        <v>1687</v>
      </c>
      <c r="B33" s="30">
        <v>67</v>
      </c>
    </row>
    <row r="34" spans="1:2" x14ac:dyDescent="0.3">
      <c r="A34" s="32" t="s">
        <v>2792</v>
      </c>
      <c r="B34" s="30">
        <v>2</v>
      </c>
    </row>
    <row r="35" spans="1:2" x14ac:dyDescent="0.3">
      <c r="A35" s="32" t="s">
        <v>1315</v>
      </c>
      <c r="B35" s="30">
        <v>725</v>
      </c>
    </row>
  </sheetData>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2:B72"/>
  <sheetViews>
    <sheetView zoomScale="80" zoomScaleNormal="80" workbookViewId="0">
      <selection activeCell="B5" sqref="B5"/>
    </sheetView>
  </sheetViews>
  <sheetFormatPr defaultRowHeight="14.4" x14ac:dyDescent="0.3"/>
  <cols>
    <col min="1" max="1" width="51.44140625" customWidth="1"/>
    <col min="2" max="2" width="6.44140625" bestFit="1" customWidth="1"/>
    <col min="3" max="3" width="3" customWidth="1"/>
    <col min="4" max="4" width="23.5546875" bestFit="1" customWidth="1"/>
    <col min="5" max="5" width="10.44140625" bestFit="1" customWidth="1"/>
    <col min="6" max="6" width="27.5546875" customWidth="1"/>
    <col min="7" max="7" width="21.44140625" bestFit="1" customWidth="1"/>
    <col min="9" max="9" width="9.44140625" bestFit="1" customWidth="1"/>
    <col min="10" max="10" width="10.44140625" bestFit="1" customWidth="1"/>
    <col min="12" max="12" width="21.5546875" bestFit="1" customWidth="1"/>
    <col min="13" max="13" width="23.5546875" bestFit="1" customWidth="1"/>
    <col min="14" max="14" width="59" bestFit="1" customWidth="1"/>
  </cols>
  <sheetData>
    <row r="2" spans="1:2" x14ac:dyDescent="0.3">
      <c r="A2" s="10" t="s">
        <v>3337</v>
      </c>
      <c r="B2" s="10" t="s">
        <v>1316</v>
      </c>
    </row>
    <row r="3" spans="1:2" x14ac:dyDescent="0.3">
      <c r="A3" s="11" t="s">
        <v>1</v>
      </c>
      <c r="B3" s="12">
        <f>COUNTIF('TIR SUMMARY'!$G$3:$G$5297,KPIx!A3)</f>
        <v>102</v>
      </c>
    </row>
    <row r="4" spans="1:2" x14ac:dyDescent="0.3">
      <c r="A4" s="11" t="s">
        <v>4</v>
      </c>
      <c r="B4" s="12">
        <f>COUNTIF('TIR SUMMARY'!$G$3:$G$5297,KPIx!A4)</f>
        <v>38</v>
      </c>
    </row>
    <row r="5" spans="1:2" x14ac:dyDescent="0.3">
      <c r="A5" s="11" t="s">
        <v>7</v>
      </c>
      <c r="B5" s="12">
        <f>COUNTIF('TIR SUMMARY'!$G$3:$G$5297,KPIx!A5)</f>
        <v>781</v>
      </c>
    </row>
    <row r="6" spans="1:2" x14ac:dyDescent="0.3">
      <c r="A6" s="10" t="s">
        <v>1315</v>
      </c>
      <c r="B6" s="10">
        <f>SUM(B3:B5)</f>
        <v>921</v>
      </c>
    </row>
    <row r="8" spans="1:2" x14ac:dyDescent="0.3">
      <c r="A8" s="10" t="s">
        <v>1534</v>
      </c>
      <c r="B8" s="10" t="s">
        <v>1316</v>
      </c>
    </row>
    <row r="9" spans="1:2" x14ac:dyDescent="0.3">
      <c r="A9" s="11" t="s">
        <v>1674</v>
      </c>
      <c r="B9" s="12">
        <f>COUNTIF('TIR SUMMARY'!$C$3:$C$5297,KPIx!A9)</f>
        <v>5</v>
      </c>
    </row>
    <row r="10" spans="1:2" x14ac:dyDescent="0.3">
      <c r="A10" s="11" t="s">
        <v>1703</v>
      </c>
      <c r="B10" s="12">
        <f>COUNTIF('TIR SUMMARY'!$C$3:$C$5297,KPIx!A10)</f>
        <v>31</v>
      </c>
    </row>
    <row r="11" spans="1:2" x14ac:dyDescent="0.3">
      <c r="A11" s="11" t="s">
        <v>1690</v>
      </c>
      <c r="B11" s="12">
        <f>COUNTIF('TIR SUMMARY'!$C$3:$C$5297,KPIx!A11)</f>
        <v>238</v>
      </c>
    </row>
    <row r="12" spans="1:2" x14ac:dyDescent="0.3">
      <c r="A12" s="11" t="s">
        <v>1542</v>
      </c>
      <c r="B12" s="12">
        <f>COUNTIF('TIR SUMMARY'!$C$3:$C$5297,KPIx!A12)</f>
        <v>675</v>
      </c>
    </row>
    <row r="13" spans="1:2" x14ac:dyDescent="0.3">
      <c r="A13" s="11" t="s">
        <v>1716</v>
      </c>
      <c r="B13" s="12">
        <f>COUNTIF('TIR SUMMARY'!$C$3:$C$5297,KPIx!A13)</f>
        <v>15</v>
      </c>
    </row>
    <row r="14" spans="1:2" x14ac:dyDescent="0.3">
      <c r="A14" s="11" t="s">
        <v>1823</v>
      </c>
      <c r="B14" s="12">
        <f>COUNTIF('TIR SUMMARY'!$C$3:$C$5297,KPIx!A14)</f>
        <v>36</v>
      </c>
    </row>
    <row r="15" spans="1:2" x14ac:dyDescent="0.3">
      <c r="A15" s="11" t="s">
        <v>1687</v>
      </c>
      <c r="B15" s="12">
        <f>COUNTIF('TIR SUMMARY'!$C$3:$C$5297,KPIx!A15)</f>
        <v>116</v>
      </c>
    </row>
    <row r="16" spans="1:2" x14ac:dyDescent="0.3">
      <c r="A16" s="11" t="s">
        <v>2792</v>
      </c>
      <c r="B16" s="12">
        <f>COUNTIF('TIR SUMMARY'!$C$3:$C$5297,KPIx!A16)</f>
        <v>2</v>
      </c>
    </row>
    <row r="17" spans="1:2" x14ac:dyDescent="0.3">
      <c r="A17" s="10" t="s">
        <v>1315</v>
      </c>
      <c r="B17" s="10">
        <f>SUM(B9:B16)</f>
        <v>1118</v>
      </c>
    </row>
    <row r="19" spans="1:2" x14ac:dyDescent="0.3">
      <c r="A19" s="10" t="s">
        <v>3330</v>
      </c>
      <c r="B19" s="10" t="s">
        <v>1316</v>
      </c>
    </row>
    <row r="20" spans="1:2" x14ac:dyDescent="0.3">
      <c r="A20" s="11" t="s">
        <v>1582</v>
      </c>
      <c r="B20" s="12">
        <f>COUNTIF('TIR SUMMARY'!$U$3:$U$5297,KPIx!A20)</f>
        <v>194</v>
      </c>
    </row>
    <row r="21" spans="1:2" x14ac:dyDescent="0.3">
      <c r="A21" s="11" t="s">
        <v>1640</v>
      </c>
      <c r="B21" s="12">
        <f>COUNTIF('TIR SUMMARY'!$U$3:$U$5297,KPIx!A21)</f>
        <v>6</v>
      </c>
    </row>
    <row r="22" spans="1:2" x14ac:dyDescent="0.3">
      <c r="A22" s="11" t="s">
        <v>1574</v>
      </c>
      <c r="B22" s="12">
        <f>COUNTIF('TIR SUMMARY'!$U$3:$U$5297,KPIx!A22)</f>
        <v>325</v>
      </c>
    </row>
    <row r="23" spans="1:2" x14ac:dyDescent="0.3">
      <c r="A23" s="11" t="s">
        <v>3566</v>
      </c>
      <c r="B23" s="12">
        <f>COUNTIF('TIR SUMMARY'!$U$3:$U$5297,KPIx!A23)</f>
        <v>51</v>
      </c>
    </row>
    <row r="24" spans="1:2" x14ac:dyDescent="0.3">
      <c r="A24" s="11" t="s">
        <v>5</v>
      </c>
      <c r="B24" s="12">
        <f>COUNTIF('TIR SUMMARY'!$U$3:$U$5297,KPIx!A24)</f>
        <v>84</v>
      </c>
    </row>
    <row r="25" spans="1:2" x14ac:dyDescent="0.3">
      <c r="A25" s="11" t="s">
        <v>1545</v>
      </c>
      <c r="B25" s="12">
        <f>COUNTIF('TIR SUMMARY'!$U$3:$U$5297,KPIx!A25)</f>
        <v>472</v>
      </c>
    </row>
    <row r="26" spans="1:2" x14ac:dyDescent="0.3">
      <c r="A26" s="10" t="s">
        <v>1315</v>
      </c>
      <c r="B26" s="10">
        <f>SUM(B20:B25)</f>
        <v>1132</v>
      </c>
    </row>
    <row r="28" spans="1:2" x14ac:dyDescent="0.3">
      <c r="A28" s="10" t="s">
        <v>1537</v>
      </c>
      <c r="B28" s="10" t="s">
        <v>1316</v>
      </c>
    </row>
    <row r="29" spans="1:2" x14ac:dyDescent="0.3">
      <c r="A29" s="11" t="s">
        <v>1654</v>
      </c>
      <c r="B29" s="12">
        <f>COUNTIF('TIR SUMMARY'!$P$3:$P$5297,KPIx!A29)</f>
        <v>38</v>
      </c>
    </row>
    <row r="30" spans="1:2" x14ac:dyDescent="0.3">
      <c r="A30" s="11" t="s">
        <v>3328</v>
      </c>
      <c r="B30" s="12">
        <f>COUNTIF('TIR SUMMARY'!$P$3:$P$5297,KPIx!A30)</f>
        <v>1074</v>
      </c>
    </row>
    <row r="31" spans="1:2" x14ac:dyDescent="0.3">
      <c r="A31" s="11" t="s">
        <v>1675</v>
      </c>
      <c r="B31" s="12">
        <f>COUNTIF('TIR SUMMARY'!$P$3:$P$5297,KPIx!A31)</f>
        <v>0</v>
      </c>
    </row>
    <row r="32" spans="1:2" x14ac:dyDescent="0.3">
      <c r="A32" s="10" t="s">
        <v>1315</v>
      </c>
      <c r="B32" s="10">
        <f>SUM(B29:B31)</f>
        <v>1112</v>
      </c>
    </row>
    <row r="34" spans="1:2" x14ac:dyDescent="0.3">
      <c r="A34" s="10" t="s">
        <v>1540</v>
      </c>
      <c r="B34" s="10" t="s">
        <v>1316</v>
      </c>
    </row>
    <row r="35" spans="1:2" x14ac:dyDescent="0.3">
      <c r="A35" s="11" t="s">
        <v>0</v>
      </c>
      <c r="B35" s="3">
        <f>COUNTIF('TIR SUMMARY'!$V$3:$V$5297,KPIx!A35)</f>
        <v>0</v>
      </c>
    </row>
    <row r="36" spans="1:2" x14ac:dyDescent="0.3">
      <c r="A36" s="11" t="s">
        <v>3</v>
      </c>
      <c r="B36" s="12">
        <f>COUNTIF('TIR SUMMARY'!$V$3:$V$5297,KPIx!A36)</f>
        <v>127</v>
      </c>
    </row>
    <row r="37" spans="1:2" x14ac:dyDescent="0.3">
      <c r="A37" s="11" t="s">
        <v>6</v>
      </c>
      <c r="B37" s="12">
        <f>COUNTIF('TIR SUMMARY'!$V$3:$V$5297,KPIx!A37)</f>
        <v>13</v>
      </c>
    </row>
    <row r="38" spans="1:2" x14ac:dyDescent="0.3">
      <c r="A38" s="11" t="s">
        <v>9</v>
      </c>
      <c r="B38" s="12">
        <f>COUNTIF('TIR SUMMARY'!$V$3:$V$5297,KPIx!A38)</f>
        <v>237</v>
      </c>
    </row>
    <row r="39" spans="1:2" x14ac:dyDescent="0.3">
      <c r="A39" s="11" t="s">
        <v>11</v>
      </c>
      <c r="B39" s="12">
        <f>COUNTIF('TIR SUMMARY'!$V$3:$V$5297,KPIx!A39)</f>
        <v>135</v>
      </c>
    </row>
    <row r="40" spans="1:2" x14ac:dyDescent="0.3">
      <c r="A40" s="11" t="s">
        <v>12</v>
      </c>
      <c r="B40" s="12">
        <f>COUNTIF('TIR SUMMARY'!$V$3:$V$5297,KPIx!A40)</f>
        <v>38</v>
      </c>
    </row>
    <row r="41" spans="1:2" x14ac:dyDescent="0.3">
      <c r="A41" s="11" t="s">
        <v>13</v>
      </c>
      <c r="B41" s="12">
        <f>COUNTIF('TIR SUMMARY'!$V$3:$V$5297,KPIx!A41)</f>
        <v>2</v>
      </c>
    </row>
    <row r="42" spans="1:2" x14ac:dyDescent="0.3">
      <c r="A42" s="11" t="s">
        <v>14</v>
      </c>
      <c r="B42" s="12">
        <f>COUNTIF('TIR SUMMARY'!$V$3:$V$5297,KPIx!A42)</f>
        <v>276</v>
      </c>
    </row>
    <row r="43" spans="1:2" x14ac:dyDescent="0.3">
      <c r="A43" s="11" t="s">
        <v>15</v>
      </c>
      <c r="B43" s="12">
        <f>COUNTIF('TIR SUMMARY'!$V$3:$V$5297,KPIx!A43)</f>
        <v>24</v>
      </c>
    </row>
    <row r="44" spans="1:2" x14ac:dyDescent="0.3">
      <c r="A44" s="11" t="s">
        <v>16</v>
      </c>
      <c r="B44" s="12">
        <f>COUNTIF('TIR SUMMARY'!$V$3:$V$5297,KPIx!A44)</f>
        <v>6</v>
      </c>
    </row>
    <row r="45" spans="1:2" x14ac:dyDescent="0.3">
      <c r="A45" s="11" t="s">
        <v>17</v>
      </c>
      <c r="B45" s="12">
        <f>COUNTIF('TIR SUMMARY'!$V$3:$V$5297,KPIx!A45)</f>
        <v>28</v>
      </c>
    </row>
    <row r="46" spans="1:2" x14ac:dyDescent="0.3">
      <c r="A46" s="11" t="s">
        <v>18</v>
      </c>
      <c r="B46" s="12">
        <f>COUNTIF('TIR SUMMARY'!$V$3:$V$5297,KPIx!A46)</f>
        <v>61</v>
      </c>
    </row>
    <row r="47" spans="1:2" x14ac:dyDescent="0.3">
      <c r="A47" s="11" t="s">
        <v>19</v>
      </c>
      <c r="B47" s="12">
        <f>COUNTIF('TIR SUMMARY'!$V$3:$V$5297,KPIx!A47)</f>
        <v>125</v>
      </c>
    </row>
    <row r="48" spans="1:2" x14ac:dyDescent="0.3">
      <c r="A48" s="11" t="s">
        <v>20</v>
      </c>
      <c r="B48" s="12">
        <f>COUNTIF('TIR SUMMARY'!$V$3:$V$5297,KPIx!A48)</f>
        <v>0</v>
      </c>
    </row>
    <row r="49" spans="1:2" x14ac:dyDescent="0.3">
      <c r="A49" s="11" t="s">
        <v>21</v>
      </c>
      <c r="B49" s="12">
        <f>COUNTIF('TIR SUMMARY'!$V$3:$V$5297,KPIx!A49)</f>
        <v>0</v>
      </c>
    </row>
    <row r="50" spans="1:2" x14ac:dyDescent="0.3">
      <c r="A50" s="11" t="s">
        <v>22</v>
      </c>
      <c r="B50" s="12">
        <f>COUNTIF('TIR SUMMARY'!$V$3:$V$5297,KPIx!A50)</f>
        <v>2</v>
      </c>
    </row>
    <row r="51" spans="1:2" x14ac:dyDescent="0.3">
      <c r="A51" s="11" t="s">
        <v>23</v>
      </c>
      <c r="B51" s="12">
        <f>COUNTIF('TIR SUMMARY'!$V$3:$V$5297,KPIx!A51)</f>
        <v>0</v>
      </c>
    </row>
    <row r="52" spans="1:2" x14ac:dyDescent="0.3">
      <c r="A52" s="11" t="s">
        <v>24</v>
      </c>
      <c r="B52" s="12">
        <f>COUNTIF('TIR SUMMARY'!$V$3:$V$5297,KPIx!A52)</f>
        <v>0</v>
      </c>
    </row>
    <row r="53" spans="1:2" x14ac:dyDescent="0.3">
      <c r="A53" s="11" t="s">
        <v>25</v>
      </c>
      <c r="B53" s="12">
        <f>COUNTIF('TIR SUMMARY'!$V$3:$V$5297,KPIx!A53)</f>
        <v>0</v>
      </c>
    </row>
    <row r="54" spans="1:2" x14ac:dyDescent="0.3">
      <c r="A54" s="10" t="s">
        <v>1315</v>
      </c>
      <c r="B54" s="10">
        <f>SUM(B35:B53)</f>
        <v>1074</v>
      </c>
    </row>
    <row r="56" spans="1:2" x14ac:dyDescent="0.3">
      <c r="A56" s="10" t="s">
        <v>3466</v>
      </c>
      <c r="B56" s="10" t="s">
        <v>1316</v>
      </c>
    </row>
    <row r="57" spans="1:2" x14ac:dyDescent="0.3">
      <c r="A57" s="11" t="s">
        <v>1652</v>
      </c>
      <c r="B57" s="3">
        <f>COUNTIF('TIR SUMMARY'!$N$3:$N$5297,KPIx!A57)</f>
        <v>98</v>
      </c>
    </row>
    <row r="58" spans="1:2" x14ac:dyDescent="0.3">
      <c r="A58" s="11" t="s">
        <v>2683</v>
      </c>
      <c r="B58" s="12">
        <f>COUNTIF('TIR SUMMARY'!$N$3:$N$5297,KPIx!A58)</f>
        <v>26</v>
      </c>
    </row>
    <row r="59" spans="1:2" x14ac:dyDescent="0.3">
      <c r="A59" s="11" t="s">
        <v>2528</v>
      </c>
      <c r="B59" s="12">
        <f>COUNTIF('TIR SUMMARY'!$N$3:$N$5297,KPIx!A59)</f>
        <v>15</v>
      </c>
    </row>
    <row r="60" spans="1:2" x14ac:dyDescent="0.3">
      <c r="A60" s="11" t="s">
        <v>2451</v>
      </c>
      <c r="B60" s="12">
        <f>COUNTIF('TIR SUMMARY'!$N$3:$N$5297,KPIx!A60)</f>
        <v>0</v>
      </c>
    </row>
    <row r="61" spans="1:2" x14ac:dyDescent="0.3">
      <c r="A61" s="11" t="s">
        <v>1615</v>
      </c>
      <c r="B61" s="12">
        <f>COUNTIF('TIR SUMMARY'!$N$3:$N$5297,KPIx!A61)</f>
        <v>0</v>
      </c>
    </row>
    <row r="62" spans="1:2" x14ac:dyDescent="0.3">
      <c r="A62" s="11" t="s">
        <v>2517</v>
      </c>
      <c r="B62" s="12">
        <f>COUNTIF('TIR SUMMARY'!$N$3:$N$5297,KPIx!A62)</f>
        <v>36</v>
      </c>
    </row>
    <row r="63" spans="1:2" x14ac:dyDescent="0.3">
      <c r="A63" s="11" t="s">
        <v>1575</v>
      </c>
      <c r="B63" s="12">
        <f>COUNTIF('TIR SUMMARY'!$N$3:$N$5297,KPIx!A63)</f>
        <v>0</v>
      </c>
    </row>
    <row r="64" spans="1:2" x14ac:dyDescent="0.3">
      <c r="A64" s="11" t="s">
        <v>2492</v>
      </c>
      <c r="B64" s="12">
        <f>COUNTIF('TIR SUMMARY'!$N$3:$N$5297,KPIx!A64)</f>
        <v>12</v>
      </c>
    </row>
    <row r="65" spans="1:2" x14ac:dyDescent="0.3">
      <c r="A65" s="11" t="s">
        <v>2554</v>
      </c>
      <c r="B65" s="12">
        <f>COUNTIF('TIR SUMMARY'!$N$3:$N$5297,KPIx!A65)</f>
        <v>0</v>
      </c>
    </row>
    <row r="66" spans="1:2" x14ac:dyDescent="0.3">
      <c r="A66" s="11" t="s">
        <v>3464</v>
      </c>
      <c r="B66" s="12">
        <f>COUNTIF('TIR SUMMARY'!$N$3:$N$5297,KPIx!A66)</f>
        <v>5</v>
      </c>
    </row>
    <row r="67" spans="1:2" x14ac:dyDescent="0.3">
      <c r="A67" s="11" t="s">
        <v>2448</v>
      </c>
      <c r="B67" s="12">
        <f>COUNTIF('TIR SUMMARY'!$N$3:$N$5297,KPIx!A67)</f>
        <v>54</v>
      </c>
    </row>
    <row r="68" spans="1:2" x14ac:dyDescent="0.3">
      <c r="A68" s="11" t="s">
        <v>3216</v>
      </c>
      <c r="B68" s="12">
        <f>COUNTIF('TIR SUMMARY'!$N$3:$N$5297,KPIx!A68)</f>
        <v>15</v>
      </c>
    </row>
    <row r="69" spans="1:2" x14ac:dyDescent="0.3">
      <c r="A69" s="11" t="s">
        <v>3465</v>
      </c>
      <c r="B69" s="12">
        <f>COUNTIF('TIR SUMMARY'!$N$3:$N$5297,KPIx!A69)</f>
        <v>12</v>
      </c>
    </row>
    <row r="70" spans="1:2" x14ac:dyDescent="0.3">
      <c r="A70" s="11" t="s">
        <v>2603</v>
      </c>
      <c r="B70" s="12">
        <f>COUNTIF('TIR SUMMARY'!$N$3:$N$5297,KPIx!A70)</f>
        <v>12</v>
      </c>
    </row>
    <row r="71" spans="1:2" x14ac:dyDescent="0.3">
      <c r="A71" s="11" t="s">
        <v>2707</v>
      </c>
      <c r="B71" s="12">
        <f>COUNTIF('TIR SUMMARY'!$N$3:$N$5297,KPIx!A71)</f>
        <v>15</v>
      </c>
    </row>
    <row r="72" spans="1:2" x14ac:dyDescent="0.3">
      <c r="A72" s="10" t="s">
        <v>1315</v>
      </c>
      <c r="B72" s="10">
        <f>SUM(B57:B71)</f>
        <v>300</v>
      </c>
    </row>
  </sheetData>
  <pageMargins left="0.7" right="0.7" top="0.75" bottom="0.75" header="0.3" footer="0.3"/>
  <pageSetup orientation="portrait" horizontalDpi="300" verticalDpi="3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EAD877671FAF4BA5C10B759784F8B3" ma:contentTypeVersion="14" ma:contentTypeDescription="Create a new document." ma:contentTypeScope="" ma:versionID="93b23a3bd58ba78dd3b8063fb2576913">
  <xsd:schema xmlns:xsd="http://www.w3.org/2001/XMLSchema" xmlns:xs="http://www.w3.org/2001/XMLSchema" xmlns:p="http://schemas.microsoft.com/office/2006/metadata/properties" xmlns:ns2="28f8b40e-83c4-44d9-b13e-524e21bef338" xmlns:ns3="9a55aae0-513b-407b-ad18-3a40093beb9b" targetNamespace="http://schemas.microsoft.com/office/2006/metadata/properties" ma:root="true" ma:fieldsID="ed0903855b750ad8a1998aec9b96f835" ns2:_="" ns3:_="">
    <xsd:import namespace="28f8b40e-83c4-44d9-b13e-524e21bef338"/>
    <xsd:import namespace="9a55aae0-513b-407b-ad18-3a40093beb9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Location"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f8b40e-83c4-44d9-b13e-524e21bef338"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a55aae0-513b-407b-ad18-3a40093beb9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a55aae0-513b-407b-ad18-3a40093beb9b">
      <UserInfo>
        <DisplayName>FRANÇOIS Mathilde-EXT</DisplayName>
        <AccountId>1400</AccountId>
        <AccountType/>
      </UserInfo>
    </SharedWithUsers>
  </documentManagement>
</p:properties>
</file>

<file path=customXml/itemProps1.xml><?xml version="1.0" encoding="utf-8"?>
<ds:datastoreItem xmlns:ds="http://schemas.openxmlformats.org/officeDocument/2006/customXml" ds:itemID="{72385355-4975-415E-8D76-A7823737FEC6}">
  <ds:schemaRefs>
    <ds:schemaRef ds:uri="http://schemas.microsoft.com/sharepoint/v3/contenttype/forms"/>
  </ds:schemaRefs>
</ds:datastoreItem>
</file>

<file path=customXml/itemProps2.xml><?xml version="1.0" encoding="utf-8"?>
<ds:datastoreItem xmlns:ds="http://schemas.openxmlformats.org/officeDocument/2006/customXml" ds:itemID="{5E640239-1CE4-4A31-853A-1BEFA4B584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f8b40e-83c4-44d9-b13e-524e21bef338"/>
    <ds:schemaRef ds:uri="9a55aae0-513b-407b-ad18-3a40093beb9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1588F7-135F-4F95-BE5F-BE26E0E7370E}">
  <ds:schemaRefs>
    <ds:schemaRef ds:uri="http://purl.org/dc/elements/1.1/"/>
    <ds:schemaRef ds:uri="http://purl.org/dc/dcmitype/"/>
    <ds:schemaRef ds:uri="http://www.w3.org/XML/1998/namespace"/>
    <ds:schemaRef ds:uri="http://purl.org/dc/terms/"/>
    <ds:schemaRef ds:uri="9a55aae0-513b-407b-ad18-3a40093beb9b"/>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28f8b40e-83c4-44d9-b13e-524e21bef33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TIR SUMMARY</vt:lpstr>
      <vt:lpstr>Summary CMN</vt:lpstr>
      <vt:lpstr>KPI</vt:lpstr>
      <vt:lpstr>KPIx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Taha MUSSA</dc:creator>
  <cp:keywords/>
  <dc:description/>
  <cp:lastModifiedBy>Administrator</cp:lastModifiedBy>
  <cp:revision/>
  <dcterms:created xsi:type="dcterms:W3CDTF">2022-01-17T08:45:31Z</dcterms:created>
  <dcterms:modified xsi:type="dcterms:W3CDTF">2022-05-25T14:21:15Z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0x01010029EAD877671FAF4BA5C10B759784F8B3</vt:lpwstr>
  </property>
  <property fmtid="{D5CDD505-2E9C-101B-9397-08002B2CF9AE}" pid="3" name="MSIP_Label_6d3c1e99-73ed-46f4-9233-3591d9cef3c2_Enabled">
    <vt:lpwstr>true</vt:lpwstr>
  </property>
  <property fmtid="{D5CDD505-2E9C-101B-9397-08002B2CF9AE}" pid="4" name="MSIP_Label_6d3c1e99-73ed-46f4-9233-3591d9cef3c2_SetDate">
    <vt:lpwstr>2022-04-21T04:28:22Z</vt:lpwstr>
  </property>
  <property fmtid="{D5CDD505-2E9C-101B-9397-08002B2CF9AE}" pid="5" name="MSIP_Label_6d3c1e99-73ed-46f4-9233-3591d9cef3c2_Method">
    <vt:lpwstr>Privileged</vt:lpwstr>
  </property>
  <property fmtid="{D5CDD505-2E9C-101B-9397-08002B2CF9AE}" pid="6" name="MSIP_Label_6d3c1e99-73ed-46f4-9233-3591d9cef3c2_Name">
    <vt:lpwstr>6d3c1e99-73ed-46f4-9233-3591d9cef3c2</vt:lpwstr>
  </property>
  <property fmtid="{D5CDD505-2E9C-101B-9397-08002B2CF9AE}" pid="7" name="MSIP_Label_6d3c1e99-73ed-46f4-9233-3591d9cef3c2_SiteId">
    <vt:lpwstr>0d993ad3-fa73-421a-b129-1fe5590103f3</vt:lpwstr>
  </property>
  <property fmtid="{D5CDD505-2E9C-101B-9397-08002B2CF9AE}" pid="8" name="MSIP_Label_6d3c1e99-73ed-46f4-9233-3591d9cef3c2_ActionId">
    <vt:lpwstr>4057b1a8-f8e1-4196-9c60-9fa92d2a3ce2</vt:lpwstr>
  </property>
  <property fmtid="{D5CDD505-2E9C-101B-9397-08002B2CF9AE}" pid="9" name="MSIP_Label_6d3c1e99-73ed-46f4-9233-3591d9cef3c2_ContentBits">
    <vt:lpwstr>0</vt:lpwstr>
  </property>
</Properties>
</file>